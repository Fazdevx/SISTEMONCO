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SYSTEMAC\Desktop\DOCUMENTOS EXCEL\"/>
    </mc:Choice>
  </mc:AlternateContent>
  <xr:revisionPtr revIDLastSave="0" documentId="8_{75356878-90B3-41B3-8F4A-432E35227F7C}" xr6:coauthVersionLast="47" xr6:coauthVersionMax="47" xr10:uidLastSave="{00000000-0000-0000-0000-000000000000}"/>
  <bookViews>
    <workbookView xWindow="-120" yWindow="-120" windowWidth="29040" windowHeight="15840" xr2:uid="{00000000-000D-0000-FFFF-FFFF00000000}"/>
  </bookViews>
  <sheets>
    <sheet name="METAS Y AVANCES 2026" sheetId="16" r:id="rId1"/>
    <sheet name="TAMIZAJES Y SEGUIMIENTO 2026" sheetId="17" r:id="rId2"/>
    <sheet name="REF-RESULTADOS HRH" sheetId="15" r:id="rId3"/>
    <sheet name="RESULTADOS POSITIVOS" sheetId="21" r:id="rId4"/>
    <sheet name="ENE" sheetId="3" r:id="rId5"/>
    <sheet name="FEB" sheetId="19" r:id="rId6"/>
    <sheet name="MAR" sheetId="20" r:id="rId7"/>
    <sheet name="ABR" sheetId="6" r:id="rId8"/>
    <sheet name="MAY" sheetId="7" r:id="rId9"/>
    <sheet name="JUN" sheetId="8" r:id="rId10"/>
    <sheet name="JUL" sheetId="9" r:id="rId11"/>
    <sheet name="AGOS" sheetId="10" r:id="rId12"/>
    <sheet name="SEPT" sheetId="11" r:id="rId13"/>
    <sheet name="OCT" sheetId="12" r:id="rId14"/>
    <sheet name="NOV" sheetId="13" r:id="rId15"/>
    <sheet name="DIC" sheetId="14" r:id="rId16"/>
  </sheets>
  <definedNames>
    <definedName name="_xlnm._FilterDatabase" localSheetId="11" hidden="1">AGOS!$A$4:$AA$4</definedName>
    <definedName name="_xlnm._FilterDatabase" localSheetId="15" hidden="1">DIC!$A$4:$AA$4</definedName>
    <definedName name="_xlnm._FilterDatabase" localSheetId="10" hidden="1">JUL!$A$4:$AA$4</definedName>
    <definedName name="_xlnm._FilterDatabase" localSheetId="9" hidden="1">JUN!$A$4:$AA$4</definedName>
    <definedName name="_xlnm._FilterDatabase" localSheetId="8" hidden="1">MAY!$A$4:$AA$4</definedName>
    <definedName name="_xlnm._FilterDatabase" localSheetId="14" hidden="1">NOV!$A$4:$AA$4</definedName>
    <definedName name="_xlnm._FilterDatabase" localSheetId="13" hidden="1">OCT!$A$4:$AA$4</definedName>
    <definedName name="_xlnm._FilterDatabase" localSheetId="12" hidden="1">SEPT!$A$4:$AA$4</definedName>
    <definedName name="_xlnm._FilterDatabase" localSheetId="5" hidden="1">FEB!$A$1:$AG$743</definedName>
    <definedName name="_xlnm._FilterDatabase" localSheetId="6" hidden="1">MAR!$A$1:$AI$2</definedName>
    <definedName name="_xlnm._FilterDatabase" localSheetId="4" hidden="1">ENE!$A$1:$AG$196</definedName>
    <definedName name="_xlnm._FilterDatabase" localSheetId="7" hidden="1">ABR!$A$1:$AJ$2</definedName>
    <definedName name="_xlnm._FilterDatabase" localSheetId="3" hidden="1">'RESULTADOS POSITIVOS'!$A$1:$AG$15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KSXIqxuKZA+vKWnMe+d9vtnG8KkNjwXPdDnuS0//KCo="/>
    </ext>
  </extLst>
</workbook>
</file>

<file path=xl/calcChain.xml><?xml version="1.0" encoding="utf-8"?>
<calcChain xmlns="http://schemas.openxmlformats.org/spreadsheetml/2006/main">
  <c r="D48" i="16" l="1"/>
  <c r="F48" i="16"/>
  <c r="H48" i="16"/>
  <c r="I48" i="16"/>
  <c r="D32" i="16"/>
  <c r="F32" i="16"/>
  <c r="H32" i="16"/>
  <c r="I32" i="16"/>
  <c r="D25" i="16"/>
  <c r="F25" i="16"/>
  <c r="H25" i="16"/>
  <c r="I25" i="16"/>
  <c r="D17" i="16"/>
  <c r="F17" i="16"/>
  <c r="H17" i="16"/>
  <c r="I17" i="16"/>
  <c r="D5" i="16"/>
  <c r="F5" i="16"/>
  <c r="H5" i="16"/>
  <c r="I5" i="16"/>
  <c r="D3" i="16"/>
  <c r="F3" i="16"/>
  <c r="H3" i="16"/>
  <c r="I3" i="16"/>
  <c r="AO5" i="17"/>
  <c r="AN5" i="17"/>
  <c r="AM5" i="17"/>
  <c r="G7" i="16"/>
  <c r="G8" i="16"/>
  <c r="G9" i="16"/>
  <c r="G10" i="16"/>
  <c r="G11" i="16"/>
  <c r="G12" i="16"/>
  <c r="G13" i="16"/>
  <c r="G14" i="16"/>
  <c r="G15" i="16"/>
  <c r="G16" i="16"/>
  <c r="G20" i="16"/>
  <c r="G21" i="16"/>
  <c r="G22" i="16"/>
  <c r="G24" i="16"/>
  <c r="G26" i="16"/>
  <c r="G27" i="16"/>
  <c r="G28" i="16"/>
  <c r="G29" i="16"/>
  <c r="G30" i="16"/>
  <c r="G33" i="16"/>
  <c r="G34" i="16"/>
  <c r="G35" i="16"/>
  <c r="G36" i="16"/>
  <c r="G37" i="16"/>
  <c r="G38" i="16"/>
  <c r="G40" i="16"/>
  <c r="G44" i="16"/>
  <c r="G46" i="16"/>
  <c r="G63" i="16"/>
  <c r="G64" i="16"/>
  <c r="G6" i="16"/>
  <c r="E7" i="16"/>
  <c r="E8" i="16"/>
  <c r="E9" i="16"/>
  <c r="E10" i="16"/>
  <c r="E11" i="16"/>
  <c r="E12" i="16"/>
  <c r="E13" i="16"/>
  <c r="E14" i="16"/>
  <c r="E15" i="16"/>
  <c r="E16" i="16"/>
  <c r="E18" i="16"/>
  <c r="E19" i="16"/>
  <c r="E20" i="16"/>
  <c r="E21" i="16"/>
  <c r="E22" i="16"/>
  <c r="E23" i="16"/>
  <c r="E24" i="16"/>
  <c r="E26" i="16"/>
  <c r="E27" i="16"/>
  <c r="E28" i="16"/>
  <c r="E29" i="16"/>
  <c r="E30" i="16"/>
  <c r="E31" i="16"/>
  <c r="E33" i="16"/>
  <c r="E34" i="16"/>
  <c r="E35" i="16"/>
  <c r="E36" i="16"/>
  <c r="E37" i="16"/>
  <c r="E38" i="16"/>
  <c r="E39" i="16"/>
  <c r="E40" i="16"/>
  <c r="E41" i="16"/>
  <c r="E42" i="16"/>
  <c r="E43" i="16"/>
  <c r="E44" i="16"/>
  <c r="E45" i="16"/>
  <c r="E46" i="16"/>
  <c r="E47" i="16"/>
  <c r="E49" i="16"/>
  <c r="E50" i="16"/>
  <c r="E51" i="16"/>
  <c r="E52" i="16"/>
  <c r="E53" i="16"/>
  <c r="E54" i="16"/>
  <c r="E55" i="16"/>
  <c r="E56" i="16"/>
  <c r="E57" i="16"/>
  <c r="E58" i="16"/>
  <c r="E59" i="16"/>
  <c r="E60" i="16"/>
  <c r="E61" i="16"/>
  <c r="E62" i="16"/>
  <c r="E63" i="16"/>
  <c r="E64" i="16"/>
  <c r="E65" i="16"/>
  <c r="E66" i="16"/>
  <c r="E67" i="16"/>
  <c r="E68" i="16"/>
  <c r="E6" i="16"/>
  <c r="AO75" i="17"/>
  <c r="AN75" i="17"/>
  <c r="AM75" i="17"/>
  <c r="AM69" i="17"/>
  <c r="AM8" i="17"/>
  <c r="AN8" i="17"/>
  <c r="AO8" i="17"/>
  <c r="AM9" i="17"/>
  <c r="AN9" i="17"/>
  <c r="AO9" i="17"/>
  <c r="AM10" i="17"/>
  <c r="AN10" i="17"/>
  <c r="AO10" i="17"/>
  <c r="AM11" i="17"/>
  <c r="AN11" i="17"/>
  <c r="AO11" i="17"/>
  <c r="AM12" i="17"/>
  <c r="AN12" i="17"/>
  <c r="AO12" i="17"/>
  <c r="AM13" i="17"/>
  <c r="AN13" i="17"/>
  <c r="AO13" i="17"/>
  <c r="AM14" i="17"/>
  <c r="AN14" i="17"/>
  <c r="AO14" i="17"/>
  <c r="AM15" i="17"/>
  <c r="AN15" i="17"/>
  <c r="AO15" i="17"/>
  <c r="AM16" i="17"/>
  <c r="AN16" i="17"/>
  <c r="AO16" i="17"/>
  <c r="AM17" i="17"/>
  <c r="AN17" i="17"/>
  <c r="AO17" i="17"/>
  <c r="AM19" i="17"/>
  <c r="AN19" i="17"/>
  <c r="AO19" i="17"/>
  <c r="AM20" i="17"/>
  <c r="AN20" i="17"/>
  <c r="AO20" i="17"/>
  <c r="AM21" i="17"/>
  <c r="AN21" i="17"/>
  <c r="AO21" i="17"/>
  <c r="AM22" i="17"/>
  <c r="AN22" i="17"/>
  <c r="AO22" i="17"/>
  <c r="AM23" i="17"/>
  <c r="AN23" i="17"/>
  <c r="AO23" i="17"/>
  <c r="AM24" i="17"/>
  <c r="AN24" i="17"/>
  <c r="AO24" i="17"/>
  <c r="AM25" i="17"/>
  <c r="AN25" i="17"/>
  <c r="AO25" i="17"/>
  <c r="AM27" i="17"/>
  <c r="AN27" i="17"/>
  <c r="AO27" i="17"/>
  <c r="AM28" i="17"/>
  <c r="AN28" i="17"/>
  <c r="AO28" i="17"/>
  <c r="AM29" i="17"/>
  <c r="AN29" i="17"/>
  <c r="AO29" i="17"/>
  <c r="AM30" i="17"/>
  <c r="AN30" i="17"/>
  <c r="AO30" i="17"/>
  <c r="AM31" i="17"/>
  <c r="AN31" i="17"/>
  <c r="AO31" i="17"/>
  <c r="AM32" i="17"/>
  <c r="AN32" i="17"/>
  <c r="AO32" i="17"/>
  <c r="AM34" i="17"/>
  <c r="AN34" i="17"/>
  <c r="AO34" i="17"/>
  <c r="AM35" i="17"/>
  <c r="AN35" i="17"/>
  <c r="AO35" i="17"/>
  <c r="AM36" i="17"/>
  <c r="AN36" i="17"/>
  <c r="AO36" i="17"/>
  <c r="AM37" i="17"/>
  <c r="AN37" i="17"/>
  <c r="AO37" i="17"/>
  <c r="AM38" i="17"/>
  <c r="AN38" i="17"/>
  <c r="AO38" i="17"/>
  <c r="AM39" i="17"/>
  <c r="AN39" i="17"/>
  <c r="AO39" i="17"/>
  <c r="AM40" i="17"/>
  <c r="AN40" i="17"/>
  <c r="AO40" i="17"/>
  <c r="AM41" i="17"/>
  <c r="AN41" i="17"/>
  <c r="AO41" i="17"/>
  <c r="AM42" i="17"/>
  <c r="AN42" i="17"/>
  <c r="AO42" i="17"/>
  <c r="AM43" i="17"/>
  <c r="AN43" i="17"/>
  <c r="AO43" i="17"/>
  <c r="AM44" i="17"/>
  <c r="AN44" i="17"/>
  <c r="AO44" i="17"/>
  <c r="AM45" i="17"/>
  <c r="AN45" i="17"/>
  <c r="AO45" i="17"/>
  <c r="AM46" i="17"/>
  <c r="AN46" i="17"/>
  <c r="AO46" i="17"/>
  <c r="AM47" i="17"/>
  <c r="AN47" i="17"/>
  <c r="AO47" i="17"/>
  <c r="AM48" i="17"/>
  <c r="AN48" i="17"/>
  <c r="AO48" i="17"/>
  <c r="AM50" i="17"/>
  <c r="AN50" i="17"/>
  <c r="AO50" i="17"/>
  <c r="AM51" i="17"/>
  <c r="AN51" i="17"/>
  <c r="AO51" i="17"/>
  <c r="AM52" i="17"/>
  <c r="AN52" i="17"/>
  <c r="AO52" i="17"/>
  <c r="AM53" i="17"/>
  <c r="AN53" i="17"/>
  <c r="AO53" i="17"/>
  <c r="AM54" i="17"/>
  <c r="AN54" i="17"/>
  <c r="AO54" i="17"/>
  <c r="AM55" i="17"/>
  <c r="AN55" i="17"/>
  <c r="AO55" i="17"/>
  <c r="AM56" i="17"/>
  <c r="AN56" i="17"/>
  <c r="AO56" i="17"/>
  <c r="AM57" i="17"/>
  <c r="AN57" i="17"/>
  <c r="AO57" i="17"/>
  <c r="AM58" i="17"/>
  <c r="AN58" i="17"/>
  <c r="AO58" i="17"/>
  <c r="AM59" i="17"/>
  <c r="AN59" i="17"/>
  <c r="AO59" i="17"/>
  <c r="AM60" i="17"/>
  <c r="AN60" i="17"/>
  <c r="AO60" i="17"/>
  <c r="AM61" i="17"/>
  <c r="AN61" i="17"/>
  <c r="AO61" i="17"/>
  <c r="AM62" i="17"/>
  <c r="AN62" i="17"/>
  <c r="AO62" i="17"/>
  <c r="AM63" i="17"/>
  <c r="AN63" i="17"/>
  <c r="AO63" i="17"/>
  <c r="AM64" i="17"/>
  <c r="AN64" i="17"/>
  <c r="AO64" i="17"/>
  <c r="AM65" i="17"/>
  <c r="AN65" i="17"/>
  <c r="AO65" i="17"/>
  <c r="AM66" i="17"/>
  <c r="AN66" i="17"/>
  <c r="AO66" i="17"/>
  <c r="AM67" i="17"/>
  <c r="AN67" i="17"/>
  <c r="AO67" i="17"/>
  <c r="AM68" i="17"/>
  <c r="AN68" i="17"/>
  <c r="AO68" i="17"/>
  <c r="AN69" i="17"/>
  <c r="AO69" i="17"/>
  <c r="AO7" i="17"/>
  <c r="AN7" i="17"/>
  <c r="AM7" i="17"/>
  <c r="AB4" i="15"/>
  <c r="AB5" i="15"/>
  <c r="AB6" i="15"/>
  <c r="AB7" i="15"/>
  <c r="AB8" i="15"/>
  <c r="AB9" i="15"/>
  <c r="AB10" i="15"/>
  <c r="AB11" i="15"/>
  <c r="AB12" i="15"/>
  <c r="AB13" i="15"/>
  <c r="AB14" i="15"/>
  <c r="AB15" i="15"/>
  <c r="AB16" i="15"/>
  <c r="AB17" i="15"/>
  <c r="AB18" i="15"/>
  <c r="AB19" i="15"/>
  <c r="AB20" i="15"/>
  <c r="AB21" i="15"/>
  <c r="AB22" i="15"/>
  <c r="AB23" i="15"/>
  <c r="AB24" i="15"/>
  <c r="AB25" i="15"/>
  <c r="AB26" i="15"/>
  <c r="AB27" i="15"/>
  <c r="AB28" i="15"/>
  <c r="AB29" i="15"/>
  <c r="AB30" i="15"/>
  <c r="AB31" i="15"/>
  <c r="AB32" i="15"/>
  <c r="AB33" i="15"/>
  <c r="AB34" i="15"/>
  <c r="AB35" i="15"/>
  <c r="AB36" i="15"/>
  <c r="AB37" i="15"/>
  <c r="AB38" i="15"/>
  <c r="AB39" i="15"/>
  <c r="AB40" i="15"/>
  <c r="AB41" i="15"/>
  <c r="AB42" i="15"/>
  <c r="AB43" i="15"/>
  <c r="AB44" i="15"/>
  <c r="AB45" i="15"/>
  <c r="AB46" i="15"/>
  <c r="AB47" i="15"/>
  <c r="AB48" i="15"/>
  <c r="AB49" i="15"/>
  <c r="AB50" i="15"/>
  <c r="AB51" i="15"/>
  <c r="AB52" i="15"/>
  <c r="AB53" i="15"/>
  <c r="AB54" i="15"/>
  <c r="AB55" i="15"/>
  <c r="AB56" i="15"/>
  <c r="AB57" i="15"/>
  <c r="AB58" i="15"/>
  <c r="AB59" i="15"/>
  <c r="AB60" i="15"/>
  <c r="AB61" i="15"/>
  <c r="AB62" i="15"/>
  <c r="AB63" i="15"/>
  <c r="AB64" i="15"/>
  <c r="AB65" i="15"/>
  <c r="AB66" i="15"/>
  <c r="AB67" i="15"/>
  <c r="AB68" i="15"/>
  <c r="AB69" i="15"/>
  <c r="AB70" i="15"/>
  <c r="AB71" i="15"/>
  <c r="AB72" i="15"/>
  <c r="AB73" i="15"/>
  <c r="AB75" i="15"/>
  <c r="AB76" i="15"/>
  <c r="AB77" i="15"/>
  <c r="AB78" i="15"/>
  <c r="AB79" i="15"/>
  <c r="AB80" i="15"/>
  <c r="AB81" i="15"/>
  <c r="AB82" i="15"/>
  <c r="AB85" i="15"/>
  <c r="AB3" i="15"/>
  <c r="R86" i="15"/>
  <c r="S86" i="15"/>
  <c r="T86" i="15"/>
  <c r="U86" i="15"/>
  <c r="V86" i="15"/>
  <c r="W86" i="15"/>
  <c r="X86" i="15"/>
  <c r="Y86" i="15"/>
  <c r="Z86" i="15"/>
  <c r="AA86" i="15"/>
  <c r="Q86" i="15"/>
  <c r="P86" i="15"/>
  <c r="N73" i="15"/>
  <c r="N72" i="15"/>
  <c r="N71" i="15"/>
  <c r="N70" i="15"/>
  <c r="N69" i="15"/>
  <c r="N61" i="15"/>
  <c r="N60" i="15"/>
  <c r="N59" i="15"/>
  <c r="N58" i="15"/>
  <c r="N57" i="15"/>
  <c r="N56" i="15"/>
  <c r="N54" i="15"/>
  <c r="N53" i="15"/>
  <c r="N52" i="15"/>
  <c r="N49" i="15"/>
  <c r="N48" i="15"/>
  <c r="N47" i="15"/>
  <c r="N46" i="15"/>
  <c r="N45" i="15"/>
  <c r="N44" i="15"/>
  <c r="N50" i="15"/>
  <c r="N51" i="15"/>
  <c r="N55" i="15"/>
  <c r="N62" i="15"/>
  <c r="N63" i="15"/>
  <c r="N64" i="15"/>
  <c r="N65" i="15"/>
  <c r="N66" i="15"/>
  <c r="N67" i="15"/>
  <c r="N68" i="15"/>
  <c r="N75" i="15"/>
  <c r="N76" i="15"/>
  <c r="N77" i="15"/>
  <c r="N78" i="15"/>
  <c r="N79" i="15"/>
  <c r="N80" i="15"/>
  <c r="N82" i="15"/>
  <c r="N85"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3" i="15"/>
  <c r="J86" i="15"/>
  <c r="K86" i="15"/>
  <c r="L86" i="15"/>
  <c r="M86" i="15"/>
  <c r="C86" i="15"/>
  <c r="D86" i="15"/>
  <c r="E86" i="15"/>
  <c r="F86" i="15"/>
  <c r="G86" i="15"/>
  <c r="H86" i="15"/>
  <c r="I86" i="15"/>
  <c r="B86" i="15"/>
  <c r="C4" i="16"/>
  <c r="C6" i="16"/>
  <c r="C7" i="16"/>
  <c r="C8" i="16"/>
  <c r="C9" i="16"/>
  <c r="C10" i="16"/>
  <c r="C11" i="16"/>
  <c r="C12" i="16"/>
  <c r="C13" i="16"/>
  <c r="C14" i="16"/>
  <c r="C15" i="16"/>
  <c r="C16" i="16"/>
  <c r="C18" i="16"/>
  <c r="C19" i="16"/>
  <c r="C20" i="16"/>
  <c r="C21" i="16"/>
  <c r="C22" i="16"/>
  <c r="C23" i="16"/>
  <c r="C24" i="16"/>
  <c r="C26" i="16"/>
  <c r="C27" i="16"/>
  <c r="C28" i="16"/>
  <c r="C29" i="16"/>
  <c r="C30" i="16"/>
  <c r="C31" i="16"/>
  <c r="C33" i="16"/>
  <c r="C34" i="16"/>
  <c r="C35" i="16"/>
  <c r="C36" i="16"/>
  <c r="C37" i="16"/>
  <c r="C38" i="16"/>
  <c r="C39" i="16"/>
  <c r="C40" i="16"/>
  <c r="C41" i="16"/>
  <c r="C42" i="16"/>
  <c r="C43" i="16"/>
  <c r="C44" i="16"/>
  <c r="C45" i="16"/>
  <c r="C46" i="16"/>
  <c r="C47" i="16"/>
  <c r="C49" i="16"/>
  <c r="C50" i="16"/>
  <c r="C51" i="16"/>
  <c r="C52" i="16"/>
  <c r="C53" i="16"/>
  <c r="C54" i="16"/>
  <c r="C55" i="16"/>
  <c r="C56" i="16"/>
  <c r="C57" i="16"/>
  <c r="C58" i="16"/>
  <c r="C59" i="16"/>
  <c r="C60" i="16"/>
  <c r="C61" i="16"/>
  <c r="C62" i="16"/>
  <c r="C63" i="16"/>
  <c r="C64" i="16"/>
  <c r="C65" i="16"/>
  <c r="C66" i="16"/>
  <c r="C67" i="16"/>
  <c r="C68" i="16"/>
  <c r="G4" i="16"/>
  <c r="E4" i="16"/>
  <c r="C49" i="17"/>
  <c r="D49" i="17"/>
  <c r="E49" i="17"/>
  <c r="F49" i="17"/>
  <c r="G49" i="17"/>
  <c r="H49" i="17"/>
  <c r="I49" i="17"/>
  <c r="J49" i="17"/>
  <c r="K49" i="17"/>
  <c r="L49" i="17"/>
  <c r="M49" i="17"/>
  <c r="N49" i="17"/>
  <c r="O49" i="17"/>
  <c r="P49" i="17"/>
  <c r="Q49" i="17"/>
  <c r="R49" i="17"/>
  <c r="S49" i="17"/>
  <c r="T49" i="17"/>
  <c r="U49" i="17"/>
  <c r="V49" i="17"/>
  <c r="W49" i="17"/>
  <c r="X49" i="17"/>
  <c r="Y49" i="17"/>
  <c r="Z49" i="17"/>
  <c r="AA49" i="17"/>
  <c r="AB49" i="17"/>
  <c r="AC49" i="17"/>
  <c r="AD49" i="17"/>
  <c r="AE49" i="17"/>
  <c r="AF49" i="17"/>
  <c r="AG49" i="17"/>
  <c r="AH49" i="17"/>
  <c r="AI49" i="17"/>
  <c r="AJ49" i="17"/>
  <c r="AK49" i="17"/>
  <c r="AL49" i="17"/>
  <c r="C33" i="17"/>
  <c r="D33" i="17"/>
  <c r="E33" i="17"/>
  <c r="F33" i="17"/>
  <c r="G33" i="17"/>
  <c r="H33" i="17"/>
  <c r="I33" i="17"/>
  <c r="J33" i="17"/>
  <c r="K33" i="17"/>
  <c r="L33" i="17"/>
  <c r="M33" i="17"/>
  <c r="N33" i="17"/>
  <c r="O33" i="17"/>
  <c r="P33" i="17"/>
  <c r="Q33" i="17"/>
  <c r="R33" i="17"/>
  <c r="S33" i="17"/>
  <c r="T33" i="17"/>
  <c r="U33" i="17"/>
  <c r="V33" i="17"/>
  <c r="W33" i="17"/>
  <c r="X33" i="17"/>
  <c r="Y33" i="17"/>
  <c r="Z33" i="17"/>
  <c r="AA33" i="17"/>
  <c r="AB33" i="17"/>
  <c r="AC33" i="17"/>
  <c r="AD33" i="17"/>
  <c r="AE33" i="17"/>
  <c r="AF33" i="17"/>
  <c r="AG33" i="17"/>
  <c r="AH33" i="17"/>
  <c r="AI33" i="17"/>
  <c r="AJ33" i="17"/>
  <c r="AK33" i="17"/>
  <c r="AL33" i="17"/>
  <c r="C26" i="17"/>
  <c r="D26" i="17"/>
  <c r="E26" i="17"/>
  <c r="F26" i="17"/>
  <c r="G26" i="17"/>
  <c r="H26" i="17"/>
  <c r="I26" i="17"/>
  <c r="J26" i="17"/>
  <c r="K26" i="17"/>
  <c r="L26" i="17"/>
  <c r="M26" i="17"/>
  <c r="N26" i="17"/>
  <c r="O26" i="17"/>
  <c r="P26" i="17"/>
  <c r="Q26" i="17"/>
  <c r="R26" i="17"/>
  <c r="S26" i="17"/>
  <c r="T26" i="17"/>
  <c r="U26" i="17"/>
  <c r="V26" i="17"/>
  <c r="W26" i="17"/>
  <c r="X26" i="17"/>
  <c r="Y26" i="17"/>
  <c r="Z26" i="17"/>
  <c r="AA26" i="17"/>
  <c r="AB26" i="17"/>
  <c r="AC26" i="17"/>
  <c r="AD26" i="17"/>
  <c r="AE26" i="17"/>
  <c r="AF26" i="17"/>
  <c r="AG26" i="17"/>
  <c r="AH26" i="17"/>
  <c r="AI26" i="17"/>
  <c r="AJ26" i="17"/>
  <c r="AK26" i="17"/>
  <c r="AL26" i="17"/>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C6" i="17"/>
  <c r="D6" i="17"/>
  <c r="E6" i="17"/>
  <c r="F6" i="17"/>
  <c r="F70" i="17" s="1"/>
  <c r="G6" i="17"/>
  <c r="G70" i="17" s="1"/>
  <c r="H6" i="17"/>
  <c r="H70" i="17" s="1"/>
  <c r="I6" i="17"/>
  <c r="J6" i="17"/>
  <c r="K6" i="17"/>
  <c r="L6" i="17"/>
  <c r="M6" i="17"/>
  <c r="N6" i="17"/>
  <c r="O6" i="17"/>
  <c r="P6" i="17"/>
  <c r="Q6" i="17"/>
  <c r="R6" i="17"/>
  <c r="S6" i="17"/>
  <c r="T6" i="17"/>
  <c r="U6" i="17"/>
  <c r="V6" i="17"/>
  <c r="W6" i="17"/>
  <c r="X6" i="17"/>
  <c r="Y6" i="17"/>
  <c r="Z6" i="17"/>
  <c r="AA6" i="17"/>
  <c r="AB6" i="17"/>
  <c r="AC6" i="17"/>
  <c r="AD6" i="17"/>
  <c r="AE6" i="17"/>
  <c r="AF6" i="17"/>
  <c r="AG6" i="17"/>
  <c r="AH6" i="17"/>
  <c r="AI6" i="17"/>
  <c r="AJ6" i="17"/>
  <c r="AK6" i="17"/>
  <c r="AL6" i="17"/>
  <c r="AM6" i="17"/>
  <c r="AN6" i="17"/>
  <c r="AO6" i="17"/>
  <c r="B49" i="17"/>
  <c r="B33" i="17"/>
  <c r="B26" i="17"/>
  <c r="B18" i="17"/>
  <c r="B6" i="17"/>
  <c r="B48" i="16"/>
  <c r="B32" i="16"/>
  <c r="B25" i="16"/>
  <c r="B17" i="16"/>
  <c r="B5" i="16"/>
  <c r="B3" i="16" s="1"/>
  <c r="AB86" i="15" l="1"/>
  <c r="C48" i="16"/>
  <c r="C32" i="16"/>
  <c r="C25" i="16"/>
  <c r="C17" i="16"/>
  <c r="C5" i="16"/>
  <c r="C3" i="16" s="1"/>
  <c r="E48" i="16"/>
  <c r="E32" i="16"/>
  <c r="E25" i="16"/>
  <c r="E17" i="16"/>
  <c r="E5" i="16"/>
  <c r="E3" i="16" s="1"/>
  <c r="G48" i="16"/>
  <c r="G32" i="16"/>
  <c r="G25" i="16"/>
  <c r="G17" i="16"/>
  <c r="G5" i="16"/>
  <c r="G3" i="16" s="1"/>
  <c r="AO18" i="17"/>
  <c r="AN18" i="17"/>
  <c r="AM18" i="17"/>
  <c r="AO26" i="17"/>
  <c r="AN26" i="17"/>
  <c r="AM26" i="17"/>
  <c r="AO33" i="17"/>
  <c r="AN33" i="17"/>
  <c r="AM33" i="17"/>
  <c r="AO49" i="17"/>
  <c r="AN49" i="17"/>
  <c r="AM49" i="17"/>
  <c r="N86" i="15"/>
  <c r="B70" i="17"/>
  <c r="AM70" i="17"/>
  <c r="AL70" i="17"/>
  <c r="AK70" i="17"/>
  <c r="AJ70" i="17"/>
  <c r="AI70" i="17"/>
  <c r="AH70" i="17"/>
  <c r="AG70" i="17"/>
  <c r="AF70" i="17"/>
  <c r="AE70" i="17"/>
  <c r="AD70" i="17"/>
  <c r="AC70" i="17"/>
  <c r="AB70" i="17"/>
  <c r="AA70" i="17"/>
  <c r="Z70" i="17"/>
  <c r="Y70" i="17"/>
  <c r="X70" i="17"/>
  <c r="W70" i="17"/>
  <c r="V70" i="17"/>
  <c r="U70" i="17"/>
  <c r="T70" i="17"/>
  <c r="S70" i="17"/>
  <c r="R70" i="17"/>
  <c r="Q70" i="17"/>
  <c r="P70" i="17"/>
  <c r="O70" i="17"/>
  <c r="N70" i="17"/>
  <c r="M70" i="17"/>
  <c r="L70" i="17"/>
  <c r="K70" i="17"/>
  <c r="J70" i="17"/>
  <c r="I70" i="17"/>
  <c r="E70" i="17"/>
  <c r="D70" i="17"/>
  <c r="C70" i="17"/>
  <c r="AO70" i="17" l="1"/>
  <c r="AN70" i="17"/>
</calcChain>
</file>

<file path=xl/sharedStrings.xml><?xml version="1.0" encoding="utf-8"?>
<sst xmlns="http://schemas.openxmlformats.org/spreadsheetml/2006/main" count="18761" uniqueCount="6213">
  <si>
    <t>ESTABLECIMIENTO DE SALUD</t>
  </si>
  <si>
    <t>META ANUAL</t>
  </si>
  <si>
    <t>AVANCE MENSUAL</t>
  </si>
  <si>
    <t>AVANCE
TAMIZAJE</t>
  </si>
  <si>
    <t>%</t>
  </si>
  <si>
    <t>AVANCE
ENTREGA DE RESULTADO</t>
  </si>
  <si>
    <t>ANORMAL</t>
  </si>
  <si>
    <t>TRATADAS</t>
  </si>
  <si>
    <t>RED DE SALUD HUAURA OYON</t>
  </si>
  <si>
    <t>HOSPITAL GENERAL DE HUACHO</t>
  </si>
  <si>
    <t>MICRO RED HUALMAY</t>
  </si>
  <si>
    <t>C.S MANZANARES</t>
  </si>
  <si>
    <t>C.S HUALMAY</t>
  </si>
  <si>
    <t>P.S DOMINGO MANDAMIENTO</t>
  </si>
  <si>
    <t>P.S CAMPO ALEGRE</t>
  </si>
  <si>
    <t>C.S SANTA MARIA</t>
  </si>
  <si>
    <t>P.S CHONTA</t>
  </si>
  <si>
    <t>P.S 1RO DE MAYO</t>
  </si>
  <si>
    <t>P.S ZAPATA</t>
  </si>
  <si>
    <t>P.S SAN BARTOLOME</t>
  </si>
  <si>
    <t>P.S SAN JUDAS TADEO</t>
  </si>
  <si>
    <t>P. SCARQUIN</t>
  </si>
  <si>
    <t>MICRO RED HUAURA</t>
  </si>
  <si>
    <t>C.S AMBAR</t>
  </si>
  <si>
    <t>P.S AYNACA</t>
  </si>
  <si>
    <t>C.S HUAURA</t>
  </si>
  <si>
    <t>P.S HUMAYA</t>
  </si>
  <si>
    <t>P.S VILCAHUAURA</t>
  </si>
  <si>
    <t>P.S PEÑICO</t>
  </si>
  <si>
    <t>C.S SOCORRO</t>
  </si>
  <si>
    <t>MICRO RED VEGUETA</t>
  </si>
  <si>
    <t>C.S VEGUETA</t>
  </si>
  <si>
    <t>P.S MAZO</t>
  </si>
  <si>
    <t>P.S PRIMAVERA</t>
  </si>
  <si>
    <t>P.S MARIATEGUI</t>
  </si>
  <si>
    <t>P.S MEDIO MUNDO</t>
  </si>
  <si>
    <t>P.S SANTA ROSA TIROLER</t>
  </si>
  <si>
    <t>MICRO RED SAYAN</t>
  </si>
  <si>
    <t>C. S SAYAN</t>
  </si>
  <si>
    <t>C.S 9 DE OCTUBRE</t>
  </si>
  <si>
    <t>P.S CHAMBARA</t>
  </si>
  <si>
    <t>P.S LA MERCED</t>
  </si>
  <si>
    <t>P.S ACOTAMA</t>
  </si>
  <si>
    <t>P.S LA VILLA</t>
  </si>
  <si>
    <t>P.S EL AHORCADO</t>
  </si>
  <si>
    <t>P.S LA UNION</t>
  </si>
  <si>
    <t>P.S AUQUIMARCA</t>
  </si>
  <si>
    <t>P.S PARAN</t>
  </si>
  <si>
    <t>P.S SANTA CRUZ</t>
  </si>
  <si>
    <t>P.S HUANANGUI</t>
  </si>
  <si>
    <t>P.S COCHAMARCA</t>
  </si>
  <si>
    <t>P.S COLCAPAMPA</t>
  </si>
  <si>
    <t>P.S YARUCAYA</t>
  </si>
  <si>
    <t>MICRO RED CHURIN OYON</t>
  </si>
  <si>
    <t>C.S OYON</t>
  </si>
  <si>
    <t>P.S MALLAY</t>
  </si>
  <si>
    <t>P.S NAVA</t>
  </si>
  <si>
    <t>P.S TINTA</t>
  </si>
  <si>
    <t>P.S RAPAZ</t>
  </si>
  <si>
    <t>P.S ANDAJES</t>
  </si>
  <si>
    <t>P.S CAUJUL</t>
  </si>
  <si>
    <t>P.S PACCHO</t>
  </si>
  <si>
    <t>P.S LACSANGA</t>
  </si>
  <si>
    <t>P.S MUZGA</t>
  </si>
  <si>
    <t>P.S AYARANGA</t>
  </si>
  <si>
    <t>P.S CHIUCHIN</t>
  </si>
  <si>
    <t>P.S PARQUIN</t>
  </si>
  <si>
    <t>P.S JUCUL</t>
  </si>
  <si>
    <t>P.S NAVAN</t>
  </si>
  <si>
    <t>C.S CHURIN</t>
  </si>
  <si>
    <t>P.S PACHANGARA</t>
  </si>
  <si>
    <t>P.S HUANCAHUASI</t>
  </si>
  <si>
    <t>P.S PUÑUN</t>
  </si>
  <si>
    <t>P.S QUICHAS</t>
  </si>
  <si>
    <t>MAMOGRAFIA REPORTE HIS MINSA 2026</t>
  </si>
  <si>
    <t>CP 20% MBL</t>
  </si>
  <si>
    <t>ENERO</t>
  </si>
  <si>
    <t>FEBRERO</t>
  </si>
  <si>
    <t>MARZO</t>
  </si>
  <si>
    <t>ABRIL</t>
  </si>
  <si>
    <t>MAYO</t>
  </si>
  <si>
    <t>JUNIO</t>
  </si>
  <si>
    <t>JULIO</t>
  </si>
  <si>
    <t>AGOSTO</t>
  </si>
  <si>
    <t>SETIEMBRE</t>
  </si>
  <si>
    <t>OCTUBRE</t>
  </si>
  <si>
    <t>NOVIEMBRE</t>
  </si>
  <si>
    <t>DICIEMBRE</t>
  </si>
  <si>
    <t>TOTAL DE SOLICITUDES</t>
  </si>
  <si>
    <t>TOTAL DE ENTREGAS</t>
  </si>
  <si>
    <t xml:space="preserve">TOTAL POSITIVAS </t>
  </si>
  <si>
    <t>SOLICITUD</t>
  </si>
  <si>
    <t>ENTREGA</t>
  </si>
  <si>
    <t>POSITIVAS</t>
  </si>
  <si>
    <t>TOTAL</t>
  </si>
  <si>
    <t>HOSPITAL GENERAL DE HUACHO REPORTE HIS MINSA</t>
  </si>
  <si>
    <t>PM
MUJER 25-65 AÑOS
40%</t>
  </si>
  <si>
    <t>TOTAL DE TAMIZADOS</t>
  </si>
  <si>
    <t>TOTAL POSITIVAS DE 25 A 64 AÑOS</t>
  </si>
  <si>
    <t>TMZ</t>
  </si>
  <si>
    <t>REFERENCIA  ACOGIDA POR HOSPITAL REGIONAL 2026</t>
  </si>
  <si>
    <t>ENTREGA DE RESULTADOS 2026</t>
  </si>
  <si>
    <t>TOTAL 2025</t>
  </si>
  <si>
    <t>HOSPITAL GENERAL HUACHO</t>
  </si>
  <si>
    <t>CMI MANZANARES</t>
  </si>
  <si>
    <t>CS SANTA MARIA</t>
  </si>
  <si>
    <t>PS AMADO VELASQUEZ</t>
  </si>
  <si>
    <t>PS SAN BARTOLOME</t>
  </si>
  <si>
    <t>PS ZAPATA</t>
  </si>
  <si>
    <t>PS CHONTA</t>
  </si>
  <si>
    <t>CS HUALMAY</t>
  </si>
  <si>
    <t>PS CAMPO ALEGRE</t>
  </si>
  <si>
    <t>PS DOMINGO MANDAMIENTO</t>
  </si>
  <si>
    <t>PS CARQUIN</t>
  </si>
  <si>
    <t>PS SAN JUDAS TADEO</t>
  </si>
  <si>
    <t>CS HUAURA</t>
  </si>
  <si>
    <t>CS SOCORRO</t>
  </si>
  <si>
    <t>PS VILCAHUAURA</t>
  </si>
  <si>
    <t>PS PEÑICO</t>
  </si>
  <si>
    <t>PS HUMAYA</t>
  </si>
  <si>
    <t>CS AMBAR</t>
  </si>
  <si>
    <t>CS AYNACA</t>
  </si>
  <si>
    <t>CS SAYAN</t>
  </si>
  <si>
    <t>CS 9 DE OCTUBRE</t>
  </si>
  <si>
    <t>PS CHAMBARA</t>
  </si>
  <si>
    <t>PS LA MERCED</t>
  </si>
  <si>
    <t>PS LA VILLA</t>
  </si>
  <si>
    <t>PS EL AHORCADO</t>
  </si>
  <si>
    <t>PS LA UNION</t>
  </si>
  <si>
    <t>PS AUQUIMARCA</t>
  </si>
  <si>
    <t>PS PARAN</t>
  </si>
  <si>
    <t>PS SANTA CRUZ</t>
  </si>
  <si>
    <t>PS HUANANGUI</t>
  </si>
  <si>
    <t>PS COCHAMARCA</t>
  </si>
  <si>
    <t>PS COLCAPAMPA</t>
  </si>
  <si>
    <t>PS YARUCAYA</t>
  </si>
  <si>
    <t>PS ACOTAMA (IHUARI)</t>
  </si>
  <si>
    <t>CS VEGUETA</t>
  </si>
  <si>
    <t>PS MAZO</t>
  </si>
  <si>
    <t>PS PRIMAVERA</t>
  </si>
  <si>
    <t>PS JC MARIATEGUI</t>
  </si>
  <si>
    <t>PS MEDIO MUNDO</t>
  </si>
  <si>
    <t>PS TIROLER</t>
  </si>
  <si>
    <t>CS OYON</t>
  </si>
  <si>
    <t>PS MALLAY</t>
  </si>
  <si>
    <t>PS NAVA</t>
  </si>
  <si>
    <t>PS TINTA</t>
  </si>
  <si>
    <t>PS RAPAZ</t>
  </si>
  <si>
    <t>PS ANDAJES</t>
  </si>
  <si>
    <t>PS CAUJUL</t>
  </si>
  <si>
    <t>PS NAVAN</t>
  </si>
  <si>
    <t>CS CHURIN</t>
  </si>
  <si>
    <t>PS PACHANGARA</t>
  </si>
  <si>
    <t>PS HUANCAHUASI</t>
  </si>
  <si>
    <t>PS PUÑUN</t>
  </si>
  <si>
    <t>PS PACCHO</t>
  </si>
  <si>
    <t>PS LACSANGA</t>
  </si>
  <si>
    <t>PS MUZGA</t>
  </si>
  <si>
    <t>PS AYARANGA</t>
  </si>
  <si>
    <t>PS CHIUCHIN</t>
  </si>
  <si>
    <t>PS PARQUIN</t>
  </si>
  <si>
    <t>PS JUCUL</t>
  </si>
  <si>
    <t>CENTRO BASE HUARAL</t>
  </si>
  <si>
    <t>HOSPITAL DE HUARAL</t>
  </si>
  <si>
    <t>HOSPITAL DE CHANCAY</t>
  </si>
  <si>
    <t>PS QUEPEPAMPA</t>
  </si>
  <si>
    <t xml:space="preserve">PS AUCALLAMA </t>
  </si>
  <si>
    <t>PS PAMPA LIBRE</t>
  </si>
  <si>
    <t>PS PASAMAYO</t>
  </si>
  <si>
    <t>PS.PERALVILLO</t>
  </si>
  <si>
    <t>PS HUACHO CHICO</t>
  </si>
  <si>
    <t>PS LA PERLA</t>
  </si>
  <si>
    <t>PS CERRO LA CULEBRA</t>
  </si>
  <si>
    <t>PS PALPA</t>
  </si>
  <si>
    <t>PS CONTIGO PERU</t>
  </si>
  <si>
    <t>C.S LAURIAMA</t>
  </si>
  <si>
    <t>PS TUNAN</t>
  </si>
  <si>
    <t>PS HUAYTO</t>
  </si>
  <si>
    <t>PS CHIU CHIU</t>
  </si>
  <si>
    <t>CS PUERTO SUPE</t>
  </si>
  <si>
    <t>PS LIMONCILLO</t>
  </si>
  <si>
    <t>CS PARAMONGA</t>
  </si>
  <si>
    <t>HOSPITAL DE BARRANCA</t>
  </si>
  <si>
    <t>HOSPITAL DE SUPE</t>
  </si>
  <si>
    <t>PS. PAMPA SAN ALEJO</t>
  </si>
  <si>
    <t>OTROS</t>
  </si>
  <si>
    <t xml:space="preserve">FECHA </t>
  </si>
  <si>
    <t>N°</t>
  </si>
  <si>
    <t>HCL</t>
  </si>
  <si>
    <t>DNI</t>
  </si>
  <si>
    <t>APELLIDOS Y NOMBRES</t>
  </si>
  <si>
    <t>EDAD</t>
  </si>
  <si>
    <t>DIRECCION</t>
  </si>
  <si>
    <t>DISTRITO</t>
  </si>
  <si>
    <t xml:space="preserve">TELEFONO </t>
  </si>
  <si>
    <t>EE SS ORIGEN</t>
  </si>
  <si>
    <t>TOMA DE MX</t>
  </si>
  <si>
    <t>RESULTADOS</t>
  </si>
  <si>
    <t>BI- RADS</t>
  </si>
  <si>
    <t>SUGERENCIA</t>
  </si>
  <si>
    <t>FECHA DE RECEPCION DE RESULTADOS</t>
  </si>
  <si>
    <t>FECHA DE RECOJO DE RESULTADOS POR EESS</t>
  </si>
  <si>
    <t>FECHA DE ENTREGA DE RESULTADOS A PCT</t>
  </si>
  <si>
    <t>CITA ECOGRAFIA</t>
  </si>
  <si>
    <t>RESULTADOS DE ECOGRAFIA</t>
  </si>
  <si>
    <t>BI-RADS</t>
  </si>
  <si>
    <t>SUGERENCIAS</t>
  </si>
  <si>
    <t>FECHA TOMA DE MAGNIFICACION</t>
  </si>
  <si>
    <t>RESULTADOS DE MAGNIFICACION</t>
  </si>
  <si>
    <t>FECHA DE REFERENCIA AL H.R.H</t>
  </si>
  <si>
    <t>PROCEDIMIENTO (FECHA)</t>
  </si>
  <si>
    <t>TRATAMIENTO (FECHA)</t>
  </si>
  <si>
    <t>TRATAMIENTO EN OTRA INSTITUCION</t>
  </si>
  <si>
    <t>REFERENCIA A OTRA INSTITUCIÓN (FECHA)</t>
  </si>
  <si>
    <t>SITUACIÓN ACTUAL</t>
  </si>
  <si>
    <t>BIOPSIA</t>
  </si>
  <si>
    <t>MASTECTOMÍA</t>
  </si>
  <si>
    <t>QUIMIOTERAPIA</t>
  </si>
  <si>
    <t>RADIOTERAPIA</t>
  </si>
  <si>
    <t>MAGNIFICACION</t>
  </si>
  <si>
    <t xml:space="preserve">FLORES AGUIRRE MILDRED </t>
  </si>
  <si>
    <t>PROLOG FCO  ROSAS 8000</t>
  </si>
  <si>
    <t>HUALMAY</t>
  </si>
  <si>
    <t>C.S. HUALMAY</t>
  </si>
  <si>
    <t>1.- MAMAS HETEROGENEAMENTE DENSAS                                                                                                                                                                                                                                                                                                                                                                                                                                                                                                                                        2.- IMPRESIONA CALCIFICACIONES  PLEOMORFICAS HETEROGENEAS ADE ASPECTO SOSPECHOSO AGRUPADAS A NIVEL DEL PLANO MEDIO DE UNION DE CUADRANTES EXTERNO DE MAMA DERECHA Y A NIVEL DE PLANO  MEDIO  - POSTERIOR DE CI I DE MAMA DERECHA.                                               3.- CALCIFICACIONES PUNTIFORMES REDONDEADAS DISPERSAS EN MMA IZQUIERDA</t>
  </si>
  <si>
    <t>BI-RADS 4B</t>
  </si>
  <si>
    <t xml:space="preserve"> ECOGRAFIA DE MAMAS +  MAGNIFICACION + ESTUDIO HISTOLOGICO</t>
  </si>
  <si>
    <t>OBST STEFANY  CAVERO</t>
  </si>
  <si>
    <t>PARTICULAR</t>
  </si>
  <si>
    <t>AMBAS MAMAS SIN HALLAZGOS ECOGRAFICOS PATOLOGICOS, NO PRESENTA FORMACIONES NODULARES, NO  PRESENTA ADENOPATIAS AXILARES</t>
  </si>
  <si>
    <t>BI-RADS 1</t>
  </si>
  <si>
    <t>CONTROL ANUAL</t>
  </si>
  <si>
    <t>MICROCLACIFICAIONES FINAS PLEOMORFAS DIFUSAS A PREDOMINIO DE PLANO TERCIO MEDIO EN MAMA DERECHA</t>
  </si>
  <si>
    <t>ESTUDIO HISTOLOGICO</t>
  </si>
  <si>
    <t>ACTUALMENTE CON ARPON Y BIOPSIA DE AMBAS MAMAS</t>
  </si>
  <si>
    <t>NAPANGA ROJAS PAOLA VANESSA</t>
  </si>
  <si>
    <t>PANAMERICANA NORTE 1531</t>
  </si>
  <si>
    <t>SANTA MARIA</t>
  </si>
  <si>
    <t>HOSPITAL REGIONAL DE HUACHO</t>
  </si>
  <si>
    <t>Mamas heterogéneamente densas. Patrón ACR - C.
Nódulo de márgenes parcialmente oscurecido palpable en mama derecha
Categoría BIRADS 4a</t>
  </si>
  <si>
    <t>BI-RADS 4A</t>
  </si>
  <si>
    <t>ECOGRAFIA DE MAMAS</t>
  </si>
  <si>
    <t>PNDTE</t>
  </si>
  <si>
    <t>PREGUNTAR POR ECOGRAFIA</t>
  </si>
  <si>
    <t xml:space="preserve">AGUIRRE MEZA ROSA MARIA </t>
  </si>
  <si>
    <t>CALLE 1ERO  MAYO  MZ D LOT 5 VILLASOL</t>
  </si>
  <si>
    <t>SAYAN</t>
  </si>
  <si>
    <t>C.S. SAYAN</t>
  </si>
  <si>
    <t>HALLAZGOS SOSPECHOSOS DE NM DE MAMA IZQUIERDA, ASOCIADO A RETRACCION DEL PEZON, NO ASOCIADO A ADENOPATIAS EN REGION AXILAR IPSILAREAL RESTO DE LA MAMOGRAFÍA BILATERAL DENTRO DE LÍMITES NORMALES</t>
  </si>
  <si>
    <t xml:space="preserve">BI-RADS 4 </t>
  </si>
  <si>
    <t>RECOMENDACIONES: ECOGRAFIA COMPLEMENTARIA Y ESTUDIO ANATOMOPATOLOGICO</t>
  </si>
  <si>
    <t>OB ENEIDA BARBOZA</t>
  </si>
  <si>
    <t>PASA EN HRH</t>
  </si>
  <si>
    <t>LLERENA DELGADO MERCEDES CARMELA DEL SOCORRO</t>
  </si>
  <si>
    <t>URB LOS CIPRECES J 3</t>
  </si>
  <si>
    <t>OPACIDAD NODULAR DE ASPECTO SOLIDO CON MARGENES MICRO LOBULADOS, EN MAMA DERECHA, SE SUGIERE
ESTUDIO ECOGRAFICO Y CORRELATO ANATOMOPATOLOGICO.
GANGLIOS EN REGION AXILAR DERECHA, SE SUGIERE ESTUDIO ECOGRAFICO PARA MEJOR CARACTERIZACION.
RESTO DE LA MAMOGRAFÍA BILATERAL DENTRO DE LÍMITES NORMALES.
BI-RADS: 4B</t>
  </si>
  <si>
    <t>BI-RADS 4</t>
  </si>
  <si>
    <t>ECOGRAFIA DE MAMAS + BIOPSIA</t>
  </si>
  <si>
    <t>SEE SCRIO AL WATSSAPP PARA  Q ACUDA RECOGER 03/03/2026</t>
  </si>
  <si>
    <t>TEJIDO FIBROGLANDULAR A NIVEL RETROAREOLAR DE MAMA DERECHA+QUISTE OLEOSO EN MAMA DERECHA</t>
  </si>
  <si>
    <t>BI-RADS 0</t>
  </si>
  <si>
    <t>S/S AMPLIAR CON RESONANCIA MAGNETICA CONTRASTADO D/C LESION TIPO NO MASA</t>
  </si>
  <si>
    <t>PREGUNTAR SI SE HIZO RESONANCIA MAGNETICA</t>
  </si>
  <si>
    <t>SANCHEZ MANRIQUE MARIA ELENA</t>
  </si>
  <si>
    <t>SAN ISIDRO 109 INT 13</t>
  </si>
  <si>
    <t>Mamas heterogéneamente densas. Patrón ACR - C.
Distorsión de la arquitectura en CSE de mama derecha
Categoría BIRADS 4b</t>
  </si>
  <si>
    <t>BI-RADS 4C</t>
  </si>
  <si>
    <t>COMPRESION DE  MAMA DERECHA + ECOGRAFIA</t>
  </si>
  <si>
    <t>ENVIAR AL WASSAP</t>
  </si>
  <si>
    <t>BELEN AGESTO MARIBEL AMRLENY</t>
  </si>
  <si>
    <t>CAMPAMENTO MARITIMO MZ.E LT.93 PUERTO CHANCAY</t>
  </si>
  <si>
    <t>CHANCAY</t>
  </si>
  <si>
    <t>Mamas heterogéneamente densas. Patrón ACR - C.
Nódulos de márgenes oscurecidos en CSE de mama derecha
Categoría BIRADS 4A</t>
  </si>
  <si>
    <t>COMPRENSION  MAMA DERECHA + ECOGRAFIA DE MAMAS</t>
  </si>
  <si>
    <t>PREGUNTAR POR ENTREGA DE RESULT</t>
  </si>
  <si>
    <t xml:space="preserve">MAGNIFICACION </t>
  </si>
  <si>
    <t>ALVARADO MORALES MARIANELA ESTHER</t>
  </si>
  <si>
    <t>JR LA PALMA 345</t>
  </si>
  <si>
    <t>HUACHO</t>
  </si>
  <si>
    <t>Impresión Diagnóstica:
Mamas moderadamente densas.
A nivel retroareolar de mama derecha pequeño foco de microcalcificaciones a 12 mm del pezón.
Por la densidad del tejido mamario complementar estudio con ecografía de alta resolución.
BIRADS:4C</t>
  </si>
  <si>
    <t>PREGUNTAR POR REF Y CITA</t>
  </si>
  <si>
    <t>GUARDALES LA ROSA HELEN</t>
  </si>
  <si>
    <t xml:space="preserve"> MACNAMARA 193</t>
  </si>
  <si>
    <t>P.S. DOMINGO MANDAMIENTO</t>
  </si>
  <si>
    <t>OPACIDAD NODULAR EN MAMA DERECHA, CON MICROCALCIFICACIONES EN SU INTERIOR, SE SUGIERE ESTUDIO ECOGRAFICO PARA MEJOR CARACTERIZACION CALCIFICACIONES DE ASPECTO BENIGNO. RESTO DE AMBAS MAMAS HETEROGÉNEAMENTE DENSAS, SE SUGIERE COMPLEMENTAR CON ECOGRAFÍA POR DENSIDAD MAMARI</t>
  </si>
  <si>
    <t>WASSAP  GRUPO</t>
  </si>
  <si>
    <t>MARTINEZ VILCA EVELYN ESTRELLA</t>
  </si>
  <si>
    <t>CALLE RICARDO PALMA 895</t>
  </si>
  <si>
    <t xml:space="preserve">SANTA MARIA </t>
  </si>
  <si>
    <t>P.S. SAN BARTOLOME</t>
  </si>
  <si>
    <t>MAMAS HETEROGENEAMENTE DENSAS ACR-C. MICROCALCIFICACIONES PLEOMORFICAS EN CSE DE MAMA IZQUIERDA</t>
  </si>
  <si>
    <t>ECOGRAFIA COMPLEMEMTRAIA Y MAGNIFICACION</t>
  </si>
  <si>
    <t>LISET PATOLOGIA</t>
  </si>
  <si>
    <t>TUMOR MALIGNO G2/3</t>
  </si>
  <si>
    <t xml:space="preserve"> PASA EN INEN</t>
  </si>
  <si>
    <t>CARREÑO PRADA BEATRIZ VICTORIA</t>
  </si>
  <si>
    <t>924 081 637</t>
  </si>
  <si>
    <t>Mamas heterogéneamente densas
Impresiona lesión de morfología irregular radiodensa de márgenes parcialmente circunscritos y lobulados a nivel
de plano medio de unión de cuadrantes internos de mama derecha</t>
  </si>
  <si>
    <t>BX ESTUDIO  HISTOLOGICO</t>
  </si>
  <si>
    <t xml:space="preserve">SE ESCRIBIO  PARA Q RECOJA </t>
  </si>
  <si>
    <t>CALDERON VARGAS ANGELA GUISELA</t>
  </si>
  <si>
    <t>HUAURA</t>
  </si>
  <si>
    <t>C.S. EL SOCORRO</t>
  </si>
  <si>
    <t>OPACIDADES NODULARES DE MARGENES LOBULADOS, EN MAMA IZQUIERDA, SUGIERE ESTUDIO ECOGRAFICO PARA MEJOR CARACTERIZACION RESTO DE LA MAMOGRAFÍA BILATERAL DENTRO DE LÍMITES NORMALES. BI-RADS: 4B</t>
  </si>
  <si>
    <t>BI-RADS: 4B</t>
  </si>
  <si>
    <t>OB. BRENDA  ROMERO</t>
  </si>
  <si>
    <t>QUICHIZ SAMNAMUD MERY</t>
  </si>
  <si>
    <t>SAN JUDAS</t>
  </si>
  <si>
    <t>Mamas heterogéneamente densas. Patrón ACR - C.
Calcifcacines finas pleomorficas en CSE de mama derecha , Requiere ampliar estudio (esterotaxia)
Categoría BIRADS 4B</t>
  </si>
  <si>
    <t>OSTOS PAZ EDITH FLOR</t>
  </si>
  <si>
    <t>JR ATAHUALPA 372 INT 4</t>
  </si>
  <si>
    <t>1. OPACIDADES NODULARES EN MAMA IZQUIERDA, DE PROBABLE ASPECTO BENIGNO, SE SUGIERE ECOGRAFIA.                                                                                                                                                                                                                                                                                                                                                                                                                                                                                                                                                                                                                                                    2. RESTO DE LA MAMOGRAFIA BILATERAL DENTRO DE LIMITES NORMALES                                        3. BI-RADS 2</t>
  </si>
  <si>
    <t>BI-RADS 2</t>
  </si>
  <si>
    <t>VASQUEZ CLAVO ILDA ISABEL</t>
  </si>
  <si>
    <t xml:space="preserve">CALLE JUAN VELAZCO ALVARADO A-24 LOS PINOS </t>
  </si>
  <si>
    <t>986 717 249</t>
  </si>
  <si>
    <t>1. MAMOGRAFIA DENTRO DE LIMITES NORMALES                                                                                    2. BI-RADS 1</t>
  </si>
  <si>
    <t>MAMOGRAFIA ANUAL</t>
  </si>
  <si>
    <t>NA</t>
  </si>
  <si>
    <t>ESTEBAN HUAMAN DE MONTERO SHUGEY MILAGROS</t>
  </si>
  <si>
    <t xml:space="preserve">CHURURO  S/N </t>
  </si>
  <si>
    <t>1.- MAMAS HETEROGENEAMENTE DENSAS , COMPLEMENTAR CON ECOGRAFIA                                                                                                                                                                                                                                                                                                                                                                                                                                                                                                                                                                               2.- BI-RADS 1</t>
  </si>
  <si>
    <t>1.- DOS NODULOS HIPOECOGENICOS DE ASPECTO BENIGNO EN MAMA IZQUIERDA A CONSIDERAR FIBROMA, CONTROL  ECOGRAFICO 6 MESES. 2.- QUISTES SIMPLES EN MAMA IZQUIERDA. 3.- BI-RADS 6</t>
  </si>
  <si>
    <t>BI-RADS 3</t>
  </si>
  <si>
    <t>ABANTE SALDARRIAGA BLANCA MILAGROS</t>
  </si>
  <si>
    <t>AV.LAS AMERICAS 653 MAZO</t>
  </si>
  <si>
    <t>VEGUETA</t>
  </si>
  <si>
    <t>986 627 458</t>
  </si>
  <si>
    <t>P.S. MAZO</t>
  </si>
  <si>
    <t>1.MICROCALCIFICACIONES DE ASPECTO BENIGNO EN MAMA IZQUIERDA.                   2. RESTO D E MAMOGRAFIA BILATERAL DENTRO DE LIMITE SNORMALES                                    3. BI-RADS 2</t>
  </si>
  <si>
    <t>MAMOGARFIA  ANUAL</t>
  </si>
  <si>
    <t>ALVAREZ ALVAREZ AMANDA SOLEDAD</t>
  </si>
  <si>
    <t xml:space="preserve">LAS FLORES </t>
  </si>
  <si>
    <t>1.- MAMOGRAFIA BILATERAL SIN SIGNOS QUE  SUGIERAN MALIGNIDAD                                                                                                                                                                                                                                                                                                                                                                                                                                                                                                                                                                             2.-BI-RADS 1</t>
  </si>
  <si>
    <t>NO CONTESTA</t>
  </si>
  <si>
    <t>VELASQUEZ ASENCIOS AIDA</t>
  </si>
  <si>
    <t>CHACACA S/N</t>
  </si>
  <si>
    <t>920 326 812</t>
  </si>
  <si>
    <t>1.- MAMOGRAFIA BILATERAL SIN SIGNOS QUE  SUGIERAN MALIGNIDAD                                                                                                                                                                                                                                                                                                                                                                                                                                                                                                                                                                             2.- CALCIFICACIONES DE ASPECTO  BENIGNO EN MAMAS BILATERAL</t>
  </si>
  <si>
    <t>PNDTE ENTREGA</t>
  </si>
  <si>
    <t>SAMANAMUD LINO  CRISTINA INGRID</t>
  </si>
  <si>
    <t>FELIX B. CARDENAS SUR 156</t>
  </si>
  <si>
    <t>955 753 826</t>
  </si>
  <si>
    <t>P.S. LA UNION</t>
  </si>
  <si>
    <t xml:space="preserve">1.- MAMAS HETEROGENEAMENTE DENSAS                                                                                                                                                                                                                                                                                                                                                                                                                                                                                                                                                                                     2.- CALCIFICACIONES DE ASPECTO  BENIGNO EN MAMA IZQUIERDA </t>
  </si>
  <si>
    <t>LA ROSA LEON MARITZA</t>
  </si>
  <si>
    <t>CERRO MONTERO</t>
  </si>
  <si>
    <t>P.S. CHONTA</t>
  </si>
  <si>
    <t>1.- MICROCALCIFICAIONES AGRUPADAS EN MAMA DERECHA. SE SUGIERE CONTRO, POSTERIO.                                                                                                                                                                                                                                                                                                                                                                                                                                                                                                                                        2.-OPACIDAD NODULAR HETEROGENEA, DE PROBABLE ASPECTO BENIGNO LOCALIZADA EN MAMA IZQUIERDA, SUGESTIVO  DE PROBABLE HAMARTOMA, SE SUGIERE ESTUDIO  ECOGRAFICO SELECTIVO  PARA  MEJOR CARACTERIZACION.                                                                                                    3.- OPACIDADES NODULARES EN CII DE MAMA IZQUIERDA, PROBABLE ASPECTO  BENIGNO, SE SUGIERE ESTUDIO ECOGRAFICO PARA MEJOR CARACTERIZACION.                                                                                                                                                                                                                                                                         4. CALCIFICACIONES DE ASPECTO  BENIGNO  EN MAMA DERECHA.                                                                                                                                                                                                                                                                                                                                                                                                                                                                                  5. RESTO DE MAMOGRAFIA BILATERAL  DENTRO DE LIMITES NORMNALES                                                                                                                                                                                                                                                                                                                                                                                                                                                                   6. BI-RADS 3</t>
  </si>
  <si>
    <t xml:space="preserve"> ECOGRAFIA DE MAMAS</t>
  </si>
  <si>
    <t xml:space="preserve">PNDTE </t>
  </si>
  <si>
    <t>22079940</t>
  </si>
  <si>
    <t>ARQUIÑEJO HUAMANI JULIA YANET</t>
  </si>
  <si>
    <t>CALLE DANIEL ALCIDE CARRION MZG LOR 153</t>
  </si>
  <si>
    <t xml:space="preserve">HUARAL </t>
  </si>
  <si>
    <t>1.MICROCALCIFICACIONES MALDEFINIDAS AGRUPADAS EN CSE DE MAMA IZQUIERDA QUE REQUIERE AMPLIAR CON MAGNIFICACIÓN</t>
  </si>
  <si>
    <t>MAGNIFICACIONES DE LAS MICROCALCIFICACIONES/ECOGRAFIA DE MAMAS</t>
  </si>
  <si>
    <t>25/11/2026 WASSAP</t>
  </si>
  <si>
    <t>NO PERTENECE A JURISDICCION</t>
  </si>
  <si>
    <t xml:space="preserve">	GRUPO DE MICROCALCIFICACIONES PLEOMORFAS EN EL CUADRANTE SUPERO EXTERNO DE LA MAMA IZQUIERDA.
	RECOMENDACIÓN: SE SUGIERE BIOPSIA ESTEREOTÁXICA. 
</t>
  </si>
  <si>
    <t>BIOPSIA ESTEREOTOXICA</t>
  </si>
  <si>
    <t>ANGELES LUCAS DE DIAZ ISABEL  ALICIA</t>
  </si>
  <si>
    <t>CALLE PESCADORES 106</t>
  </si>
  <si>
    <t>1. MAMOGRAFI A BILATERAL  DENTRO DE LIMITES NOIRMALES</t>
  </si>
  <si>
    <t>TAPIA  CORALES JUANA</t>
  </si>
  <si>
    <t>LA PALMA 371</t>
  </si>
  <si>
    <t>MORENO  REVILLA GINGER LIZ</t>
  </si>
  <si>
    <t>URB LEVER PACHOCHA 2DA ETAPA - CALLE ANDRES AVELINO  CACERES 126</t>
  </si>
  <si>
    <t>1. ASIMETRIA FOCAL  EN MAMA DERECHA , SE SUGIERE ECOGRAFIA .</t>
  </si>
  <si>
    <t>MORA OCAÑA MARTHA</t>
  </si>
  <si>
    <t xml:space="preserve">JUAN NVELADCO  LAVARADO  II ETAPA MZ E LOT 4 </t>
  </si>
  <si>
    <t>1. MAMOGRAFIA SIN SIGNOS QUE SUGIERAN MALIGNIDAD</t>
  </si>
  <si>
    <t>12/01/2026 WASSAP</t>
  </si>
  <si>
    <t>CAMPO MITMA JENNY JOVANA</t>
  </si>
  <si>
    <t xml:space="preserve">AA HH BELLA  VISTA S/N </t>
  </si>
  <si>
    <t>C.S. VEGUETA</t>
  </si>
  <si>
    <t>LA MAMOGRAFÍA BILATERAL DENTRO DE LÍMITES NORMALES.
BI-RADS: 1</t>
  </si>
  <si>
    <t>NRO NO EXISTE</t>
  </si>
  <si>
    <t>CEFERINO SANCHEZ GLADYS CECILIA</t>
  </si>
  <si>
    <t>CP EL SOL LOZA L-12</t>
  </si>
  <si>
    <t>C.S. HUAURA</t>
  </si>
  <si>
    <t>1. OPACIDADES NODULARES EN REGION AXILAR IZQUIERDA, SUGESTIVOS DE PROBABLES GANGLIOS, SE SUGIERE
ESTUDIO ECOGRAFICO PARA MEJOR CARACTERIZACION
2. RESTO DE LA MAMOGRAFÍA BILATERAL DENTRO DE LÍMITES NORMALES.
BI-RADS: 2</t>
  </si>
  <si>
    <t>MORALES CALDERON MARCOLFA</t>
  </si>
  <si>
    <t>COSTA AZUL  MZ N -6 LOT 3 AGUA DULCE</t>
  </si>
  <si>
    <t>C.S. MANZANARES</t>
  </si>
  <si>
    <t>CEL APAGADO</t>
  </si>
  <si>
    <t>ROLDAN CHAVEZ NERY KARINA</t>
  </si>
  <si>
    <t>AV SAN MARTIN DE PORRES 1098</t>
  </si>
  <si>
    <t>MAMAS HETEROGÉNEAMENTE DENSAS, SE SUGIERE COMPLEMENTAR CON ECOGRAFÍA POR DENSIDAD MAMARIA.
BI-RADS: 1</t>
  </si>
  <si>
    <t>PALOMARES MEDINA ANA ISABEL</t>
  </si>
  <si>
    <t>AV SAN ISIDRO  570</t>
  </si>
  <si>
    <t>986 233 114</t>
  </si>
  <si>
    <t>ROJAS PADILLA BLANCA ENRIQUETA</t>
  </si>
  <si>
    <t>PSJ SANTA ROSA 120 INT  2</t>
  </si>
  <si>
    <t>992 763 571</t>
  </si>
  <si>
    <t>1. ASIMETRIA FOCAL EN REGION RETROAREOLAR DE MAMA DERECHA, SE SUGIERE ESTUDIO ECOGRAFICO PARA
MEJOR CARACTERIZACION.
2. RESTO DE LA MAMOGRAFÍA BILATERAL DENTRO DE LÍMITES NORMALES.
BI-RADS: 3</t>
  </si>
  <si>
    <t>SIN HALLAZGOS PATOLOGICOS</t>
  </si>
  <si>
    <t>RAMIREZ ROJAS SONIA CECILIA</t>
  </si>
  <si>
    <t>PSJ SANTA ROSA 272</t>
  </si>
  <si>
    <t>1. MICROCALCIFICACIONES AGRUPADAS EN AMBAS MAMAS, SE SUGIERE AMPLIACION DE ESTUDIO CON
MAGNIFICACION Y ECOGRAFIA COMPLMENTARIA.
2. RESTO DE AMBAS MAMAS HETEROGÉNEAMENTE DENSAS, SE SUGIERE COMPLEMENTAR CON ECOGRAFÍA POR
DENSIDAD MAMARIA.
BI-RADS: 0</t>
  </si>
  <si>
    <t>MAGNIFICACION DE AMBAS MAMAS + ECOGRAFIA DE MAMAS</t>
  </si>
  <si>
    <t>GALACTORREA EN MAMA DERECHA</t>
  </si>
  <si>
    <t>MICROCALCIFICACIONES AMORFAS EN REGION RETROAEROLAR IZQUIERDA. 2.- SE RECOMIENDA BX ESTEREOTAXICA EN REGION RETROAREOLAR IZQUIERDA</t>
  </si>
  <si>
    <t>BX ESTEREOTAXICA</t>
  </si>
  <si>
    <t>MUÑOZ CALDERON  DIAZ SIMIONA</t>
  </si>
  <si>
    <t>AMPARO  CARDENAS F-</t>
  </si>
  <si>
    <t>CASTRO  RODRIGUEZ ANGELICA LUISA</t>
  </si>
  <si>
    <t>ANTIGUA PANAM NORTE  215 PUEBLO  JOVEN  SANTA ROSA COMITE  3</t>
  </si>
  <si>
    <t>904 319 344</t>
  </si>
  <si>
    <t>1. CALCIFICACIONES DE ASPECTO BENIGNO EN AMBAS MAMAS.
2. RESTO DE AMBAS MAMAS EXTREMADAMENTE DENSAS, SE SUGIERE COMPLEMENTAR CON ECOGRAFÍA POR
DENSIDAD MAMARIA.
BI-RADS: 2</t>
  </si>
  <si>
    <t>16/01/2026 WASSAP</t>
  </si>
  <si>
    <t>CAVERO GARCIA ERIKA RAQUEL</t>
  </si>
  <si>
    <t>CALLE J18 D EJULIO  110</t>
  </si>
  <si>
    <t>MAMAS EXTREMADAMENTE DENSAS, SE SUGIERE COMPLEMENTAR CON ECOGRAFÍA POR DENSIDAD MAMARIA.
BI-RADS: 1</t>
  </si>
  <si>
    <t>CALDAS VERGARA ROSA MILAGROS</t>
  </si>
  <si>
    <t>SAN JUDAS TADEO MZ E -5 LOT 6</t>
  </si>
  <si>
    <t>P. S. SAN JUDAS TADEO</t>
  </si>
  <si>
    <t>GALLARDO MUÑOZ LIDIA JANET</t>
  </si>
  <si>
    <t>CALLE 28 DE JULIO 151 INT.C</t>
  </si>
  <si>
    <t>MELENDEZ MARCELO SARA NANCY</t>
  </si>
  <si>
    <t>AUCALLAMA MIRAFLORES AV BNOS AIRES S/N</t>
  </si>
  <si>
    <t>P.S. AUCALLAMA</t>
  </si>
  <si>
    <t>1. MAMAS EXTREMANDAMENTE DENSAS  2. BI-RADS 0</t>
  </si>
  <si>
    <t>16/01/2026 WATHSSAP</t>
  </si>
  <si>
    <t xml:space="preserve">PAREDES OLAYA KARIN JESSICA </t>
  </si>
  <si>
    <t>JR PERU  375</t>
  </si>
  <si>
    <t>1. MAMAS HETEROGENEAMENTE DNESAS, S SUGIERE COMPLEMENTAR  CON ECOGRAFIA POR DENSIDAD MAMARIA 2. BI-RADS 1</t>
  </si>
  <si>
    <t>SHAPIAMA RAMOS MILEIDI</t>
  </si>
  <si>
    <t xml:space="preserve">SAN NATONIO  II ETAPA  MZ B LOT  7 </t>
  </si>
  <si>
    <t>P.S. AMADO VELASQUEZ</t>
  </si>
  <si>
    <t>MORANTE  OYOLA ISABEL MILAGRITOS</t>
  </si>
  <si>
    <t>CALLE BNOS AIRES 366</t>
  </si>
  <si>
    <t>CARQUIN</t>
  </si>
  <si>
    <t>998 112 723</t>
  </si>
  <si>
    <t>1. CAMBIOS POST-QUIRURGICOS DE LA MAMA DERECHA, SIN SIGNOS DE RECURRENCIA LOCORREGIONAL
2. CLCIFICACIONES DE ASPECTO BENIGNO EN MAMA IZQUIERDA
3. RESTO DE LA MAMOGRAFÍA BILATERAL DENTRO DE LÍMITES NORMALES.
BI-RADS: 2</t>
  </si>
  <si>
    <t>RAMIREZ TENA ROSA PILAR</t>
  </si>
  <si>
    <t>MANZNARES II ETAPA  MZ D LOT 5</t>
  </si>
  <si>
    <t>Mamas heterogéneamente densas
Calcificaciones de aspecto benigno en mama izquierda
Impresiona discreta distorsión de la arquitectura fibroglandular a nivel de región retroareolar izquierda asociado a
probables cambios postquirúrgicos</t>
  </si>
  <si>
    <t>AMOROS REA MONICA SILVIA</t>
  </si>
  <si>
    <t>CALLE LE INCA 225</t>
  </si>
  <si>
    <t>Mamas heterogéneamente densas
Calcificaciones anulares de aspecto benigno dispersas en ambas mamas
Calcificaciones gruesas de aspecto benigno en mama izquierda
Impresiona calcificación cutánea en cuadrante inferior interno de mama derecha</t>
  </si>
  <si>
    <t>PEREA MANRIQUE CYNTHIA GIULIANA</t>
  </si>
  <si>
    <t>PSJ DGO MANDAMIENTO  186</t>
  </si>
  <si>
    <t>Mamas heterogéneamente densas _x000D_</t>
  </si>
  <si>
    <t>OLORTEGUI  CUMARI  MILA</t>
  </si>
  <si>
    <t>PSJ LAS ROSAS J-11 LOT A-2 SAN JUDAS TADEO  ALTO</t>
  </si>
  <si>
    <t>MAMOGREAFIA ANUAL</t>
  </si>
  <si>
    <t>NRO SIN SERVICIO</t>
  </si>
  <si>
    <t>ARAUJO ESTABAN ERICA ELIZABETH</t>
  </si>
  <si>
    <t>LA PERLITA II CALLE 200</t>
  </si>
  <si>
    <t>C. S. VEGUETA</t>
  </si>
  <si>
    <t>LA MAMOGRAFÍA BILATERAL DENTRO DE LÍMITES NORMALES.
BI-RADS: 0</t>
  </si>
  <si>
    <t>CRISOL SOLIS LINDA</t>
  </si>
  <si>
    <t>AV SEVILLA LOS PINOS S/N CHONTA</t>
  </si>
  <si>
    <t> Mamas heterogéneamente densas. Patrón ACR - C.
Categoría BIRADS 0</t>
  </si>
  <si>
    <t> </t>
  </si>
  <si>
    <t>GRADOS  TORRES MONICA DEL PILAR</t>
  </si>
  <si>
    <t>CARQUIN AV INDUSTRIAL 555</t>
  </si>
  <si>
    <t>Mamas heterogéneamente densas. Patrón ACR - C.
Categoría BIRADS 0</t>
  </si>
  <si>
    <t>CANTARO EUSEBIO MIRYAM ELIZABETH</t>
  </si>
  <si>
    <t>CALLE MANCO CAPAC G - 10 EL MILAGROS 2</t>
  </si>
  <si>
    <t>HUARAL</t>
  </si>
  <si>
    <t>Mamas adiposas .Patrón ACR Tipo A
No se observan lesiones sospechosas de malignidad por esta modalidad de estudio
BI-RADS 1</t>
  </si>
  <si>
    <t>TARAZOZNA  CARBAJAL AIDE</t>
  </si>
  <si>
    <t xml:space="preserve"> SANTA HILDA MZ B LT9</t>
  </si>
  <si>
    <t>DE LA CRUZ RONDAN DE ROJAS TRINY SARIT</t>
  </si>
  <si>
    <t xml:space="preserve">ANDAHUASI </t>
  </si>
  <si>
    <t>C. S. SAYAN</t>
  </si>
  <si>
    <t> Mamas adiposas .Patrón ACR Tipo A
No se observan lesiones sospechosas de malignidad por esta modalidad de estudio
Calcificaciones típicamente benignas en ambas mamas
Categoría BI-RADS 2</t>
  </si>
  <si>
    <t>CONDORI MARCA RUTH DENNY</t>
  </si>
  <si>
    <t xml:space="preserve">EL PARAISO  MZ B LOT 11 </t>
  </si>
  <si>
    <t>NODULO HIPOECOGENICO MULTILOBULADO EN MAMA IZQUIERDA+NO PRESENTA ADENOPATIAS AXILARES SOSPECHOSOS DE MALIGNIDAD</t>
  </si>
  <si>
    <t>SS BIOPSIA A D/C PROCESO NEOFORMATIVO.</t>
  </si>
  <si>
    <t>GARCIA MEDINA NADIA  ISABEL</t>
  </si>
  <si>
    <t>PROLOG SANTA ROSA 291</t>
  </si>
  <si>
    <t>ABANTES ESPINOZA ROSA MARIA</t>
  </si>
  <si>
    <t>PANAM NORTE</t>
  </si>
  <si>
    <t>Mamas heterogéneamente densas. Patrón ACR - C.
El estudio realizado muestra mamas densas sin evidenciar signos sospechosos de NM.
Calcificaciones vasculares en ambas mamas
Categoría BIRADS 0</t>
  </si>
  <si>
    <t>RETUERTO  FALCON OLIMPIA FLOR</t>
  </si>
  <si>
    <t>CP  TRES DE MAYO - CENTINELA</t>
  </si>
  <si>
    <t>MAMAS HETEROGENEAMENTE DENSAS. 2.- BI-RADS 0</t>
  </si>
  <si>
    <t>MARTINEZ MEDINA LASTENIA LILIANA</t>
  </si>
  <si>
    <t xml:space="preserve">ESTEBAN PICHILINGUE 489 </t>
  </si>
  <si>
    <t>931 893 857</t>
  </si>
  <si>
    <t>1.- ESTUDIO REALIZADO MUETSRA MAMAS DENSAS SIN EVIDENCIAR SIGNOS SOSPECHOSOS DE NM. 2.- CALCIFICAION TIPICAMENTE BENIGNAS EN MAMA DERECHA. 3.-  NODUO  CON GRUESA CALCIFICAION  QUE  CORRESPONDERIA A FIBROADENOMA HIALINIZADO  EN MAMA DERECHA.  4.-BI-RADS 0</t>
  </si>
  <si>
    <t>ROJAS TIMBA MARITZA LUZ</t>
  </si>
  <si>
    <t>LAS FLORES F-9 SOCORRO</t>
  </si>
  <si>
    <t>972 085 191</t>
  </si>
  <si>
    <t>MAMAS HETEROGENEAMENTE DENSAS. 2.- CALCIFICAION CUTANEA EN MAMA IZQUIERDA M TIPICAMENTE BENIGNA. 3.- BI-RADS 0</t>
  </si>
  <si>
    <t>BENDEZU  HILARIO  DORKAS YURI</t>
  </si>
  <si>
    <t xml:space="preserve">CALLE LOS  ANGELS LOT 1 MZ S -2 </t>
  </si>
  <si>
    <t>986 924 217</t>
  </si>
  <si>
    <t>CITA 03/04/26</t>
  </si>
  <si>
    <t>CERNA MENDOZA JULISA JHANETH</t>
  </si>
  <si>
    <t>LOS PINOS CALLE IQUITOS MZ.F LT.4</t>
  </si>
  <si>
    <t>986 553 924</t>
  </si>
  <si>
    <t>GONZALES COLLANTES HAYDEE MARGOT</t>
  </si>
  <si>
    <t>DOS DE MAYO  233</t>
  </si>
  <si>
    <t>1.- MAMAS HETEROGENEAMENTE DENSAS . 2.-  NODULOS  DE MARGENES PARCIALMENTE OSCURECIDOS  EN MAMA DERECHA.  4.-BI-RADS 0</t>
  </si>
  <si>
    <t> AMBAS MAMAS SIN HALLAZGOS PATOLOGICOS, NO PRESENTA FORMACIONES NODULARES, QUISTICAS NI CAMBIOS INFLAMATORIOS.</t>
  </si>
  <si>
    <t>SEBASTIAN QUISPE  LIZBETH DIONICIA</t>
  </si>
  <si>
    <t>MARISCAL CASTILLA 363</t>
  </si>
  <si>
    <t> AMBAS MAMAS SIN HALLAZGOS PATOLOGICOS, NO PRESENTA FORMACIONES NODULARES, QUISTICAS NI CAMBIOS INFLAMATORIOS. NO PRESENTA DENOPATIAS AXILARES SOSPECHOSOS DE MALIGNIDAD</t>
  </si>
  <si>
    <t xml:space="preserve">SANCHEZ HUAMAN CAROLINA MARIA </t>
  </si>
  <si>
    <t>C.P.CHACACA MZ.I LT.09</t>
  </si>
  <si>
    <t xml:space="preserve">  CEL APAGADO</t>
  </si>
  <si>
    <t>MARTINEZ QUICHE YSABEL CRISTINA</t>
  </si>
  <si>
    <t>JR.LIMA 155 SAN LORENZO</t>
  </si>
  <si>
    <t>SIN INFORME</t>
  </si>
  <si>
    <t>TORRES SOLANO  DE PORTILLA LIZBET KARIN</t>
  </si>
  <si>
    <t xml:space="preserve">CALLE 515 INT  2 </t>
  </si>
  <si>
    <t>Mamas heterogéneamente densas ACR Tipo C
Asimetría de densidad e imagen nodular de márgenes oscurecidos en tercio medio de mama derecha
Ganglios linfáticos en región axilar con perdida de la morfología
Categoría BIRADS 0</t>
  </si>
  <si>
    <t>12/02/2026 WATHSSAP</t>
  </si>
  <si>
    <t>TARDE</t>
  </si>
  <si>
    <t>HONORIO FLORES SAL USTRIA</t>
  </si>
  <si>
    <t>CALLE RICARDO PALMA MZ R LT 19 ASENT H LA PERLITA</t>
  </si>
  <si>
    <t>CALCIFICACIONES DE ASPECTO BENIGNO EN AMBAS MAMAS.
RESTO DE LA MAMOGRAFÍA BILATERAL DENTRO DE LÍMITES NORMALES.
BI-RADS: 2</t>
  </si>
  <si>
    <t>TORERO  TORERO NANCY ZORAIDA</t>
  </si>
  <si>
    <t xml:space="preserve">CALLE EL MORO LO T 4 </t>
  </si>
  <si>
    <t>Mamas heterogéneamente densas .ACR Tipo C
Categoría BIRADS 0.</t>
  </si>
  <si>
    <t>DAVEY DIAZ JESSICA IVONNE</t>
  </si>
  <si>
    <t>URB LINO  CAHUAS CALLE CENTRAL MZ E LO T 5</t>
  </si>
  <si>
    <t>965 332 404</t>
  </si>
  <si>
    <t>Mamas con sectores dispersos de densidad fibroglandular (ACR tipo B)
Categoría BIRADS 1.</t>
  </si>
  <si>
    <t>23/01/2026 WATHSSAP</t>
  </si>
  <si>
    <t>RUIZ GUERRERO  GIULIANA</t>
  </si>
  <si>
    <t>MARISCAL LUZURIAGA E2-9A</t>
  </si>
  <si>
    <t>970 436 388</t>
  </si>
  <si>
    <t>Mamas heterogéneamente densas .ACR Tipo C
Imágenes nodulares de márgenes parcialmente oscurecidos en ambas mamas
Categoría BIRADS 0.</t>
  </si>
  <si>
    <t>DE LA SOTA URIBE LISSETH</t>
  </si>
  <si>
    <t>RANCHERIA BAJA NRO.67 HUANDO</t>
  </si>
  <si>
    <t>903 152 546</t>
  </si>
  <si>
    <t>VACAS AGUILAR RENE</t>
  </si>
  <si>
    <t>URB ANGELICA MORALES A-7 LAS GALIAS</t>
  </si>
  <si>
    <t>FLORES  SALVADOR  MARIA  SABINA</t>
  </si>
  <si>
    <t>HUANDO RANCHERIA BAJA 232</t>
  </si>
  <si>
    <t>910015622/938330304</t>
  </si>
  <si>
    <t>Mamas constituidas por tejido adiposo en casi su totalidad (ACR tipo A), no evidencia signos sospechosos de NM.
Categoría BIRADS 1.</t>
  </si>
  <si>
    <t>MARCOS CORONEL  DINA</t>
  </si>
  <si>
    <t xml:space="preserve">MORALES BERMUDEZ 505  ALFRENTE PARADERO AUCLLAMA EL TURISMO </t>
  </si>
  <si>
    <t>SUAREZ LOZA ROSA VICTORIA</t>
  </si>
  <si>
    <t>CRUZ DE CANO 253 B</t>
  </si>
  <si>
    <t>967 435 070</t>
  </si>
  <si>
    <t>Mamas heterogéneamente densas .ACR Tipo C
Calcificación típicamente benigna en mama izquierda
Categoría BIRADS 0.</t>
  </si>
  <si>
    <t>ASIMETRIA FOCAL EN MAMA IZQUIERDA- NO PRESENTA DENOPATIAS AXILARES SOSPECHOSAS DE MALIGNIDAD</t>
  </si>
  <si>
    <t>CONTROL ECOGRAFICO EN 3 MESES.</t>
  </si>
  <si>
    <t>CAYCHO  MANZUELOS RAQUEL</t>
  </si>
  <si>
    <t>CALLE PEDRO  P  HERRERA 1029</t>
  </si>
  <si>
    <t>ROMERO CASTILLO YANET</t>
  </si>
  <si>
    <t>URB SAN MARTIN MZ B LTE 17</t>
  </si>
  <si>
    <t>OPACIDADES NODULARES EN REGION AXILAR IZQUIERDA, SUGESTIVOS DE PROBABLES GANGLIOS, SE SUGIERE
ESTUDIO ECOGRAFICO PARA MEJOR CARACTERIZACION
RESTO DE AMBAS MAMAS HETEROGÉNEAMENTE DENSAS, SE SUGIERE COMPLEMENTAR CON ECOGRAFÍA POR
DENSIDAD MAMARIA.
BI-RADS: 2</t>
  </si>
  <si>
    <t>PACHECO MOSQUERA MARIA</t>
  </si>
  <si>
    <t>BARRIO UNION OBRERO SECTOR 4 LOT10 B</t>
  </si>
  <si>
    <t>962285954--96520300</t>
  </si>
  <si>
    <t>OPACIDADES NODULARES EN AMBAS REGIONES AXILARES, SUGESTIVOS DE PROBABLES GANGLIOS, SE SUGIERE
ESTUDIO ECOGRAFICO PARA MEJOR CARACTERIZACION
RESTO DE LA MAMOGRAFÍA BILATERAL DENTRO DE LÍMITES NORMALES.
BI-RADS: 2</t>
  </si>
  <si>
    <t>OCHOA BARROSO VERONICA FELICITAS</t>
  </si>
  <si>
    <t xml:space="preserve">AV FLORAL  209 AUCALLAMA </t>
  </si>
  <si>
    <t>SANCHEZ TOLEDO  ROSITA CARMEN</t>
  </si>
  <si>
    <t>AV TUPAC AMARU 378</t>
  </si>
  <si>
    <t>MICROCALCIFICACIONES PUNTIFORMES DE ASPECTO BENIGNO EN MAMA DERECHA.
CALCIFICACIONES DE ASPECTO BENIGNO EN MAMA IZQUIERDA.
RESTO DE AMBAS MAMAS HETEROGÉNEAMENTE DENSAS, SE SUGIERE COMPLEMENTAR CON ECOGRAFÍA POR
DENSIDAD MAMARIA.
BI-RADS: 2</t>
  </si>
  <si>
    <t>MIRANDA MORALES ANA INOCNECIA</t>
  </si>
  <si>
    <t>ASOC. DE VIV. LAS PALMERAS UNIDAS II  ETAPA  MZ K LOT 7</t>
  </si>
  <si>
    <t>981 072 745</t>
  </si>
  <si>
    <t>O05414730</t>
  </si>
  <si>
    <t>BENITEZ QUINTERO  KIMBERLYS EGLIN</t>
  </si>
  <si>
    <t>PROLOG MOORE 634</t>
  </si>
  <si>
    <t xml:space="preserve">1.	MAMOGRAFIA BILATERAL SIN HALLAZGOS DE IMÁGENES SOSPECHOSAS DE MALIGNIDAD.
2.	CATEGORIA BI-RADS: 1 (RESULTADO NEGATIVO).
</t>
  </si>
  <si>
    <t>ORNAY  MORALES MARIA ELENA</t>
  </si>
  <si>
    <t xml:space="preserve">PROLONG. FCO. ROSAS LOT 2 PASJ MARINA </t>
  </si>
  <si>
    <t>982 186 548</t>
  </si>
  <si>
    <t>OPACIDADES NODULARES EN AMBAS REGIONES AXILARES, SUGESTIVOS DE PROBABLES GANGLIOS, SE SUGIERE
ESTUDIO ECOGRAFICO PARA MEJOR CARACTERIZACION.
MICROCALCIFICACIONES PUNTIFORMES EN MAMA IZQUIERDA DE ASPECTO BENIGNO.
RESTO DE LA MAMOGRAFÍA BILATERAL DENTRO DE LÍMITES NORMALES.
BI-RADS: 2</t>
  </si>
  <si>
    <t>MORALES RAMOS  EVELYN ROXANA</t>
  </si>
  <si>
    <t>AV CRUZ BLANCA 781</t>
  </si>
  <si>
    <t>SANTA AMRIA</t>
  </si>
  <si>
    <t>TREBEJO FERNANDEZ BALVINA</t>
  </si>
  <si>
    <t xml:space="preserve">CORONELPORTILLO MZ F LOT 5 </t>
  </si>
  <si>
    <t>Mamas heterogéneamente densas
Calcificaciones de aspecto benigno en ambas mamas</t>
  </si>
  <si>
    <t>RAMIREZ DE JARA TEOFILA DOLORES</t>
  </si>
  <si>
    <t>CP  MENOR 9 DE OCTUBE MZ I  LO T 7 IRRIGACION S NAT ROSA</t>
  </si>
  <si>
    <t>C.S. 9 DE OCTUBRE</t>
  </si>
  <si>
    <t>Mamografía bilateral sin signos que sugieran malignidad
Impresiona imagen nodular de aspecto benigno a nivel de plano posterior de cuadrante superior externo de
mama izquierda sugerente de ganglio intramamario</t>
  </si>
  <si>
    <t>ECOGRAFIA DE MAMAS X NODULO  MAMOGRAFIA ANUAL</t>
  </si>
  <si>
    <t>ROMERO MELENDEZ EVELYN DEL PILAR</t>
  </si>
  <si>
    <t xml:space="preserve">PSJ SANTA ISABEL 137 </t>
  </si>
  <si>
    <t xml:space="preserve">Mamas heterogéneamente densas </t>
  </si>
  <si>
    <t xml:space="preserve">BI-RADS 0	</t>
  </si>
  <si>
    <t xml:space="preserve">PEZO PAREDES NCLAUDA ISABEL </t>
  </si>
  <si>
    <t>FCO DE ZELA S/N</t>
  </si>
  <si>
    <t>P.S. CAMPO ALEGRE</t>
  </si>
  <si>
    <t>Mamas heterogéneamente densas
Calcificación de aspecto benigno en unión de cuadrantes internos de mama derecha</t>
  </si>
  <si>
    <t>COCA CASTRO ROSA JACQUELINE</t>
  </si>
  <si>
    <t>AV MERCEDES INDACOCHEA M-20</t>
  </si>
  <si>
    <t>O1146956</t>
  </si>
  <si>
    <t>GOMEZ RUIZ ANGELA MARIA</t>
  </si>
  <si>
    <t>CALLE MICXAELA BASTIDAS 120</t>
  </si>
  <si>
    <t>ROJAS LOPEZ  JACQUELINE ESTHER</t>
  </si>
  <si>
    <t>AV 9 OCTUBRE 375 DEP  5</t>
  </si>
  <si>
    <t>MENDOZA CAMPOS DE RAFAYLE ERMILA YESSICA</t>
  </si>
  <si>
    <t>ASC LAS FLORES MZ D LOT 21</t>
  </si>
  <si>
    <t>919 032 631</t>
  </si>
  <si>
    <t>CONCLUSIÓN:
Mamas con áreas dispersas de densidad fibroglandular. Patrón ACR Tipo B.
Categoría BIRADS 1</t>
  </si>
  <si>
    <t>ECOGRAFIA DE MAMAS + MAMOGRAFIA ANUAL</t>
  </si>
  <si>
    <t>O6680956</t>
  </si>
  <si>
    <t>AZABACHE BAZALAR BRIGIDA  DEL ROSARIO</t>
  </si>
  <si>
    <t>CAMPO  ALEGRE 177</t>
  </si>
  <si>
    <t>Mamas heterogéneamente densas. Patrón ACR - C.
Distorsión de la arquitectura en mama izquierda en relación a cirugía previa
Calcificaciones vasculares típicamente benignas en ambas mamas
Categoría BIRADS 0</t>
  </si>
  <si>
    <t>CARREÑO  ALARCON ZAYDA MARITHA</t>
  </si>
  <si>
    <t>SALAVERRY  INT 5</t>
  </si>
  <si>
    <t>BERNARDO  QUISPE SONIA</t>
  </si>
  <si>
    <t>PSJ SAN MARTIN  179 INT 7</t>
  </si>
  <si>
    <t>PELAYO ARTEAGA VIOLETA GUISELA</t>
  </si>
  <si>
    <t>LA MERCED 104 ATALAYA</t>
  </si>
  <si>
    <t>987 082 34</t>
  </si>
  <si>
    <t>Mamas heterogéneamente densas. Patrón ACR Tipo C
Nódulo de márgenes circunscritos asocia calcificaciones en palomitas del maíz que podría corresponder a
fibroadenoma hialinizado en mama derecha
Categoría BIRADS 0</t>
  </si>
  <si>
    <t>NRO DE CEL INCOMPLETO</t>
  </si>
  <si>
    <t>MORY  DIAZ CELIA</t>
  </si>
  <si>
    <t>SAN FELIPE GRANJA MATILDE VICTORIA</t>
  </si>
  <si>
    <t>P.S. IC. MARIATEGUI</t>
  </si>
  <si>
    <t>SANTILLAN HUAYTAN PAMELA SUE</t>
  </si>
  <si>
    <t>CARQUIN CHICO LOT 9</t>
  </si>
  <si>
    <t>Mamas heterogéneamente densas. Patrón ACR - C.
Calcificaciones típicamente benignas en ambas mamas
Categoría BIRADS 0</t>
  </si>
  <si>
    <t>12/02/2026 - 09/03/2026</t>
  </si>
  <si>
    <t xml:space="preserve">LISET PATOLOGIA - PX </t>
  </si>
  <si>
    <t>ALBERCA CHIRRE SUSANA GREGORIA</t>
  </si>
  <si>
    <t>COMUNIDAD D EPUÑUN - LACSAURA</t>
  </si>
  <si>
    <t>CHECRAS</t>
  </si>
  <si>
    <t>913 135 979</t>
  </si>
  <si>
    <t>NAMUCHE CASTRO  ROSARIO JENNY</t>
  </si>
  <si>
    <t>CALLE TORRES PAZ  Nª 26 CON DOS DE MAYO</t>
  </si>
  <si>
    <t>958 491 482</t>
  </si>
  <si>
    <t>Mamas heterogéneamente densas. Patrón ACR Tipo C
Categoría BIRADS 0</t>
  </si>
  <si>
    <t>CADILLO PAULINO  ANA ELOISA</t>
  </si>
  <si>
    <t>BARRIO UNION OBRERO MZ B LOT 13</t>
  </si>
  <si>
    <t>945 022 443</t>
  </si>
  <si>
    <t>Mamas con áreas dispersas de densidad fibroglandular. Patrón ACR Tipo B.
No se observan lesiones sospechosas de malignidad por esta modalidad de estudio
Categoría BIRADS 1</t>
  </si>
  <si>
    <t>YACAS SAAVEDRA MIRIAM  LUZ</t>
  </si>
  <si>
    <t>PSJ.LOS NATURALES 240</t>
  </si>
  <si>
    <t>914 958 928</t>
  </si>
  <si>
    <t>Mamas heterogéneamente densas. Patrón ACR Tipo C
Calcificaciones típicamente benignas en ambas mamas
Categoría BIRADS 0</t>
  </si>
  <si>
    <t>03/02/2026 WATHSSAP</t>
  </si>
  <si>
    <t>ACOSTA SURICHAQUI  DE PEREZ EDA LUZ</t>
  </si>
  <si>
    <t xml:space="preserve">PRLOG EL PALMO  LOT 14 </t>
  </si>
  <si>
    <t>960 220 156</t>
  </si>
  <si>
    <t>MUÑOZ PIZARRO  ZEDELITH LILIANA</t>
  </si>
  <si>
    <t>CALLE LOS ANGELES 128</t>
  </si>
  <si>
    <t>979 228 718</t>
  </si>
  <si>
    <t>Mamas heterogéneamente densas. Patrón ACR Tipo C
Nódulo hiperdenso irregular de márgenes indistintos en tercio posterior CSE de mama derecha
Categoría BIRADS 4 B</t>
  </si>
  <si>
    <t>PARRAGUEZ MATEO  JUANA LUZ</t>
  </si>
  <si>
    <t>CALLE ALFONSO UGARTE MZ.J LT.9 URB. AUXILIOS MUTUOS</t>
  </si>
  <si>
    <t>945 901 282</t>
  </si>
  <si>
    <t>Mamas heterogéneamente densas. Patrón ACR Tipo C
Nódulo lobulado de márgenes parcialmente circunscritos en mama izquierda
Categoría BIRADS 0</t>
  </si>
  <si>
    <t>GARGATE SIMON ANA</t>
  </si>
  <si>
    <t>AV DOMINGO MANDAMIENTO 301</t>
  </si>
  <si>
    <t>957 329 313</t>
  </si>
  <si>
    <t>Mamas heterogéneamente densas. Patrón ACR Tipo C
Calcificaciones típicamente benignas en mamas
Categoría BIRADS 0</t>
  </si>
  <si>
    <t>ECOGRAFIA DE  MAMAS</t>
  </si>
  <si>
    <t>SIGUEÑAS YUALI ROSMERY  ROXANA</t>
  </si>
  <si>
    <t>PAMPA LOT  8</t>
  </si>
  <si>
    <t>TOMAS CHAVEZ SARA YNGRID</t>
  </si>
  <si>
    <t>ANTONIO  RAYMONDI 111</t>
  </si>
  <si>
    <t>12/02/2026 / 09/03/2026</t>
  </si>
  <si>
    <t>LISET PATOLOGIA - DIANA REGALADO WATHSSAP</t>
  </si>
  <si>
    <t>SAMPEN YARLAQUE MARITZA ALBERTINA</t>
  </si>
  <si>
    <t>CALLE BUENOS AIRES 153 ATALAYA</t>
  </si>
  <si>
    <t>923 910 112</t>
  </si>
  <si>
    <t>CASTIGLIONE PEÑA MARGARITA YENET</t>
  </si>
  <si>
    <t>ANTONIO  RAYMONDI  765</t>
  </si>
  <si>
    <t>NIETO  LUNA PAULA BRIGIDA</t>
  </si>
  <si>
    <t xml:space="preserve">3 DE MAYO  MZ H-2 EL MIRADOR </t>
  </si>
  <si>
    <t>Mamas heterogéneamente densas. Patrón ACR Tipo C
Calcificación típicamente benigna en mama izquierda
Categoría BIRADS 0</t>
  </si>
  <si>
    <t>RAMOS MATTOS ROSA INES</t>
  </si>
  <si>
    <t>MIRAMAR MZ G LOT 4 MANZNARES</t>
  </si>
  <si>
    <t>BRAVO ALONZO  MARGARITA</t>
  </si>
  <si>
    <t>JUAN VELASCO  ALVARADO   LOS INOS MZ B LOT  16</t>
  </si>
  <si>
    <t>OROSCO JIMENEZ AMELIA DEL  ROSARIO</t>
  </si>
  <si>
    <t>PROLOG  LAS FLORES MB -1</t>
  </si>
  <si>
    <t>Mamas heterogéneamente densas. Patrón ACR Tipo C
Calcificación típicamente benigna en mama derecha
Categoría BIRADS 0</t>
  </si>
  <si>
    <t>TAMARIZ GRADOS  PALMIRA ROSA</t>
  </si>
  <si>
    <t>AV HUALMAY 226</t>
  </si>
  <si>
    <t>Mamas con sectores dispersos de densidad fibroglandular (ACR tipo B)
Categoría BIRADS 1</t>
  </si>
  <si>
    <t>RAMOS RAMOS DE MENDOZA FELICITAS</t>
  </si>
  <si>
    <t>ASC VIRGEN DEL CARMEN MZ G LOT 12</t>
  </si>
  <si>
    <t>917 016 944</t>
  </si>
  <si>
    <t>Mamas con sectores dispersos de densidad fibroglandular (ACR tipo B)
Calcificaciones típicamente benignas en ambas mamas
Categoría BIRADS 2.</t>
  </si>
  <si>
    <t>MAMAOGRAFIA ANUAL</t>
  </si>
  <si>
    <t>ROSADIO  BALCAZAR  GRACIELA MARGARITA</t>
  </si>
  <si>
    <t>AV GRAU 593</t>
  </si>
  <si>
    <t>CHILCA RAMIREZ MISAELA RUPERSINA</t>
  </si>
  <si>
    <t>CALLE SALAVERRY 211 URB. VICTORIA ALTA</t>
  </si>
  <si>
    <t>982 144 357</t>
  </si>
  <si>
    <t>O2864928</t>
  </si>
  <si>
    <t>SANCHEZ PASACHE TANIA EDITH</t>
  </si>
  <si>
    <t>SALAVERRY 416</t>
  </si>
  <si>
    <t>ECOGRAFIA DE  MAMAS + MAMAOGRAFIA ANUAL</t>
  </si>
  <si>
    <t>RAFAEL  ESPINOZA CIRILA</t>
  </si>
  <si>
    <t>AV CORONEL PORTILLO  SILVA MZ E LOT 12-B</t>
  </si>
  <si>
    <t>970 159 162</t>
  </si>
  <si>
    <t>HUAMAN PALOMINO  YENI</t>
  </si>
  <si>
    <t xml:space="preserve">PSJ  PALOMARES MZ I LO T5 URB HUACHO </t>
  </si>
  <si>
    <t>901 793 207</t>
  </si>
  <si>
    <t>RIMAC ALBORNOZ DE ROSALES GUILLERMA AGRIPINA</t>
  </si>
  <si>
    <t>AA HH SARITA COLONIA MZ A LOT10</t>
  </si>
  <si>
    <t>987 540 365</t>
  </si>
  <si>
    <t>Mamas heterogéneamente densas. Patrón ACR Tipo C
Calcificaciones vasculares típicamente benignas
Categoría BIRADS 0</t>
  </si>
  <si>
    <t>VARGAS EVANGELISTA  EDITH MARGARITA</t>
  </si>
  <si>
    <t xml:space="preserve">IRRIGACION SANTA ROSA PAMPA BONITA </t>
  </si>
  <si>
    <t>994 994 092</t>
  </si>
  <si>
    <t>P.S. LA VILLA</t>
  </si>
  <si>
    <t>ECOGRAFIA DE  MAMAS + MAMOGRAFIA ANUAL</t>
  </si>
  <si>
    <t xml:space="preserve">RECOGE TECNICA FIORELA BLAS </t>
  </si>
  <si>
    <t>NRO EQUIVOCADO</t>
  </si>
  <si>
    <t>BAZAN MARUJO VERONICA YESSICA</t>
  </si>
  <si>
    <t>AV.BUENOS AIRES I 8 PRIMAVERA</t>
  </si>
  <si>
    <t>913 419 138</t>
  </si>
  <si>
    <t>Mamas heterogéneamente densas. Patrón ACR Tipo C
Calcificaciones vasculares , típicamente benignas
Categoría BIRADS 0</t>
  </si>
  <si>
    <t>VILLANUEVA CHAVEZ TULA ROSARIO</t>
  </si>
  <si>
    <t>AV HIPOLITO UNANUE 151 LT 2</t>
  </si>
  <si>
    <t>933 922 675</t>
  </si>
  <si>
    <t>Mamas con sectores dispersos de densidad fibroglandular (ACR tipo B)
Calcificaciones típicamente benignas en ambas mamas
Categoría BIRADS 2</t>
  </si>
  <si>
    <t>AMBAS MAMAS SIN HALLAZGOS PATOLOGICOS, NO PRESENTA FORMACIONES NODULARES, QUISTICAS NI CAMBIOS INFLAMATORIOS.+ NO PRESENTA ADENOPATIAS AXILARES SOSPECHOSOS DE MALIGNIDAD</t>
  </si>
  <si>
    <t xml:space="preserve">DOMINGUEZ SALAZAR LUZ BEATRIZ </t>
  </si>
  <si>
    <t>BUSTAMANTE - FLOR DE LA HUAQUILLA PSJ BUSTAMANTE S/N</t>
  </si>
  <si>
    <t>922 654 719</t>
  </si>
  <si>
    <t>Mamas heterogéneamente densas. Patrón ACR Tipo C
Calcificaciones típicamente benignas
Categoría BIRADS 0</t>
  </si>
  <si>
    <t>QUILLAY  MOYA NIEVE SLUZ</t>
  </si>
  <si>
    <t>ASENT. H. JOSE C. MARIATEGUI MZ. I LT. 6</t>
  </si>
  <si>
    <t>990 045 311</t>
  </si>
  <si>
    <t>MINETTO  DE MACHAGUA ELVIRA SILVIA</t>
  </si>
  <si>
    <t>AV. LAS DALIAS 421</t>
  </si>
  <si>
    <t>945 220 447</t>
  </si>
  <si>
    <t>VERASTEGUI  ROMERO  ELIZA EVANGELINA</t>
  </si>
  <si>
    <t>FELIX B. CARDENAS  682</t>
  </si>
  <si>
    <t>979 769 391</t>
  </si>
  <si>
    <t>IBARRA CRUZ AGAPITA SUSANA</t>
  </si>
  <si>
    <t>LA PERLITA S/N II ACALLE JUAN MEDINA</t>
  </si>
  <si>
    <t>947 665 624</t>
  </si>
  <si>
    <t xml:space="preserve">Mamas con sectores dispersos de densidad fibroglandular (ACR tipo B)
Calcificaciones típicamente benignas en ambas mamas
Categoría BIRADS 2.
</t>
  </si>
  <si>
    <t>PINEDO  GARCIA MARLITA</t>
  </si>
  <si>
    <t xml:space="preserve">LOS CLAVELES MZ J LOT  10 </t>
  </si>
  <si>
    <t>922 734 575</t>
  </si>
  <si>
    <t>LUCHO  BAZO  INES AURORA</t>
  </si>
  <si>
    <t>PROLONG. INDEPENDENCIA 315 ZAPATA</t>
  </si>
  <si>
    <t>P.S. ZAPATA</t>
  </si>
  <si>
    <t>SAMANAMUD CUEVA DE LUCHO ARMINDA ISABEL</t>
  </si>
  <si>
    <t>CP  QUILCA</t>
  </si>
  <si>
    <t>COLCAPAMPA</t>
  </si>
  <si>
    <t>P.S. COLCAPAMPA</t>
  </si>
  <si>
    <t>Mamografía bilateral sin signos que sugieran malignidad</t>
  </si>
  <si>
    <t xml:space="preserve"> CABALLERO VILLAFANA BERTHA ELVIRA</t>
  </si>
  <si>
    <t> CP SANTA INES</t>
  </si>
  <si>
    <t>FALERO PERFECTA VILMA ESPERANZA</t>
  </si>
  <si>
    <t>VIÑA DEL MAR MZ G LOT 4</t>
  </si>
  <si>
    <t>26/01/226</t>
  </si>
  <si>
    <t>PACORA APOLINARIO PATRICIA JOANA</t>
  </si>
  <si>
    <t xml:space="preserve"> JULIO C TELLO  MZ D LOT 35 LOS PINOS</t>
  </si>
  <si>
    <t>CALCIFICACIONES DE ASPECTO BENIGNO EN MAMA IZQUIERDA.
RESTO DE LA MAMOGRAFÍA BILATERAL DENTRO DE LÍMITES NORMALES.
BI-RADS: 2</t>
  </si>
  <si>
    <t>ALBARRACIN - MARIA ISABEL</t>
  </si>
  <si>
    <t xml:space="preserve">MARIA PARADO DE BELLIDO MZ A LOT 15 ASOVICEN </t>
  </si>
  <si>
    <t>924 812 480</t>
  </si>
  <si>
    <t>Mamas heterogéneamente densas
Impresiona imagen nodular de aspecto benigno a nivel del plano medio de cuadrante superior externo de mama
derecha</t>
  </si>
  <si>
    <t xml:space="preserve">LLONTOP FERNANDEZ MARIA JULIA </t>
  </si>
  <si>
    <t>JR CUZCO 220 VB</t>
  </si>
  <si>
    <t>LLIQUE VENTURA  ISOLINA</t>
  </si>
  <si>
    <t>IRRIGACION SANTA ROSA LA VILLA S/N</t>
  </si>
  <si>
    <t>TEC FIORELA BLAS</t>
  </si>
  <si>
    <t>LADERA REQUIZ JULIA VICTORIA</t>
  </si>
  <si>
    <t>MILAGRO II</t>
  </si>
  <si>
    <t>997 097 554</t>
  </si>
  <si>
    <t xml:space="preserve">FLORES BAZALAR VERONICA </t>
  </si>
  <si>
    <t>PSJ PIZARRO S/N FRENTE TIERRA PROMETIDA</t>
  </si>
  <si>
    <t>MONTEREUIL CHAPEYQUEN CARMEN LUISA</t>
  </si>
  <si>
    <t>AVE BENJAMIN DOIG LOSSIO 322</t>
  </si>
  <si>
    <t>994621735/ESP950940510</t>
  </si>
  <si>
    <t>ILLAN MENDEZ SILVIA ESPERANZA</t>
  </si>
  <si>
    <t>AV NATURALES CUADRA 11</t>
  </si>
  <si>
    <t>O05523255</t>
  </si>
  <si>
    <t>ORTEGA MONAGREDA HILDA AMELIA</t>
  </si>
  <si>
    <t>AV CINCUENTANRIO  S/N CRUCE CON ESTEBAN PICHILLINGUE</t>
  </si>
  <si>
    <t xml:space="preserve">MAMOGRAFIA BILATERAL SIN HALLAZGOS DE IMÁGENES SOSPECHOSAS DE MALIGNIDAD.
2.	CALCIFICACIONES TÍPICAMENTE BENIGNAS EN AMBAS MAMAS. 
3.	CATEGORIA BI-RADS: 2.
</t>
  </si>
  <si>
    <t>MAMOGRAFIA BIANUAL</t>
  </si>
  <si>
    <t>PX  04/02/2026</t>
  </si>
  <si>
    <t>CARDENAS CALDERON OLGA</t>
  </si>
  <si>
    <t>BARRIO UNION OBRERO A-4</t>
  </si>
  <si>
    <t>GOMEZ CAMONEZ CARMEN ELENA</t>
  </si>
  <si>
    <t>AST.H 2 DE DICIEMBRE MZ B LT 2</t>
  </si>
  <si>
    <t>997923283/923778233</t>
  </si>
  <si>
    <t>PARI SALAZAR MARIA</t>
  </si>
  <si>
    <t>PSJ EL NIÑO 1223</t>
  </si>
  <si>
    <t>ROJAS BUSTAMANTE YOELMA TERESA</t>
  </si>
  <si>
    <t>CALLE 28 DE JULIO 220</t>
  </si>
  <si>
    <t>Mamografía bilateral sin signos que sugieran malignidad
Calcificaciones de aspecto benigno en ambas mamas</t>
  </si>
  <si>
    <t>DAVALOS  GONZALES LUZ MATY</t>
  </si>
  <si>
    <t>PEOLOG SANTA ROSA 269</t>
  </si>
  <si>
    <t>924 645 348</t>
  </si>
  <si>
    <t>PX 13/02/2026</t>
  </si>
  <si>
    <t>PAZ BUENO ELIZABETH CLARET</t>
  </si>
  <si>
    <t>BEMJAMIN DOIG LOSIO 414</t>
  </si>
  <si>
    <t>APARICIO  ALDEA LUCILA</t>
  </si>
  <si>
    <t>AA HH ALBA MEZ C-5</t>
  </si>
  <si>
    <t>SANTOS BERNAL ROSA ELIZABETH</t>
  </si>
  <si>
    <t>AV MERCEDES INSACOCHEA MZ B -2</t>
  </si>
  <si>
    <t>HUERTA LEON LILIA</t>
  </si>
  <si>
    <t xml:space="preserve">AV 3 DE OCTUBRE MZ A LOT 18 </t>
  </si>
  <si>
    <t xml:space="preserve"> TORRES CHINGA ANA ROSARIO</t>
  </si>
  <si>
    <t>CA. LAS FLORES 204</t>
  </si>
  <si>
    <t>938 870 881</t>
  </si>
  <si>
    <t>Mamas constituidas por tejido adiposo casi a totalidad ACR Tipo A
Categoría BIRADS 1.</t>
  </si>
  <si>
    <t xml:space="preserve"> MAMOGRAFIA ANUAL</t>
  </si>
  <si>
    <t>YANAC MORALES LUCIN IRAIDA</t>
  </si>
  <si>
    <t>AV.TUPAC AMARU 209</t>
  </si>
  <si>
    <t>976 702 026</t>
  </si>
  <si>
    <t>Mamas heterogéneamente densas. Patrón ACR - C.
Categoría BIRADS 1</t>
  </si>
  <si>
    <t xml:space="preserve">ECOGRAFIA DE  MAMAS </t>
  </si>
  <si>
    <t>DOMINGUEZ DE FUENTES GRIMANEZA</t>
  </si>
  <si>
    <t xml:space="preserve">PSJ.COLAN MORALES BERMUDES 120 INT  20 </t>
  </si>
  <si>
    <t>Mamas con sectores dispersos de densidad fibroglandular (ACR tipo B)
Calcificaciones típicamente benignas en ambas mamas
Asimetría de densidad retroareolar en mama derecha
Categoría BIRADS 0</t>
  </si>
  <si>
    <t>ECOGRAFIA DE  MAMAS  DE MAMA DERECHA+ MAMOGRAFIA ANUAL</t>
  </si>
  <si>
    <t>ROMERO BERMUDEZ JANET MARIELA</t>
  </si>
  <si>
    <t>SAN BARTOLOME 2DA.ETAPA CALLE LOS  CIPRECES MZ.F LT.1</t>
  </si>
  <si>
    <t>944 617 290</t>
  </si>
  <si>
    <t>ROMERO AVILA ANDREA</t>
  </si>
  <si>
    <t>URB.LINO CAHUAS MZ.G LT.12</t>
  </si>
  <si>
    <t xml:space="preserve">BRUNO LEON ANA ISABEL </t>
  </si>
  <si>
    <t>HUANDO RANCHERIA BAJA 204</t>
  </si>
  <si>
    <t>Mamas heterogéneamente densas. Patrón ACR - C.
Calcificaciones típicamente benignas en mama izquierda
Categoría BIRADS 0</t>
  </si>
  <si>
    <t>TENORIO ESPINOZA JACQUELINE LICET</t>
  </si>
  <si>
    <t>PRIMAVERA FRANCISCO BOLOGNESI 401</t>
  </si>
  <si>
    <t>P.S. PRIMAVERA</t>
  </si>
  <si>
    <t>ESPINOZA UGALDE GISELA ROSARIO</t>
  </si>
  <si>
    <t>ARINCHAY</t>
  </si>
  <si>
    <t>AMBAR</t>
  </si>
  <si>
    <t>967 670 421</t>
  </si>
  <si>
    <t>C.S. AMBAR</t>
  </si>
  <si>
    <t>OBST MELISSA PALACIOS</t>
  </si>
  <si>
    <t>CHUY TERRY QUIROZ SHEILA</t>
  </si>
  <si>
    <t>AV CAHUAS 439 INT  7</t>
  </si>
  <si>
    <t>VASQUEZ VEGA MARIA MAGDALENA</t>
  </si>
  <si>
    <t>TUPAC AMARU MZ  Z LOT 19</t>
  </si>
  <si>
    <t>900 944 551</t>
  </si>
  <si>
    <t>MARCOS NUÑEZ JUANA</t>
  </si>
  <si>
    <t xml:space="preserve">28 DE JULIO  446 </t>
  </si>
  <si>
    <t>Mamas extremadamente densas (ACR tipo D)
Categoría BIRADS 0</t>
  </si>
  <si>
    <t>BLAS MARTEL REBECA ELISA</t>
  </si>
  <si>
    <t>SAN MARTIN DE PORRES II ETAPA MZ Q LOT1 MEDIO MUNDO</t>
  </si>
  <si>
    <t>928 725 905</t>
  </si>
  <si>
    <t>Mamas heterogéneamente densas. Patrón ACR - C.
Calcificaciones típicamente benignas
Categoría BIRADS 0</t>
  </si>
  <si>
    <t>PX 04/02/2026</t>
  </si>
  <si>
    <t>RIVERA ERMITAÑO ELENA ROSALBA</t>
  </si>
  <si>
    <t>COOP.BUENA VISTA 348</t>
  </si>
  <si>
    <t>920 384 890</t>
  </si>
  <si>
    <t>CIRILO  CORSINO  DOMITILA MAXIMA</t>
  </si>
  <si>
    <t>JESUS DLE VALLE CAMINO VIEJO POR MERCADO  VIEJO</t>
  </si>
  <si>
    <t>901 853 635</t>
  </si>
  <si>
    <t>O9352498</t>
  </si>
  <si>
    <t>ZAVALA  RUIZ IRIS ALICIA</t>
  </si>
  <si>
    <t>LA HUAQUILLA 582 INT  203</t>
  </si>
  <si>
    <t>MARTINEZ BERROPI VANESSA</t>
  </si>
  <si>
    <t>MORALES BERMUDEZ 599</t>
  </si>
  <si>
    <t>969474803-933811252</t>
  </si>
  <si>
    <t>MAGNIFICAION</t>
  </si>
  <si>
    <t>MUÑOZ SANCHEZ MARIA AURIESTELA</t>
  </si>
  <si>
    <t>PROLONGACION ZUÑIGA LT19</t>
  </si>
  <si>
    <t xml:space="preserve">MICROCALCIFICACIONES AGRUPADAS EN CSE DE MAMA IZQUIERDA QUE REQUIERE AMPLIACION DE ESTUDIO CON MAGNIFICACION Y TOMOSINTESIS 3D.
CALCIFICACIONES BENIGNAS EN AMBAS MAMAS.
RESTO DE AMBAS MAMAS HETEROGÉNEAMENTE DENSAS, SE SUGIERE COMPLEMENTAR CON ECOGRAFÍA POR DENSIDAD MAMARIA. BI-RADS: 0
</t>
  </si>
  <si>
    <t>ECOGRAFIA DE MAMAS + MAGNIFICACION + TOMOSISNTESIS  3D</t>
  </si>
  <si>
    <t>29/12/2025 WASSAP</t>
  </si>
  <si>
    <t>OBSERVADA</t>
  </si>
  <si>
    <t>CRUZ SIMON MAGDALENA ENMA</t>
  </si>
  <si>
    <t>CALLE JOR MONTALVO  104 VICTORIA TAHUADA</t>
  </si>
  <si>
    <t>LEYVA YANAC ERIKA</t>
  </si>
  <si>
    <t>BENJAMIN DOIG LOSIO 316</t>
  </si>
  <si>
    <t>978151366/975128109</t>
  </si>
  <si>
    <t>CALCIFICACION DE ASPECTO BENIGNO EN MAMA IZQUIERDA.
RESTO DE AMBAS MAMAS HETEROGÉNEAMENTE DENSAS, SE SUGIERE COMPLEMENTAR CON ECOGRAFÍA POR
DENSIDAD MAMARIA.
BI-RADS: 2</t>
  </si>
  <si>
    <t>RAMIRREZ BUSTILLOS IRIS ELVIRA</t>
  </si>
  <si>
    <t>LA MANCHURRIA BAJA 299</t>
  </si>
  <si>
    <t>954 789 987</t>
  </si>
  <si>
    <t>LOPEZ GRADOS ZOILA ETELVINA</t>
  </si>
  <si>
    <t xml:space="preserve">LOS JARDINES A-7 INT 2 </t>
  </si>
  <si>
    <t>949 371 940</t>
  </si>
  <si>
    <t>OPACIDAD NODULAR EN MAMA DERECHA, DE PROBABLE ASPECTO BENIGNO, SE SUGIERE ESTUDIO ECOGRAFICO
PARA MEJOR CARACTERIZACION
RESTO DE LA MAMOGRAFÍA BILATERAL DENTRO DE LÍMITES NORMALES.
BI-RADS: 3</t>
  </si>
  <si>
    <t>16/02/2026 HIJA LEZAMA LOPEZ TANIA</t>
  </si>
  <si>
    <t>RECIEN SACAR CITA PARA ECO</t>
  </si>
  <si>
    <t xml:space="preserve">ASENCIO  PIANTO  MARTHA </t>
  </si>
  <si>
    <t>UNION OBRERO LAS VIÑAS S/N MZ C LOT 14</t>
  </si>
  <si>
    <t>931 443 756</t>
  </si>
  <si>
    <t>MAMOGRAFIA  ANUAL</t>
  </si>
  <si>
    <t>BAZAN PRADA DE SANCHEZ ZULEYKA KELLY</t>
  </si>
  <si>
    <t xml:space="preserve">AV CORONEL PORTILLO  161 </t>
  </si>
  <si>
    <t>965 645 563</t>
  </si>
  <si>
    <t>CAMBIOS POST-QUIRURGICOS DE LA MAMA IZQUIERDA, SIN SIGNOS DE RECURRENCIA LOCORREGIONAL
MAMAS HETEROGÉNEAMENTE DENSAS, SE SUGIERE COMPLEMENTAR CON ECOGRAFÍA POR DENSIDAD MAMARIA.
BI-RADS: 2</t>
  </si>
  <si>
    <t>02/02/2026 ESPOSO  OCHOA GONZALES JOSE</t>
  </si>
  <si>
    <t>VIA GARAY  NANCY AMPARO</t>
  </si>
  <si>
    <t>CALLE CESAR VALLEJO 136</t>
  </si>
  <si>
    <t>952 318 726</t>
  </si>
  <si>
    <t>Mamas heterogéneamente densas. Patrón ACR - C.
Distorsión de la arquitectura no explicada por antecedente QX
Categoría BIRADS 4</t>
  </si>
  <si>
    <t>O0996696</t>
  </si>
  <si>
    <t>MURRIETA RENGIFO  LUSDINA</t>
  </si>
  <si>
    <t xml:space="preserve">MILAGRO II PSJ INDPENDENCIA MZ G LO T 5 </t>
  </si>
  <si>
    <t>945 410 086</t>
  </si>
  <si>
    <t>Mamas heterogéneamente densas. Patrón ACR - C.
Asimetría de densidad en CSI de mama izquierda
Categoría BIRADS 0</t>
  </si>
  <si>
    <t>HUAMAN LAZO, ELISA ISABEL</t>
  </si>
  <si>
    <t>PROLOG LO S GERANEOS 495</t>
  </si>
  <si>
    <t xml:space="preserve">MAMAS HETEROGENEAMENTE DENSAS                                                                                                                                                                                                                                                                                                                                                                                             </t>
  </si>
  <si>
    <t>CIRIACO  DOMIGUEZ EDDIT LILIANA</t>
  </si>
  <si>
    <t>CAHUAS 808</t>
  </si>
  <si>
    <t>MAMAS HETEROGENEAMENTE DENSAS                                                                                                                                                                                                                                                                                                                                                                                             2.- CALCIFICIONES GRUESAS Y REDONDEADAS PUNTIFORMES DE ASPECTO BENIGNO A NIVEL DE CSE DE MAMA IZQUIERDA</t>
  </si>
  <si>
    <t>NO SE ENCUENTRA</t>
  </si>
  <si>
    <t>O6393696</t>
  </si>
  <si>
    <t>BLANCO  COLLANTES CRUZ GREGORIA</t>
  </si>
  <si>
    <t>LAS VIÑAS MZ  A LOT  17</t>
  </si>
  <si>
    <t>MAGALLANES CHANVILCA MAXIMA</t>
  </si>
  <si>
    <t>TAMBILLO S/N AUCALLAMA</t>
  </si>
  <si>
    <t>AUCALLAMA</t>
  </si>
  <si>
    <t>954 255 189</t>
  </si>
  <si>
    <t>MAMAS HETEROGENEAMENTE DENSAS</t>
  </si>
  <si>
    <t>MARTINEZ SALAZAR DE GONZALES, MARIA ELENA</t>
  </si>
  <si>
    <t>EX FUNDO SAN JOSE S/N AUCALLAMA</t>
  </si>
  <si>
    <t>MAMOGRAFIA BILATERAL DENTRO DE LIMITES NORMALES</t>
  </si>
  <si>
    <t>RUIZ PORTERO FLOR MARCELA</t>
  </si>
  <si>
    <t>PROLONGA EL PALMO URBANIZACION  LA HUAQUILLA MZ J LOT 5</t>
  </si>
  <si>
    <t>MAMAS HETEROGENEAMENTE DENSAS                                                                                                                                                                                                                                                                                                                                                                                             2.- IMPRESIONA IMAGEN NODULAR OVALADA A NIVEL DE PLANO MEDIO DE CUADRANTES SUPERIORES DE MAMA DERECHA</t>
  </si>
  <si>
    <t>ROJAS SERNA ALICIA MARIBEL</t>
  </si>
  <si>
    <t>URB.SAN MARTIN CALLE LOS CIPRESES MZ.A LT.8</t>
  </si>
  <si>
    <t>987 005 046</t>
  </si>
  <si>
    <t>PX 05/02/2026</t>
  </si>
  <si>
    <t>PASCACIO ARAOS  SDE OCAÑA NILA OLGA</t>
  </si>
  <si>
    <t>MIGUEL GRAU 311 PRIMAVERA</t>
  </si>
  <si>
    <t>961 359 102</t>
  </si>
  <si>
    <t>RAMOS FELIX NELY SOLEDAD</t>
  </si>
  <si>
    <t>LOS ALISOS B-B7 LAS VIÑAS</t>
  </si>
  <si>
    <t>948 135 673</t>
  </si>
  <si>
    <t>MAMAS HETEROGENEAMENTE DENSAS                                                                                                                                                                                                                                                                                                                                                                                             2.- IMPRESIONA ADENOMEGALIA EN AXILA IZQUIIERDA</t>
  </si>
  <si>
    <t>REYES BAZALAR MARIA ELENA</t>
  </si>
  <si>
    <t>ATAHUALPA 372  int 31</t>
  </si>
  <si>
    <t>980 895 229</t>
  </si>
  <si>
    <t>TOLENTINO  GONZALES NETTY  RUBI</t>
  </si>
  <si>
    <t>PSJ SNATA ROSA 113</t>
  </si>
  <si>
    <t>978 330 994</t>
  </si>
  <si>
    <t>ZELAYA JAIMES EULARIA  ERMELINDA</t>
  </si>
  <si>
    <t>VISTA ALEGRE T-4</t>
  </si>
  <si>
    <t>HUARA</t>
  </si>
  <si>
    <t>MAMAS HETEROGENEAMENTE DENSAS                                                                                                                                                                                                                                                                                                                                                                                                   2.- CALCIFICAIONES DE ASPECTO BENIGNO EN MAMA DERECHA</t>
  </si>
  <si>
    <t>PAEZ FIAFILIO RUSBELIA TEODOMIRA</t>
  </si>
  <si>
    <t>LOTIZADORA COLAN ZAMUDIO  MZ N LOT 1</t>
  </si>
  <si>
    <t>MAMAS HETEROGENEAMENTE DENSAS                                                                                                                                                                                                                                                                                                                                                                                                   2.- CALCIFICAIONES DE ASPECTO BENIGNO EN MAMA IZQUIERDA</t>
  </si>
  <si>
    <t>CANCINES RIVERA VIOLETA SEGUNDINA</t>
  </si>
  <si>
    <t>AGUA DULCE  ASC LAS DUNAS  B-7</t>
  </si>
  <si>
    <t>MAMAS HETEROGENEAMENTE DENSAS                                                                                                                                                                                                                                                                                                                                                                                                   2.- CALCIFICACIONES DE ASPECTO BENIGNO DISPERSAS ENAMBAS MAMAS</t>
  </si>
  <si>
    <t>CHU UGAZ INES SALOME</t>
  </si>
  <si>
    <t>AV. SAN MARTIN 282</t>
  </si>
  <si>
    <t>Mamas heterogéneamente densas
Calcificaciones redondeadas puntiformes en mama izquierda asociado a distorsión de la arquitectura
fibroglandular asociado a cambios postquirùrgicos en región retroareolar de mama izquierda
Calcificaciones redondeadas puntiformes dispersas en mama derecha</t>
  </si>
  <si>
    <t>MAGNIFICACION + ECOGRAFIA DE MAMAS</t>
  </si>
  <si>
    <t>PX 23/01/2026</t>
  </si>
  <si>
    <t>CAMBIOS PORT QX ESRABLES EN MAMA IZQUIERDA</t>
  </si>
  <si>
    <t>GRUPO DE MICROCALCIFICAIONES  REDONDAS EN CSE DE MAMA IZQUIERDA</t>
  </si>
  <si>
    <t>RIOS COTRINA SILVIA ROCIO</t>
  </si>
  <si>
    <t>VICTORIA BAO  CALLE MARISCAL  LUZURIAGA  LOT 9</t>
  </si>
  <si>
    <t>SANTA CRUZ MANSILLA GIOVANNA  GREOCRIA</t>
  </si>
  <si>
    <t>PUEBLO JOVEN 28 DE JULIO  MZ  I  LOT  2</t>
  </si>
  <si>
    <t>MAMAS HETEROGENEAMENTE DENSAS                                                                                                                                                                                                                                                                                                                                                                                                   2.- CALCIFICACIONES TIPICAMENTE  BENIGNAS DISPERSAS EN MAMA DERECHA A D/c FIBROADENOMA HILIANIZADO</t>
  </si>
  <si>
    <t>ESPICHAN MANCHENA DELINA VANESSA</t>
  </si>
  <si>
    <t>CALLE BENJAMIN VIZQUERRA 154</t>
  </si>
  <si>
    <t>983 416 689</t>
  </si>
  <si>
    <t>MAMAS HETEROGENEAMENTE DENSAS                                                                                                                                                                                                                                                                                                                                                                                                   2.- NODULO HIPERDENSO EN CSE DE MAMA IZQUIERDA</t>
  </si>
  <si>
    <t>MORENO  CRUZ CELIA JULISSA</t>
  </si>
  <si>
    <t>JFSC 338 INT 102</t>
  </si>
  <si>
    <t>ESTUDIO REALIZADO MUESTRA MAMAS DENSAS SINEVIDENCIAR SIGNOS SOSPECHOSOS DE NM</t>
  </si>
  <si>
    <t>MONTES  CAMONES SILVIANELLY</t>
  </si>
  <si>
    <t>URB SAN JUAN II ETAPA  TUPAC AMARU C-33</t>
  </si>
  <si>
    <t xml:space="preserve">MAMAS HETEROGENEAMENTE DENSAS                                                                                                                                                                                                                                                                                                                                                                                                   2.- CALCIFICAIONE SHETEROGENEAS GRUESAS EN MAMA DERECHA Y DISPERSAS EN MAMA IZQUIERDA </t>
  </si>
  <si>
    <t>no contesta se aviso a colega de huaral</t>
  </si>
  <si>
    <t>ESTRADA MELENDEZ SUSANA ANDREA</t>
  </si>
  <si>
    <t>MIRAFLORES LOT 47</t>
  </si>
  <si>
    <t>HUAMANI  CHUQUIHUANCA REYNA  VILMA</t>
  </si>
  <si>
    <t>FONAVI  MZ M LOT 2</t>
  </si>
  <si>
    <t>MAMAS HETEROGENEAMENTE DENSAS                                                                                                                                                                                                                                                                                                                                                                                                   2.- NODULO DE MARGENES CIRCUNSCRITOS NO PALPABLES</t>
  </si>
  <si>
    <t>TIENE CITA PARA EL 23/03 EN HOSPITAL DE CHANCAY</t>
  </si>
  <si>
    <t>TORRES HUAMANI  VILMA MARITZA</t>
  </si>
  <si>
    <t>1.- CALCIFICAIONES DE ASPECTO BENIGNO EN MAMA IZQUIERDA                                                                                                                                                                                                                                                                                                                                                                                                   2.- RESTO DE MAMAS HETEROGENEAMENTE DENSAS</t>
  </si>
  <si>
    <t xml:space="preserve">LLUTAHUI CAPCHA ANA MARIA </t>
  </si>
  <si>
    <t>URB MARTHA MZ A LOT 5</t>
  </si>
  <si>
    <t xml:space="preserve">MAMAS HETEROGENEAMENTE DENSAS                                                                                                                                                                                                                                                                                                                                                                                                   </t>
  </si>
  <si>
    <t>RIOS QUISPE MARIBEL  YOVANA</t>
  </si>
  <si>
    <t>AV CINCUENTANRIO  823</t>
  </si>
  <si>
    <t>NORMAL</t>
  </si>
  <si>
    <t>MATOS ALONZO  IRMA FORTUNATA</t>
  </si>
  <si>
    <t xml:space="preserve">CALLE BOLIVAR 125 </t>
  </si>
  <si>
    <t>914 653 885</t>
  </si>
  <si>
    <t>MAMOGRAFIA BILATERAL SIN SIGNOS DE MALIGNIDAD                                                                                                                                                                                                                                                                                                                                                                                         2.- CALCIFICACIONES DE ASPECTO BENIGNO EN CSE DE MAMA IZQUIERDA.                                                                                                                                                                                                                                                                                                                       3. IMPRESIONA TEJIDO FIBROGLANDULAR ACCESORIO EN AMBAS REGIONES AXILARES</t>
  </si>
  <si>
    <t>DIEGO HOCES, LUCY</t>
  </si>
  <si>
    <t>LOS PINOS ASC LAS AMRICAS MZ B LOT 2</t>
  </si>
  <si>
    <t>948 068 921</t>
  </si>
  <si>
    <t>CARBAJAL  OSSO CARLA ROCIO</t>
  </si>
  <si>
    <t xml:space="preserve">URB LAS BRISAS CALLE LA UNION 209 </t>
  </si>
  <si>
    <t>MAMAS HETEROGENEAMENTE DENSAS                                                                                                                                                                                                                                                                                                                                                                                           2.- IMPRESIONA IMAGEN NODULAR OVALADA A NIVEL DE PLANO MEDIO DE CSE DE MAMA DERECHA</t>
  </si>
  <si>
    <t>DAMIAN SUAREZ NOEMI BETARIZ</t>
  </si>
  <si>
    <t>CRUZ D ECANO  279</t>
  </si>
  <si>
    <t>PX 16/02/2026</t>
  </si>
  <si>
    <t xml:space="preserve">REATEGUI HUANSI MARTHA ISABEL </t>
  </si>
  <si>
    <t>LA CANDELARIA MZ.D LT.10</t>
  </si>
  <si>
    <t>986 724 149</t>
  </si>
  <si>
    <t>ROMERO  VIRU  NOELIA BEATRIZ</t>
  </si>
  <si>
    <t xml:space="preserve">AV CINCUENTENARIO 1789 </t>
  </si>
  <si>
    <t>984 649 065</t>
  </si>
  <si>
    <t>VELASQUEZ AZAÑERO  LEYDY</t>
  </si>
  <si>
    <t xml:space="preserve">VIRGEN DEL CARMEN B -22 </t>
  </si>
  <si>
    <t>960 493 380</t>
  </si>
  <si>
    <t>MARTINEZ ABAD VICTORTIA</t>
  </si>
  <si>
    <t>M B - L 06 ASOC. DE VIV. NUEVA VIDA</t>
  </si>
  <si>
    <t>APOLINARIO  HUAMAN SILVIA SANDRA</t>
  </si>
  <si>
    <t>CALLE 28 DE JULIO M 15 CARMEN</t>
  </si>
  <si>
    <t>LEON GERVACION NOYMI  YOLINDA</t>
  </si>
  <si>
    <t>ASOC VV EL PESCADOR LAS MAGNOLIAS MANZNARES</t>
  </si>
  <si>
    <t>P.S. SAN JUDAS TADEO</t>
  </si>
  <si>
    <t>OBST MIRELLA WATHSSAP</t>
  </si>
  <si>
    <t>HUERTAS MALARIN CARMEN MEDALY</t>
  </si>
  <si>
    <t>PAMPA D EANIMA SLOS MANGALES</t>
  </si>
  <si>
    <t>922 356 272</t>
  </si>
  <si>
    <t>PX 17/02/2026</t>
  </si>
  <si>
    <t>15960319</t>
  </si>
  <si>
    <t>MATSUSAKA ROBLES JUANA SILVIA</t>
  </si>
  <si>
    <t>URB LA HUAQUILLA MZ F LOT 1</t>
  </si>
  <si>
    <t>952 327 309</t>
  </si>
  <si>
    <t>MAMOGRAFIA BILATERAL DENTRO DE LOS  LIMTES NORMALES</t>
  </si>
  <si>
    <t>12/02/2026 WASSAP</t>
  </si>
  <si>
    <t>GARCIA OFRACIO  EUFROSINA</t>
  </si>
  <si>
    <t>MANZNARES II  ETAPA</t>
  </si>
  <si>
    <t>973 067 097</t>
  </si>
  <si>
    <t>MENDEZ JUSTO  PAULA  ISABEL</t>
  </si>
  <si>
    <t>OTTO LOOF L. S/N</t>
  </si>
  <si>
    <t>940 791 919</t>
  </si>
  <si>
    <t>GUERRERO MELCHOR BESELIDAS DIANA</t>
  </si>
  <si>
    <t>PSJ OTTO SN SAN MARTIN</t>
  </si>
  <si>
    <t>987 543 778</t>
  </si>
  <si>
    <t>GONZALES MELLY  ELIA RITA</t>
  </si>
  <si>
    <t>ESPERANZA ALTA SECCION LA VIRGEN</t>
  </si>
  <si>
    <t>957 577 211</t>
  </si>
  <si>
    <t>OPACIDAD NODULAR EN MAMA IZQUIERDA, SE SUGIERE ESTUDIO ECOGRAFICO PARA MEJOR CARACTERIZACION. RESTO DE LA MAMOGRAFÍA BILATERAL DENTRO DE LÍMITES NORMALES. BI-RADS: 3</t>
  </si>
  <si>
    <t>TOMASICHE TORRES ROSA ALICIA</t>
  </si>
  <si>
    <t>PROLOG LOS NAGELES 417</t>
  </si>
  <si>
    <t xml:space="preserve">HUARAL  </t>
  </si>
  <si>
    <t>LA MAMOGRAFÍA BILATERAL DENTRO DE LÍMITES NORMALES. BI-RADS: 1</t>
  </si>
  <si>
    <t>ANTAURCO  VERGARA MIGUELINA NELIDA</t>
  </si>
  <si>
    <t>MOORE PSJ LA FLORIDA D-5</t>
  </si>
  <si>
    <t>OO2929201</t>
  </si>
  <si>
    <t xml:space="preserve">CHACON RAMIREZ BEATRIZ </t>
  </si>
  <si>
    <t>PROLO MOREE 780</t>
  </si>
  <si>
    <t>HAUCHO</t>
  </si>
  <si>
    <t xml:space="preserve">1.	AMBAS MAMAS SON HETEROGÉNEAMENTE DENSAS.
2.	ASIMETRÍA FOCAL EN CSE DE MAMA DERECHA.
3.	CALCIFICACIÓN ANULAR TÍPICAMENTE BENIGNA EN MAMA IZQUIERDA. 
4.	CATEGORÍA BI-RADS: 3
</t>
  </si>
  <si>
    <t>SAAVEDRA HUAMAN MARISOL VIOLETA</t>
  </si>
  <si>
    <t>ACARAY  MZ G LOT 2PAMPA AFUERA</t>
  </si>
  <si>
    <t>GOÑY QUINTEROS, BASILIA ROSARIO GUADALUP</t>
  </si>
  <si>
    <t>JR.SALAVERRY 134</t>
  </si>
  <si>
    <t>934 104 120</t>
  </si>
  <si>
    <t>ASIMETRÍA FOCAL EN MAMA IZQUIERDA. SE SUGIERE ECOGRAFÍA. CALCIFICACIONES DE ASPECTO BENIGNO EN AMBAS MAMAS. RESTO DE AMBAS MAMAS EXTREMADAMENTE DENSAS, SE SUGIERE COMPLEMENTAR CON ECOGRAFÍA POR DENSIDAD MAMARIA. BI-RADS: 3</t>
  </si>
  <si>
    <t>GAMARRA PAREDES MONICA ALEJNADRA</t>
  </si>
  <si>
    <t>935 420 700</t>
  </si>
  <si>
    <t>OO7183943</t>
  </si>
  <si>
    <t xml:space="preserve">CONTRERAS ROZO JESUSSA DELC ARMEN </t>
  </si>
  <si>
    <t>AV MORE 271</t>
  </si>
  <si>
    <t xml:space="preserve">1.	NÓDULO LOBULADO EN CII DE MAMA IZQUIERDA
2.	MULTIPLES NÓDULOS EN MAMA DERECHA. 
3.	CATEGORIA BI-RADS: 0
</t>
  </si>
  <si>
    <t>AMBAS MAMAS SIN HALLAZGOS PATOLOGICOS, NO PRESENTA FORMACIONES NODULARES, QUISTICAS NI CAMBIOS -INFLAMATORIOS -  NO PRESENTA ADENOPATIAS AXILARES SOSPECHOSOS DE MALIGNIDAD.</t>
  </si>
  <si>
    <t>MAMOGRAFA ANUAL</t>
  </si>
  <si>
    <t xml:space="preserve">GONZALES CANALES YOHANA YSABEL </t>
  </si>
  <si>
    <t>CIRO ALEGRIA 219</t>
  </si>
  <si>
    <t>MAMAS HETEROGÉNEAMENTE DENSAS, SE SUGIERE COMPLEMENTAR CON ECOGRAFÍA POR DENSIDAD MAMARIA. BI-RADS: 1</t>
  </si>
  <si>
    <t xml:space="preserve">PARI  PARIA MARIA YESENIA </t>
  </si>
  <si>
    <t>pasj colan 230</t>
  </si>
  <si>
    <t>ASIMETRÍA FOCAL EN MAMA DERECHA. SE SUGIERE ECOGRAFÍA. RESTO DE AMBAS MAMAS HETEROGÉNEAMENTE DENSAS, SE SUGIERE COMPLEMENTAR CON ECOGRAFÍA POR DENSIDAD MAMARIA. BI-RADS: 3</t>
  </si>
  <si>
    <t>SALAS MORA MARIA ELENA</t>
  </si>
  <si>
    <t>QUEPEPAMPA SNN</t>
  </si>
  <si>
    <t>QUEPEPAMPA</t>
  </si>
  <si>
    <t>Mamas heterogéneamente densas. Patrón ACR - C. Nódulo de márgenes parcialmente oscurecidos en CSE de mama derecha Categoría BIRADS 4</t>
  </si>
  <si>
    <t>SOLANO CHOTA EMILIA</t>
  </si>
  <si>
    <t>SAN AMRTIN D EPORRES MZ D LOT 6 CIUDAD SATELITE</t>
  </si>
  <si>
    <t>CASTILLO  TAXA DE MORAN MARIA  DEL PILAR</t>
  </si>
  <si>
    <t>URB. POPULAR LAS CAMELIAS MZ. F - LT. 7</t>
  </si>
  <si>
    <t>HUAHO</t>
  </si>
  <si>
    <t>ARELLAO  BUSTAMANTE FLOR ADELMA</t>
  </si>
  <si>
    <t>ESTEBAN PICHILINGUE 199 5 ESQUINAS</t>
  </si>
  <si>
    <t>912 243 021</t>
  </si>
  <si>
    <t>Mamas heterogéneamente densas. Patrón ACR - C.
Asimetría de densidad en tercio medio del CSE asociada a calcificaciones gruesas heterogéneas en mama 
izquierda
Categoría BIRADS 0</t>
  </si>
  <si>
    <t>SALINAS CASTILLO DIANA ROCIO</t>
  </si>
  <si>
    <t>ASOC. DE VIV. VICTOR RAUL HAYA DE LA TORRE MZ G LOTE 9</t>
  </si>
  <si>
    <t>Mamas heterogéneamente densas. Patrón  ACR - C.
Categoría BIRADS 0</t>
  </si>
  <si>
    <t>DE LA CRUZ JUNCO PILAR</t>
  </si>
  <si>
    <t>LOZA DEL VALLE SAN PEDRO</t>
  </si>
  <si>
    <t>Mamas extremadamente densas (ACR tipo D) Categoría BIRADS 0</t>
  </si>
  <si>
    <t>ECOGRAFIAS DE MAMAS</t>
  </si>
  <si>
    <t>CHURRANGO MENDIZABAL RITA</t>
  </si>
  <si>
    <t>AV 2 DE MAYO 151</t>
  </si>
  <si>
    <t>El estudio realizado muestra mamas densas sin evidenciar signos sospechosos de NM. Categoría BIRADS 1.</t>
  </si>
  <si>
    <t>NICHO MELENDEZ ENEDINA</t>
  </si>
  <si>
    <t>AV 2 DW MAYO 555</t>
  </si>
  <si>
    <t>Mamas heterogéneamente densas. Patrón ACR - C. Asimetría de densidad retroareolar en mama izquierda asocia imagen tubular hiperdensa que podría corresponder a ducto solitario Calcificaciones vasculares típicamente benignas en mamas Categoría BIRADS 0</t>
  </si>
  <si>
    <t>SANCHEZ ETENI RUTH SINDY</t>
  </si>
  <si>
    <t>ASC SANTA MARIA MZC LTE8</t>
  </si>
  <si>
    <t>LLAGAS LEANO ROSA YOLANDA</t>
  </si>
  <si>
    <t>TUPAC AMARU II D 27</t>
  </si>
  <si>
    <t>El estudio realizado muestra mamas densas sin evidenciar signos sospechosos de NM.
Categoría BIRADS 1.</t>
  </si>
  <si>
    <t>INSAPILLO CAHUAZA LAURA</t>
  </si>
  <si>
    <t>TUPAC MZF LT3</t>
  </si>
  <si>
    <t>El estudio realizado muestra mamas densas sin evidenciar signos sospechosos de NM.
Calcificaciones vasculares típicamente benignas
Categoría BIRADS 2</t>
  </si>
  <si>
    <t xml:space="preserve">BI-RADS 2 </t>
  </si>
  <si>
    <t>HUAYTAN AGUIRRE GABY</t>
  </si>
  <si>
    <t>AV REAL S/N</t>
  </si>
  <si>
    <t>C.S. SANTA MARIA</t>
  </si>
  <si>
    <t>NRO INCORRECTO</t>
  </si>
  <si>
    <t>VARAS CRISTOBAL MARIA LUISA</t>
  </si>
  <si>
    <t>AV CHANCAY 645</t>
  </si>
  <si>
    <t>Mamas heterogéneamente densas. Patrón ACR - C. Categoría BIRADS 0</t>
  </si>
  <si>
    <t>MATTA HERRERA ELAYNE GERALDINE</t>
  </si>
  <si>
    <t>CALEL ROMERIA MZ 26 LOT 15</t>
  </si>
  <si>
    <t>PALACIOS CHAVEZ NOEMI</t>
  </si>
  <si>
    <t>BELÑA VISTA MZ H LOT 10</t>
  </si>
  <si>
    <t xml:space="preserve">VEGUETA </t>
  </si>
  <si>
    <t xml:space="preserve">1.	AMBAS MAMAS SON HETEROGÉNEAMENTE DENSAS SIN LESIONES SOSPECHOSAS DE MALIGNIDAD. 
2.	CALCIFICACIONES EN LECHE CÁLCICA TÍPICAMENTE BENIGNAS EN AMBAS MAMAS. 
3.	CATEGORÍA BI-RADS: 2
</t>
  </si>
  <si>
    <t>NRO FUERA DE SERVICIO</t>
  </si>
  <si>
    <t>CARUAJULCA ROBLEDO, EVELINA BEATRIZ</t>
  </si>
  <si>
    <t>AV ANTONIO  RAY,ONDI 134</t>
  </si>
  <si>
    <t>CANO RAMIREZ  LOURDES MIREYA</t>
  </si>
  <si>
    <t>GERMAN MENACHO 118 URB VICROTIA BAJA</t>
  </si>
  <si>
    <t>955 440 857</t>
  </si>
  <si>
    <t>PACHECO  DAVILA MARIA  MARIELA</t>
  </si>
  <si>
    <t>LAS VIÑAS MZ  B LOT N6</t>
  </si>
  <si>
    <t xml:space="preserve">SUSANIBAR RAMIREZ BEATRIZ YONI </t>
  </si>
  <si>
    <t>ARENALES MZ. E - LT.7B</t>
  </si>
  <si>
    <t>997 743 739</t>
  </si>
  <si>
    <t>GRADOS VELES YULISA MANUELA</t>
  </si>
  <si>
    <t>CALLE ASENCION 140 AMAY</t>
  </si>
  <si>
    <t>MAMAS HETEROGENEAMENTE DENSAS. PATRON ACR- C</t>
  </si>
  <si>
    <t>CULLA CAURINO  CARMEN ALICIA</t>
  </si>
  <si>
    <t>ASOC. CC. PP. LOS PINOS MZ S LOT 8 EX FUJIMORI</t>
  </si>
  <si>
    <t>940 124 773</t>
  </si>
  <si>
    <t>PX 09/02/2026</t>
  </si>
  <si>
    <t>CULLA CAURINO  MAXIMA CLAUDIA</t>
  </si>
  <si>
    <t xml:space="preserve">RIVERA DEL RIO  MZ C LOT 3 </t>
  </si>
  <si>
    <t>997 196 618</t>
  </si>
  <si>
    <t>El estudio realizado muestra mamas densas sin evidenciar signos sospechosos de NM. Categoría BIRADS 0</t>
  </si>
  <si>
    <t>MUÑOZ SANCHEZ LINA VERONICA</t>
  </si>
  <si>
    <t>LOS LIOBERTADORES MARISCAL CASTILLA PERLA ALTA</t>
  </si>
  <si>
    <t>HERRERA AGUILAR VERONICA VANESSA</t>
  </si>
  <si>
    <t>URB SAN FRCO  CALLE CAPITAN PERALTA 207</t>
  </si>
  <si>
    <t>990 198 989</t>
  </si>
  <si>
    <t>MAMAS HETEROGENEAMENTE DENSAS. PATRON ACR-C</t>
  </si>
  <si>
    <t xml:space="preserve">MANDAMIENTO  GRADOS  DAMARIS </t>
  </si>
  <si>
    <t>LIBERTAD 610 AMAY</t>
  </si>
  <si>
    <t>992 990 608</t>
  </si>
  <si>
    <t>CAMONES LUNA CESARINA JOSEFINA</t>
  </si>
  <si>
    <t>CALLE SAN ISISDRO  118</t>
  </si>
  <si>
    <t>MAMAS HETEROGENEAMENTE DENSAS.  PATRON ACR-C</t>
  </si>
  <si>
    <t>QUESADA RUNCO  PAOLA</t>
  </si>
  <si>
    <t>URB LOS CISNES MZ B LOT 4</t>
  </si>
  <si>
    <t xml:space="preserve">SANTA AMRIA </t>
  </si>
  <si>
    <t>ROMAN MATEO MARIA MARGARITA</t>
  </si>
  <si>
    <t>GONZALES  SANTOS  ERIKA LISET</t>
  </si>
  <si>
    <t xml:space="preserve">MAYTA CAPAC C-7 URB SAN MARTIN DE PORRES </t>
  </si>
  <si>
    <t>Mamas heterogéneamente densas</t>
  </si>
  <si>
    <t>PIZAN INGA CATERIN RUTH</t>
  </si>
  <si>
    <t>ASENT. H. SEÑOR DE LA SOLEDAD MZ Q  LOT 4</t>
  </si>
  <si>
    <t>MAMAS HETEROGENEA DENSAS. PATRON ACR- C. NODUOS DE MÀRGENAS  PARCIALMENTE OSCURECIDOS EN REGIÒN RETROAREOLAR DE MAMA DERECHA.</t>
  </si>
  <si>
    <t>DE LA SOTA  VELEZ SHIRA  MARTINA</t>
  </si>
  <si>
    <t>PSJ SIMON CHUMBES 168 - AMAY</t>
  </si>
  <si>
    <t>924 538 019</t>
  </si>
  <si>
    <t>MAMAS CON SECTORES DISPERSOS DE DENSIDAD FIBROGLANDULAR ACR TIPO B</t>
  </si>
  <si>
    <t>CASTAÑEDA REYES MIRIAM EDITH</t>
  </si>
  <si>
    <t>SR CAUTIVO  MZ H LOT 2 I  ETAPA MANZNARES</t>
  </si>
  <si>
    <t>VASQUEZ CONCEPCION OLINDA LUCIA</t>
  </si>
  <si>
    <t>AV TUPAC AMARU 312 URB EL SOCORRO</t>
  </si>
  <si>
    <t>928 437 534</t>
  </si>
  <si>
    <t>MAMAS HETEROGENEA DENSAS. PATRON ACR-C. 2,- ASIMETRIA DENSIDAD EN CSE MAMA DERECHA. 3.- BI-RADS 3</t>
  </si>
  <si>
    <t>12/02/2026 TECNOLOGA TOMO</t>
  </si>
  <si>
    <t>BENDEZU  CRUZ CLAUDIA MELISA</t>
  </si>
  <si>
    <t>CALLE LA MERCED MZ V 2 ATALAYA</t>
  </si>
  <si>
    <t>957 637 253</t>
  </si>
  <si>
    <t>ECOGRAFIA DE  MAMAS / MAMOGRAFIA ANUAL</t>
  </si>
  <si>
    <t>CARRASCO GUERRERO  ISABEL  MARINA</t>
  </si>
  <si>
    <t>PALMERAS SECT. TUPAC AMARU ASS VV IRAMAR III MZ A LOT 2</t>
  </si>
  <si>
    <t>928 754 785</t>
  </si>
  <si>
    <t>MAMAS HETEROGÈNEAMENTE DENSAS. PATRON ACR-C</t>
  </si>
  <si>
    <t xml:space="preserve">ORRILLO  COTRINA PETRONILA </t>
  </si>
  <si>
    <t>LA VILLA MZ G LOT 26</t>
  </si>
  <si>
    <t>927 096 517</t>
  </si>
  <si>
    <t>MAMAS HETEROGENEAMENTE DENSAS. CALCIFICACIONES DE ASEPCTO BENIGNO A NIVEL DE CUADRANTE INFERIOR INTERNO DE MAMA DERECHA</t>
  </si>
  <si>
    <t xml:space="preserve">RAMIREZ GUERRERO  YESSENIA MAGADALENA </t>
  </si>
  <si>
    <t>SANTA ROSA MZ. 45 LTE. 12 SAN ISIDRO</t>
  </si>
  <si>
    <t>MAMAS HETEROGENEA DENSAS. PATRON ACR-C</t>
  </si>
  <si>
    <t>PX 09/03/2026</t>
  </si>
  <si>
    <t>PAUCAR FIGUEROA  MARLENE SILVIA</t>
  </si>
  <si>
    <t>MANZANARES 1RA.ETAPA MZ.B LT.4</t>
  </si>
  <si>
    <t>A MAMOGRAFÍA BILATERAL DENTRO DE LÍMITES NORMALES.
BI-RADS: 1</t>
  </si>
  <si>
    <t>AMARINGO  AZUCENA MARIA MILENA</t>
  </si>
  <si>
    <t>SAN BARTOLOME II  ETAOA MZ C LOT 8</t>
  </si>
  <si>
    <t>MAMAS HETEROGENEAMENTE DENSAS. SE SUGIERE COMPLENTAR CON ECOGRAFIA POR DENSIDAD MAMARIA.</t>
  </si>
  <si>
    <t xml:space="preserve">AMARINGO  AZUCENA BARBARA </t>
  </si>
  <si>
    <t>AA. VV. OLLANTA HUMALA TASSO MAZ B LOT 2</t>
  </si>
  <si>
    <t>MAMAS EXTREMEDAMENTE DENSAS. SE SUGIERE COMPLEMENTAR CON ECOGRAFIA POR DENSIDAD MAMARIA.</t>
  </si>
  <si>
    <t>LINDO  VIRU  ISABEL  NELLY</t>
  </si>
  <si>
    <t>FRANCISCO BOLOGNESI 601</t>
  </si>
  <si>
    <t>974 770 084</t>
  </si>
  <si>
    <t xml:space="preserve">MAMOGRAFIA ANUAL </t>
  </si>
  <si>
    <t>PANTA DAMIAN IVONNE DAJHANA</t>
  </si>
  <si>
    <t>AV CRUZ DE CANO 253 B</t>
  </si>
  <si>
    <t>955 784 286</t>
  </si>
  <si>
    <t xml:space="preserve">MAMAS HETEROGENEAMENTE DENSAS, SE SUGIERE COMPLEMENTAR CON ECOGRAFIA POR DENSIDAD MAMARIA. </t>
  </si>
  <si>
    <t>SANCHEZ CHILET  YESSICA CECILIA</t>
  </si>
  <si>
    <t>AV DOMINGO MANDAMIENTO 499</t>
  </si>
  <si>
    <t>MAMOGRAFIA BILATERAL DENTRO DE LOS LIMITES NORMALES</t>
  </si>
  <si>
    <t>VALERIO RAMOS HIRIS MARGOTH</t>
  </si>
  <si>
    <t>JR LOS LIBERTADORES H 10 C P OLAYA</t>
  </si>
  <si>
    <t>P.S. CARQUIN</t>
  </si>
  <si>
    <t>CALCIFICACIONES VASCULARES DE ASPECTO BENIGNO EN AMBAS MAMAS. RESTO DE LA MAMOGRAFIA BILATERAL DENTRO DE LOS LIMITES NORMALES.</t>
  </si>
  <si>
    <t>FLORES SANCHEZ LEONOR</t>
  </si>
  <si>
    <t>URB AMPARO  CARDENAS MZ G LOT 10</t>
  </si>
  <si>
    <t>992 322 807</t>
  </si>
  <si>
    <t xml:space="preserve">MAMOGRAFIA BILATERAL DENTRO DE LIMITES NORMALES </t>
  </si>
  <si>
    <t>MEDINA MAGUIÑA ELSA GLADYS</t>
  </si>
  <si>
    <t>LAS FLORES MZ B LOT 16 HUMAYA</t>
  </si>
  <si>
    <t>HUMAYA</t>
  </si>
  <si>
    <t>COCA BORJA NELLY  SOLEDAD</t>
  </si>
  <si>
    <t>LA MANCHURRIA 230</t>
  </si>
  <si>
    <t>922 192 134</t>
  </si>
  <si>
    <t xml:space="preserve">LEON RUFINO  MILI  FERMENCIA </t>
  </si>
  <si>
    <t>JOSE C. MARIATEGUI H-04</t>
  </si>
  <si>
    <t>974 039 184</t>
  </si>
  <si>
    <t>MAMAS HETEROGENEAMENTE DENSAS. SE SUGIERE COMPLEMENTAR CON ECOGRAFIA POR DENSIDAD MAMARIA</t>
  </si>
  <si>
    <t>AGURTO FLORES DE LINARES ALBINA NORMA</t>
  </si>
  <si>
    <t xml:space="preserve">MZ J LOT 9 LOS CIPRECES </t>
  </si>
  <si>
    <t>994 478 081</t>
  </si>
  <si>
    <t>PX 26-2-26</t>
  </si>
  <si>
    <t>MINAYA  RAMOS YESSICA ESMERALDA</t>
  </si>
  <si>
    <t>AV INDUSTRIAL 109 CALETA</t>
  </si>
  <si>
    <t xml:space="preserve">LA MAMOGRAFIA BILATERAL DENTRO DE LIMITES NORMALES </t>
  </si>
  <si>
    <t>NO TIENE NRO</t>
  </si>
  <si>
    <t>O5407401</t>
  </si>
  <si>
    <t xml:space="preserve">VELA MONTELVIS DORA ISABEL  </t>
  </si>
  <si>
    <t>MANCO CAPAC 136</t>
  </si>
  <si>
    <t>978 841 360</t>
  </si>
  <si>
    <t>CCENCHO  INOCENTE  VILMA</t>
  </si>
  <si>
    <t>AV TUPAC AMARU 408</t>
  </si>
  <si>
    <t>933 572 103</t>
  </si>
  <si>
    <t>MAMOGRAFIA BILATERAL DENTRO DE LIMITES NORMALES.</t>
  </si>
  <si>
    <t>CHANGANA CASTRO  LIDIA</t>
  </si>
  <si>
    <t>LOS JARDINES MZ B LOT 27</t>
  </si>
  <si>
    <t>912 104 010</t>
  </si>
  <si>
    <t>ECOGRAFIA MAMAS</t>
  </si>
  <si>
    <t xml:space="preserve">BAZALAR VEGA SOLEDAD </t>
  </si>
  <si>
    <t>BRISA MARINA MZ D LO T 1</t>
  </si>
  <si>
    <t>901 096 472</t>
  </si>
  <si>
    <t>amas heterogéneamente densas. Patrón ACR - C. Categoría BIRADS 0</t>
  </si>
  <si>
    <t>ECOGRAFIA DE MAMAS . MAMORAFIA COMPARTIVA ANUAL</t>
  </si>
  <si>
    <t>ZELAYA ALEMAN MONICA MABEL</t>
  </si>
  <si>
    <t>LA UNION  EL MILAGRO HUMAYA</t>
  </si>
  <si>
    <t>930 743 394</t>
  </si>
  <si>
    <t>ASIMETRÍA FOCAL EN MAMA IZQUIERDA. SE SUGIERE ECOGRAFÍA.
RESTO DE AMBAS MAMAS HETEROGÉNEAMENTE DENSAS, SE SUGIERE COMPLEMENTAR CON ECOGRAFÍA POR 
DENSIDAD MAMARIA.
BI-RADS: 3</t>
  </si>
  <si>
    <t>FELLES MONTOYA FELIXIA</t>
  </si>
  <si>
    <t>AV LOS EUCALIPTOS NRO. 420 URB CTO BELLO</t>
  </si>
  <si>
    <t>LIMA</t>
  </si>
  <si>
    <t>977 782 393</t>
  </si>
  <si>
    <t>CALCIFICAIONES DE ASPECTO BENIGNO EN MAMA DERECHA. RESTO DE LA MAMOGRAFIA BILATERAL DENTRO DE LIMITES NORMALES</t>
  </si>
  <si>
    <t>LARIOS  MAYTA ISOLINA OTILIA</t>
  </si>
  <si>
    <t>URB APARICIO LOT Y</t>
  </si>
  <si>
    <t>978 863 098</t>
  </si>
  <si>
    <t>CALCIFACION DE ASPECTO BENIGNO EN MAMA IZQUIERDA. RESTO DE AMBAS MAMAS HETEROGENEAMENTE DENSAS, SE SUGIERE COMPLEMENTAR CON ECOGRIA POR DENSIDAD MAMARIA.</t>
  </si>
  <si>
    <t>RODRIGUEZ VIÑAS DE ZAPATA JANET</t>
  </si>
  <si>
    <t>PROL. LOS ANGELES 714</t>
  </si>
  <si>
    <t>981 074 270</t>
  </si>
  <si>
    <t>OPACIDADES NODULARES EN MAMA DERECHA, DE PROBABLE ASPECTO BENIGNO , SE SUGIERE ESTUDIO ECOGRAFICO PARA MEJOR CARACTERIZAACIÒN. RESTO DE LA MAMOGRAFIA BILATERAL DENTRO DE LIMITES NORMALES</t>
  </si>
  <si>
    <t xml:space="preserve">AGUIRRE CERNA EDA JULIETA </t>
  </si>
  <si>
    <t xml:space="preserve">PSJ 1ERO  DE MAYO  </t>
  </si>
  <si>
    <t>949 662 951</t>
  </si>
  <si>
    <t>LA MAMOGRAFIA BILATERAL DENTRO DE LIMITES NORMALES.</t>
  </si>
  <si>
    <t xml:space="preserve">PACHECO  GAERCIA  ALIDA BERTILA </t>
  </si>
  <si>
    <t xml:space="preserve">AÑANPAY S/N </t>
  </si>
  <si>
    <t>ACOTAMA</t>
  </si>
  <si>
    <t>P.S. ACOTAMA (IHUARI)</t>
  </si>
  <si>
    <t>LA MAMOGRAFIA BILATRAL DENTRO DE LOS LIMITES NORMALES</t>
  </si>
  <si>
    <t>CUADROS BOCANEGRA ALBINA JOSEP</t>
  </si>
  <si>
    <t>C.POBLADO SANTISIMA CRUZ DE SACACHISPA MZ. L LT. 5 - HUANDO</t>
  </si>
  <si>
    <t>962 267 642</t>
  </si>
  <si>
    <t>DENTRO DE LIMITES NORMALES</t>
  </si>
  <si>
    <t>GARCIA VALENCIA ROSANA LEONOR GABRIELA</t>
  </si>
  <si>
    <t>AV LAS CANARIAS PTO  CHANCAY S/N</t>
  </si>
  <si>
    <t>989 383 686</t>
  </si>
  <si>
    <t>CALCIFICACIONES DE ASPECTO BENIGNO EN MAMA DERECHA.RESTOS DE AMBAS HETEROGENEAMENTE DENSAS, SE SUGIERE COMPLEMENTAR CON ECOGRAFIA POR DENSIDAD MAMARIA</t>
  </si>
  <si>
    <t>PACORA OCHOA CARMEN ROSA</t>
  </si>
  <si>
    <t>PROLONG.LEONCIO PRADO 520 AMAY</t>
  </si>
  <si>
    <t>938 311 393</t>
  </si>
  <si>
    <t>PX. SE ENTREGA RS25-2-26</t>
  </si>
  <si>
    <t>BLAS TORRES MARIA ELENA</t>
  </si>
  <si>
    <t>IRRIGACION SANTA ROSA ASENT.H 9 DE OCTUBRE</t>
  </si>
  <si>
    <t>913 240 962</t>
  </si>
  <si>
    <t>MAMOGRAFIA BILATERAL SIN SIGNOS QUE SUGIEREN MALIGNIDAD</t>
  </si>
  <si>
    <t>MANAYAY CABELLO  MARIA</t>
  </si>
  <si>
    <t>IRRIGACION SANTA ROSA MZ 3 LOT 8</t>
  </si>
  <si>
    <t>913 346 988</t>
  </si>
  <si>
    <t>MAMAS CON SECTORES DE DENSIDAD FIBROGLANDULAR ACR TIPO B, CALCIFACIONES TIPICAMENTE BENIGNAS EN AMBAS MAMAS.</t>
  </si>
  <si>
    <t>NIETO TARAZONA RITA</t>
  </si>
  <si>
    <t>CALLE JOSE OLAYA MZ D LT 30</t>
  </si>
  <si>
    <t>MAMAS HETEROGENEAMENTE DENSAS.</t>
  </si>
  <si>
    <t>EOGRAFIA DE MAMAS.</t>
  </si>
  <si>
    <t>RIVERA ROJAS FAUSTA</t>
  </si>
  <si>
    <t xml:space="preserve">SANTA ANITA </t>
  </si>
  <si>
    <t>946 898 163</t>
  </si>
  <si>
    <t>MAMAS DENSAS SIN EVIDENCIAR SIGNOS SOSPECHOSOS DE NM.</t>
  </si>
  <si>
    <t>COTILLO COTILLO MARIA</t>
  </si>
  <si>
    <t>LA UNION - IRRIGACION SANTA ROSA</t>
  </si>
  <si>
    <t>MAMOGRAFIA ANUAL /ECOGRAFIA DE MAMAS DE ACUERDO A CRITERIO CLINICO</t>
  </si>
  <si>
    <t>BARDALES ORTIZ ROXANA</t>
  </si>
  <si>
    <t>CALLE LOS PINOS S/N MZ C LOT 1 HUANDO</t>
  </si>
  <si>
    <t>MAMAS HETEROGEREAMENTE DENSAS</t>
  </si>
  <si>
    <t>CONILLA ACUÑA ROSA OTILIA</t>
  </si>
  <si>
    <t>A.H. ALBERTO FUJIMORI SECTOR AGUA DULCE H 11</t>
  </si>
  <si>
    <t>P.S. LA MERCED</t>
  </si>
  <si>
    <t>Mamas heterogéneamente densas. Patrón ACR - C.
Nódulos de márgenes parcialmente oscurecidos en mama derecha 
Categoría BIRADS 0</t>
  </si>
  <si>
    <t>CARREÑO RIVERA LUZ</t>
  </si>
  <si>
    <t>AV ECHENIQUE 739</t>
  </si>
  <si>
    <t>ECOGRAFIA DE COMPLEMENTARIA</t>
  </si>
  <si>
    <t>O4015383</t>
  </si>
  <si>
    <t>GONZALES ANGULO OLGA</t>
  </si>
  <si>
    <t>AV.CORONEL PORTILLO 307</t>
  </si>
  <si>
    <t>991 638 199</t>
  </si>
  <si>
    <t>MAMOGRAFIA BILATERAL SIN SIGNOS QUE SUGIERAN MALIGNIDAD CALCIFICACIONES DE ASPECTO BENIGNO EN MAMA DERECHA</t>
  </si>
  <si>
    <t>SOLIS MENDOZA FLORSITA</t>
  </si>
  <si>
    <t>EX HDA HUAYAN BUNOS AIRES</t>
  </si>
  <si>
    <t>Mamas heterogéneamente densas 
Calcificaciones de aspecto benigno dispersas en ambas mamas</t>
  </si>
  <si>
    <t>O7476825</t>
  </si>
  <si>
    <t>LOPEZ LIMA JESUSA</t>
  </si>
  <si>
    <t xml:space="preserve">AA HH HUARANGAL </t>
  </si>
  <si>
    <t>912 522 039</t>
  </si>
  <si>
    <t>MAMAS HETEROGENEA DENSAS</t>
  </si>
  <si>
    <t>02/03/2026 WASSAP</t>
  </si>
  <si>
    <t>BURGOS BAILON MARITZA</t>
  </si>
  <si>
    <t>CALLE HUARAL LT 8 MZ L</t>
  </si>
  <si>
    <t>MAMA IZQUIERDA CON SECTORES DISPERSOS DE DENSIDAD FIBROGLANDULAR ACR TIPO B CALCIFICACIONES TIPICAMENTE BENIGNAS EN AMBAS</t>
  </si>
  <si>
    <t>MAMOGRAFIA ANUAL, ECOGRAFIA DE MAMASS EGUN CRITERIO</t>
  </si>
  <si>
    <t>CHAVEZ AYANA GLORIA FAUSTINA</t>
  </si>
  <si>
    <t xml:space="preserve"> AA HH SANTA CRUZ MZ F LOT 9</t>
  </si>
  <si>
    <t>CAPRA GUARDIA   JULIA GUADALUPE</t>
  </si>
  <si>
    <t>AV LA MAR 240</t>
  </si>
  <si>
    <t>GONZALES GUZMAN ROSARIO</t>
  </si>
  <si>
    <t xml:space="preserve">LAMPIAN  S/N </t>
  </si>
  <si>
    <t>MASUDA MINEI  NELLY PATRICIA</t>
  </si>
  <si>
    <t>CALLE FRANCISCO PAULA CHANGANAQUI 108</t>
  </si>
  <si>
    <t>987 892 112</t>
  </si>
  <si>
    <t>ECOGRAFIA DE MAMAS. MAMOGRAFIA ANUAL</t>
  </si>
  <si>
    <t>PARDO TAPIA DE TRUJILLO GREGORIA</t>
  </si>
  <si>
    <t>PAMPA EL CURA LT. 3</t>
  </si>
  <si>
    <t>ROMERO APONTE MARCIANA</t>
  </si>
  <si>
    <t>CALLE COLON 13 URB.EL CARMEN</t>
  </si>
  <si>
    <t>VEGA LOPEZ AMBROCIA</t>
  </si>
  <si>
    <t>MALECON  Q2-LOT 12</t>
  </si>
  <si>
    <t>CORDOVA ZUÑIGA EDITH PATRICK</t>
  </si>
  <si>
    <t>CALLE MARIA PARADO DE BELLIDO 290</t>
  </si>
  <si>
    <t>930 458 360</t>
  </si>
  <si>
    <t>amas heterogéneamente densas. Patrón ACR - C.
Categoría BIRADS 0</t>
  </si>
  <si>
    <t>ANGELES VASQUEZ VDA DE CAÑAMERO HILDA ESPERANZA</t>
  </si>
  <si>
    <t xml:space="preserve">CALLE 21 DE OCTUBRE 365 URB EL MILAGRO  </t>
  </si>
  <si>
    <t>MAMAS CON SECTORES DISPERSOS DE DENSIDAD FIBROGLANDULAR ACR TIPO B, CALCIFICACIONES TIPICAMENTE BENIGNAS DE ACUERDO AL CRITERIO CLINICO</t>
  </si>
  <si>
    <t>ECOGRAFIA DE MAMAS, MAMOGRAFIA ANUAL</t>
  </si>
  <si>
    <t>REGALADO  ESCOBAR LILIANA DEL  ROCIO</t>
  </si>
  <si>
    <t>FELIX B. CARDENAS S/N</t>
  </si>
  <si>
    <t>GARCIA MATOS FLOR ESMILA</t>
  </si>
  <si>
    <t>MARICAL CASTUILLA 136 CHURIN</t>
  </si>
  <si>
    <t>PACHANGARA</t>
  </si>
  <si>
    <t>C.S. CHURIN</t>
  </si>
  <si>
    <t>MAMAS HETEROGENEAMENTE DENSAS. IMPRESIONA TEJIDO FIBROGLANDULAR ACCESORIO EN AMBAS REGIONES AXILARES</t>
  </si>
  <si>
    <t>20/03/2026 OBST MELANIE WASSAP</t>
  </si>
  <si>
    <t>NONATO BARRANZUELA MILAGROS  DEL ROSARIO</t>
  </si>
  <si>
    <t>SAN JUDA STADEO  MZ 13 LOT 7</t>
  </si>
  <si>
    <t>910 511 381</t>
  </si>
  <si>
    <t>MAMOGRAFIA BILATERAL SIN SIGNOS QUE SUGIERAN MALIGNIDAD</t>
  </si>
  <si>
    <t>MAMOGRAFIA DE RUTINA</t>
  </si>
  <si>
    <t>ROSELL PACORA SANDRA MAGALY</t>
  </si>
  <si>
    <t xml:space="preserve">PASAJ QUINTA CARDENAS 382 </t>
  </si>
  <si>
    <t>951 777 975</t>
  </si>
  <si>
    <t>RAMIREZ ROSALES ESTHER FLOR</t>
  </si>
  <si>
    <t xml:space="preserve">IRRIGACION SANTA ROSA LA VILLA </t>
  </si>
  <si>
    <t>DIAZ SUSANIBAR DE LLANOS LOURDES SUSANA</t>
  </si>
  <si>
    <t>URB SAN PEDRO F-31</t>
  </si>
  <si>
    <t>917 937 020</t>
  </si>
  <si>
    <t>NOVOA CARRASCO ELIZABETH JANET</t>
  </si>
  <si>
    <t>AV  HUALMAY 581</t>
  </si>
  <si>
    <t>MAMAS HETEROGÈNEAMENTE DENSAS. CALCIFICACIONES DE ASPECTO BENIGNO EN AMBAS MAMAS.</t>
  </si>
  <si>
    <t>ARANA TAMAYO FORTUNATA</t>
  </si>
  <si>
    <t>ANDAHUASI SECTOR 4 R5</t>
  </si>
  <si>
    <t>OBT ZAMORA</t>
  </si>
  <si>
    <t>RAMOS MELGAREJO SARA</t>
  </si>
  <si>
    <t>TUPAC II ETAPA BUENA VISTA MZ A-1</t>
  </si>
  <si>
    <t>MAMS HETEROGENEAMENTE DENSAS. CALCIFICACIONES DE ASPECTO BENIGNO EN AMBAS MAMAS</t>
  </si>
  <si>
    <t>ECOGRAFIA DE MAMAS.</t>
  </si>
  <si>
    <t>CORDOVA NOEL  DIANA INES</t>
  </si>
  <si>
    <t>5 DE DICIEMBRE 169</t>
  </si>
  <si>
    <t>956 243 110</t>
  </si>
  <si>
    <t>MAMAS HETEROGENEAMENTE DENSAS. PATRON ACR C</t>
  </si>
  <si>
    <t>QUIÑONEZ MOTA ENEDINA MILAGROS</t>
  </si>
  <si>
    <t>C.P.TRES DE MAYO MZ.F LT.5</t>
  </si>
  <si>
    <t>VICENTE LOYA MARGARITA</t>
  </si>
  <si>
    <t xml:space="preserve">JR HUACHO S/N CAPILL PATA </t>
  </si>
  <si>
    <t>OYON</t>
  </si>
  <si>
    <t>MAMOGRAFIA BILATERAL SIN SIGNOS QUE SUGIEREN MALIGNIDAD. CALCIFICACIONES DE ASPECTO BENIGNO EN PLANO ANTERIOR DE REGION RETROAREOLAR DERECHA</t>
  </si>
  <si>
    <t>ARONI  CORMAN GLASYS ELENA</t>
  </si>
  <si>
    <t>AV.SAN MARTIN 286</t>
  </si>
  <si>
    <t>941 583 528</t>
  </si>
  <si>
    <t>MAMAS HETEROGENEAMENTE DENSAS. CALCIFICACIONES DE ASPECTO BENIGNO EN AMBAS MAMAS.</t>
  </si>
  <si>
    <t>ECOGRUA DE MAMAS</t>
  </si>
  <si>
    <t>ROBLES RAMIREZ JENNIFER AYMEE</t>
  </si>
  <si>
    <t>PROLONG MOORE 223</t>
  </si>
  <si>
    <t>959 111 144</t>
  </si>
  <si>
    <t>MAMAS HETROGENEAMENTE DENSAS. IMPRESIONA MICROCALCIFICACIONES AGRUPADAS A NIVEL DE PLANO MEDIO - POSTERIOR DE CUADRANTE SUPERIOR EXTERNO DE MAMA IZQUIERDA</t>
  </si>
  <si>
    <t>MAGNIFICACION FOCAL EN MAMA IZQUIERDA + ECOGRAFIA DE MAMA</t>
  </si>
  <si>
    <t>PACIENTE ACUDIRA EL 23/03 PARA TOMA DE MAGNIFICACION</t>
  </si>
  <si>
    <t>PRINCIPE DAMAZO  JHESSICA DALILA</t>
  </si>
  <si>
    <t>CALLE MATEO  PUMACAHUA  150</t>
  </si>
  <si>
    <t>ECOGRAFIA DE MAMA</t>
  </si>
  <si>
    <t>COLLANTE PALMA LUCY SMITH</t>
  </si>
  <si>
    <t>JOSE OLAYA MZ L LOT 14</t>
  </si>
  <si>
    <t>Mamas heterogéneamente densas
Impresiona imágenes nodulares de aspecto benigno en cuadrantes superiores de mama derecha</t>
  </si>
  <si>
    <t>X INFORMAR</t>
  </si>
  <si>
    <t xml:space="preserve">JIMENEZ ROJAS MARGARITA PRIMITIVA </t>
  </si>
  <si>
    <t>CALLE 28 DE JULIO S/N</t>
  </si>
  <si>
    <t>COCHAMARCA</t>
  </si>
  <si>
    <t>P.S. COCHAMARCA</t>
  </si>
  <si>
    <t>AMBAS MAMAS SON HETEROGENEMENTE DENSAS, SIN HALLAZGOS  RADIOLOGICAS DE MALIGNIDAD. 2. CALCIFICACIONES VASCULARES TIPICAMENTE BENIGNAS EN AMBA SMAMAS</t>
  </si>
  <si>
    <t>OBST JENIFER VALDEZ</t>
  </si>
  <si>
    <t>PACHECO PARADA FERMINA ISABEL</t>
  </si>
  <si>
    <t>SANTA ANITA MZF LT9</t>
  </si>
  <si>
    <t>LA VILLA</t>
  </si>
  <si>
    <t>DE LOS SANTOS HUERTAS ANA</t>
  </si>
  <si>
    <t>CENTRO POBLADO PRIMAVERA CALLE 01 MZ N LT01</t>
  </si>
  <si>
    <t>OPACIDADES EN AMBAS MAMAS, SE SUGIERE ESTUDIO ECOGRAFICO PARA MEJOR CARACTERIZACION.
RESTO DE AMBAS MAMAS HETEROGÉNEAMENTE DENSAS, SE SUGIERE COMPLEMENTAR CON ECOGRAFÍA POR 
DENSIDAD MAMARIA.
BI-RADS: 0</t>
  </si>
  <si>
    <t>QUINTEROS ARCE LILY MARIBEL</t>
  </si>
  <si>
    <t>JR. JOSE OLAYA 240</t>
  </si>
  <si>
    <t>PEZON DE MAMA IZQUIERDA RETRAIDO QUE SUGIERE ESTUDIO ECOGRAFICO COMPLEMENTARIO.
RESTO DE LA MAMOGRAFÍA BILATERAL DENTRO DE LÍMITES NORMALES.
BI-RADS: 0</t>
  </si>
  <si>
    <t>VALDIVIEZO VILLALOBOS JULIA</t>
  </si>
  <si>
    <t>PEDRO RUIZ GALLO MZ A LT 5</t>
  </si>
  <si>
    <t>NARVAEZ MAURICIO ROSARIO DEL PILAR</t>
  </si>
  <si>
    <t>AV. FELIX B. CARDENAS 624</t>
  </si>
  <si>
    <t>STA MATIA</t>
  </si>
  <si>
    <t>PX 06/03/2026</t>
  </si>
  <si>
    <t>GARRO LAURENTE SERGIA ROSA</t>
  </si>
  <si>
    <t>ASOC. DE VIVIENDAS CHACRARIOS MZD LT7</t>
  </si>
  <si>
    <t>PONCIANO ALFONSO EUMERIA LEONEL</t>
  </si>
  <si>
    <t>PANAMERICANA NORTE 1604</t>
  </si>
  <si>
    <t>OPACIDADES NODULARES EN AMBAS MAMAS. SE SUGIERE ECOGRAFIA PARA MEJOR CARACTERIZACION. GRUESA CALCIFICACION EN MAMA DERECHA. RESTO DE AMBAS HETEROGÈNEAMENTE DENSAS, SE SUGIERE COMPLEMENTAR CON ECOGRIA DE DENSIDAD MARIA</t>
  </si>
  <si>
    <t>PEÑA PONCIANO FIORELA ROXANA</t>
  </si>
  <si>
    <t>QUINTEROS ARCE MARIA DEL ROSARIO</t>
  </si>
  <si>
    <t>SANCHEZ CARRION S/N</t>
  </si>
  <si>
    <t>CURI SOTELO MARIA ESTELA</t>
  </si>
  <si>
    <t>C.POBLADO SAN LUIS MZF LT1</t>
  </si>
  <si>
    <t>Mamas heterogéneamente densas. Patrón  ACR - C.
Categoría BIRADS 1</t>
  </si>
  <si>
    <t>ALVAREZ ARREDONDO MARIELLA</t>
  </si>
  <si>
    <t>TUPAC AMARU 187</t>
  </si>
  <si>
    <t>FLORES LAURENTE MANUELA</t>
  </si>
  <si>
    <t>CALLE NUEVA S/N URB. SAN JUAN MZ 73 LT17</t>
  </si>
  <si>
    <t>OBST HEYDI ACUÑA</t>
  </si>
  <si>
    <t>CEL APGADO</t>
  </si>
  <si>
    <t>HUAMAN YZAGUIRRE CARMEN</t>
  </si>
  <si>
    <t>AV. TUPAC AMARU 301</t>
  </si>
  <si>
    <t>El estudio realizado muestra mamas heterogéneamente densas sin evidenciar signos sospechosos de NM.
Categoría BIRADS 1.</t>
  </si>
  <si>
    <t>ECOGRAFIA DE MAMAS /MAMOGRAFIA ANUAL</t>
  </si>
  <si>
    <t>ORTEGA ROJAS LUCIA ISABEL</t>
  </si>
  <si>
    <t>AV.LAS FLORES MZ.N LT.30 ASENT.H.SAN JUAN DE DIOS</t>
  </si>
  <si>
    <t>ROJAS GARCIA MERCEDES</t>
  </si>
  <si>
    <t>CALLE GENERAL VIDAL 280 LA PERLITA</t>
  </si>
  <si>
    <t>Mamas heterogéneamente densas. Patrón ACR - C.
Calcificaciones vasculares, típicamente benignas en mamas
Categoría BIRADS 0</t>
  </si>
  <si>
    <t>OYOLA COCA VDZ DE NICHO MERCEDES</t>
  </si>
  <si>
    <t>PSJE LA FLORIDA D-4 AMAY</t>
  </si>
  <si>
    <t>GRADOS VELEZ ANA MILAGROS</t>
  </si>
  <si>
    <t>PSJE SIMON CHUMBES 168 AMAY</t>
  </si>
  <si>
    <t>MAMAS EXTREMADAMENTE DENSAS, SE SUGIERE COMPLEMENTAR CON ECOGRAFÍA POR DENSIDAD MAMARIA.
BI-RADS: 0</t>
  </si>
  <si>
    <t>BAZALAR CHINGA RUTH</t>
  </si>
  <si>
    <t>GIRON SAN ISIDRO 251 A</t>
  </si>
  <si>
    <t>MAMAS EXTREMADAMENTE DENSAS. SE SUGIERE COMPLEMENTAR CON ECOGRAFIA POR DENSIDAD MAMARIA</t>
  </si>
  <si>
    <t>CHANGANA CASTRO YENNY</t>
  </si>
  <si>
    <t>PSJ. INDUSTRIAL Nº100</t>
  </si>
  <si>
    <t>MAMOGRAFIA ANUAL / ECOGRAFIA SEGUN CRITERIO</t>
  </si>
  <si>
    <t>GUITIERREZ LOPEZ SUSAN JANET</t>
  </si>
  <si>
    <t>URB. LA CAMPIÑA MZ F LOTE11</t>
  </si>
  <si>
    <t>OBT  CAROLINA TELLO  DIGOY</t>
  </si>
  <si>
    <t>PX 27/02/2026</t>
  </si>
  <si>
    <t>LINDO LEON FABIOLA  ARACELI</t>
  </si>
  <si>
    <t xml:space="preserve">LOS JARDINES S/N </t>
  </si>
  <si>
    <t xml:space="preserve">VILCAHUAURA </t>
  </si>
  <si>
    <t>P.S. VILCAHUAURA</t>
  </si>
  <si>
    <t>El estudio realizado muestra mamas heterógamamente densas sin evidenciar signos sospechosos de NM. Categoría BIRADS 1.</t>
  </si>
  <si>
    <t>SOLIS OROPEZA  DELTHA</t>
  </si>
  <si>
    <t>SAN MARTIN MZK LT1</t>
  </si>
  <si>
    <t>RICRA HISDRO ERNISTINA</t>
  </si>
  <si>
    <t>PSJ LOS ANGELES C.P MAZO S/N</t>
  </si>
  <si>
    <t>MAZO</t>
  </si>
  <si>
    <t>Mamas heterogéneamente densas. Patrón ACR - C. Nódulos hiperdensos de márgenes parcialmente circunscritos en mama derecha Categoría BIRADS 0</t>
  </si>
  <si>
    <t>ORTIZ ASCA  CARMEN</t>
  </si>
  <si>
    <t>AV- LAS MALVINAS MZ C-1</t>
  </si>
  <si>
    <t>El estudio realizado muestra mamas extremadamente densas ACR Tipo D. Categoría BIRADS 0</t>
  </si>
  <si>
    <t>OBST KAREN PAREDES</t>
  </si>
  <si>
    <t>NEYRA TINEO ZENIA JANETD</t>
  </si>
  <si>
    <t xml:space="preserve">SAN ISIDRO 283 </t>
  </si>
  <si>
    <t>El estudio realizado muestra mamas heterogéneamente densas sin evidenciar signos sospechosos de NM. Categoría BIRADS 1.</t>
  </si>
  <si>
    <t xml:space="preserve">MARIA VILLENA </t>
  </si>
  <si>
    <t xml:space="preserve">VARGAS AGUILAR ALCIRA </t>
  </si>
  <si>
    <t xml:space="preserve">CALLE MATEO PUMACAHUA 204 </t>
  </si>
  <si>
    <t>GALIANO CRUZ ABILIA</t>
  </si>
  <si>
    <t>CALLE JOSE OLAYA 120 HUALMAY</t>
  </si>
  <si>
    <t>Mamas con sectores dispersos de densidad fibroglandular (ACR tipo B) Ganglios intramamarios en ambas mamas Calcificaciones típicamente benignas en ambas mamas Categoría BIRADS 2.</t>
  </si>
  <si>
    <t xml:space="preserve">TEC ORTIZ ASCA CARMEN </t>
  </si>
  <si>
    <t>SOLORZANO MENESES ROSARIO</t>
  </si>
  <si>
    <t>AV. LOS LIBERTADORES MZ 35 LT 12</t>
  </si>
  <si>
    <t>CARRASCO ARIZA ISABEL HORTENSIA</t>
  </si>
  <si>
    <t>SALAVERRY 419</t>
  </si>
  <si>
    <t>03/03/2026 ENTREGA A HERMANA. MARLENE CARRASCO ARIZA</t>
  </si>
  <si>
    <t>MARIN ROMERO SONIA</t>
  </si>
  <si>
    <t>URB. LA AURORA MZ D LT 12 CALLE SINCHI ROCA</t>
  </si>
  <si>
    <t xml:space="preserve">ZELAYA DURAND YOLANDA ANTONIA </t>
  </si>
  <si>
    <t>AV. 3 DE OCTUBRE RETES S/N</t>
  </si>
  <si>
    <t>Mamas heterogéneamente densas. Patrón ACR - C. Calcificaciones típicamente benignas Categoría BIRADS 0</t>
  </si>
  <si>
    <t>VERA PORTILLA LYZ</t>
  </si>
  <si>
    <t>AUSEJO PINTADO 112</t>
  </si>
  <si>
    <t>El estudio realizado muestra mamas heterogéneamente  densas sin evidenciar signos sospechosos de NM.
Calcificaciones típicamente benignas  en ambas mamas
Categoría BIRADS 2.</t>
  </si>
  <si>
    <t>PX 03/03/2026</t>
  </si>
  <si>
    <t>DIAZ MORALES FLOR VIOLETA</t>
  </si>
  <si>
    <t>CALLE LAS FLORES 108</t>
  </si>
  <si>
    <t>CALCIFICACIONES DE ASPECTO BENIGNO EN MAMA IZQUIERDA
RESTO DE AMBAS MAMAS HETEROGÉNEAMENTE DENSAS, SE SUGIERE COMPLEMENTAR CON ECOGRAFÍA POR
DENSIDAD MAMARIA.
BI-RADS: 2</t>
  </si>
  <si>
    <t>ROMERO QUIROZ ELIZABETH</t>
  </si>
  <si>
    <t>AV. 9 DE OCTUBRE N 14</t>
  </si>
  <si>
    <t>ABARCA HILARIO MARYLU</t>
  </si>
  <si>
    <t>VILLAVICENCIO VARILLAS NELIDA</t>
  </si>
  <si>
    <t xml:space="preserve">7 DE JULIO </t>
  </si>
  <si>
    <t>P.S. MEDIO MUNDO</t>
  </si>
  <si>
    <t>Mamas constituidas  predominantemente por tejido adiposo. Patrón ACR Tipo A Calcificaciones vasculares , típicamente benignas en ambas mamas Categoría BIRADS 2.Mamas constituidas  predominantemente por tejido adiposo. Patrón ACR Tipo A Calcificaciones vasculares , típicamente benignas en ambas mamas Categoría BIRADS 2.</t>
  </si>
  <si>
    <t>TEC CALERO  PAUCAR EVA</t>
  </si>
  <si>
    <t>LORENZO LORENZIO LUZ ANTONIA</t>
  </si>
  <si>
    <t>PSJ PROGRESO 230</t>
  </si>
  <si>
    <t>RAMOS CHINGA RUTH YVONE</t>
  </si>
  <si>
    <t>CALLE ARICA 276</t>
  </si>
  <si>
    <t>ASIMETRÍA FOCAL EN MAMA DERECHA. SE SUGIERE ECOGRAFÍA.
RESTO DE LA MAMOGRAFÍA BILATERAL DENTRO DE LÍMITES NORMALES.</t>
  </si>
  <si>
    <t>MEJIA VILLANUEVA MERCEDES</t>
  </si>
  <si>
    <t>MANCO CAPAC</t>
  </si>
  <si>
    <t>SAYAM</t>
  </si>
  <si>
    <t>TECNOLOGA MEDIA MONTERO HRH 25-2-26</t>
  </si>
  <si>
    <t>ESPINOZA PICHILINGUE DORIS</t>
  </si>
  <si>
    <t>MANCO CAPAC KM 22</t>
  </si>
  <si>
    <t>ASIMETRÍA FOCAL EN MAMA IZQUIERDA. SE SUGIERE ECOGRAFÍA
MAMAS HETEROGÉNEAMENTE DENSAS, SE SUGIERE COMPLEMENTAR CON ECOGRAFÍA POR DENSIDAD MAMARIA.
BI-RADS: 3</t>
  </si>
  <si>
    <t>CAMPOS ROSALES ELISA</t>
  </si>
  <si>
    <t xml:space="preserve">FERNANDEZ SANTOS  HILDAURA </t>
  </si>
  <si>
    <t>LORENZO MEZA MZ K LOT 3 ATALAYA</t>
  </si>
  <si>
    <t>SANTA MARIA PEÑA AMERICA</t>
  </si>
  <si>
    <t>SOCORRO</t>
  </si>
  <si>
    <t>Mamas heterogéneamente densas. Patrón  ACR - C. Calcificaciones vasculares , típicamente benignas en ambas mamas Categoría BIRADS 0</t>
  </si>
  <si>
    <t>ROSELL PACORA GLADYS VICTORIA</t>
  </si>
  <si>
    <t>SALAVERRY 382</t>
  </si>
  <si>
    <t>CALDERON GARAY JUDITH</t>
  </si>
  <si>
    <t>MEGA SUR S/N</t>
  </si>
  <si>
    <t>Mamas heterogéneamente densas. Patrón  ACR - C. Calcificaciones típicamente benignas en mamas Categoría BIRADS 2</t>
  </si>
  <si>
    <t>KIMURA CAYCHO PATRICIA</t>
  </si>
  <si>
    <t>URB. HUACHO MZ 6 LT 2</t>
  </si>
  <si>
    <t>LIBIAS ARANDA CEN</t>
  </si>
  <si>
    <t>ASOC HUACHO QUERIDO MZ I LT 5</t>
  </si>
  <si>
    <t>Mamas con sectores dispersos de densidad fibroglandular (ACR tipo B) Categoría BIRADS 1.</t>
  </si>
  <si>
    <t>TEC SILVESTRE VERGARA CRITHIAN</t>
  </si>
  <si>
    <t>NAPURI RAMOS CARMEN</t>
  </si>
  <si>
    <t>NICOLAS DE PIEROLA 277</t>
  </si>
  <si>
    <t>Mamas con sectores dispersos de densidad fibroglandular (ACR tipo B) Categoría BIRADS 1</t>
  </si>
  <si>
    <t>PATOLOGIA LISET</t>
  </si>
  <si>
    <t>RUIZ CATIRI ROCIO JANET</t>
  </si>
  <si>
    <t>AV 28 DE JULIO 981</t>
  </si>
  <si>
    <t>Mamas heterogéneamente densas. Patrón  ACR - C. Categoría BIRADS 0</t>
  </si>
  <si>
    <t>PIMENTEL SARMIENTO YOLENKA</t>
  </si>
  <si>
    <t>AMINCO MAR 202</t>
  </si>
  <si>
    <t>Mamas con sectores dispersos de densidad fibroglandular (ACR tipo B) Calcificaciones típicamente benignas en ambas mamas Categoría BIRADS 2.</t>
  </si>
  <si>
    <t>RICO YAJAHUANCA AGUEDA</t>
  </si>
  <si>
    <t xml:space="preserve">SAN JUAN DE DIOS </t>
  </si>
  <si>
    <t>CAMBIOS POST-QUIRURGICOS DE LA MAMA IZQUIERDA SIN SIGNOS DE RECURRENCIA LOCORREGIONAL.
CALCIFICACION DE ASPECTO BENIGNO EN MAMA DERECHA.
MAMAS HETEROGÉNEAMENTE DENSAS, SE SUGIERE COMPLEMENTAR CON ECOGRAFÍA POR DENSIDAD MAMARIA.
BI-RADS: 2</t>
  </si>
  <si>
    <t>LUIS OLIVARES MARIA CARMEN</t>
  </si>
  <si>
    <t>MANCO CAPAC 130</t>
  </si>
  <si>
    <t>ASIMETRÍA FOCAL EN MAMA DERECHA. SE SUGIERE ECOGRAFÍA
CALCIFICACIONES DE ASPECTO BENIGNO EN AMBAS MAMAS.
RESTO DE LA MAMOGRAFÍA BILATERAL DENTRO DE LÍMITES NORMALES.
BI-RADS: 3</t>
  </si>
  <si>
    <t>NO ES EL NUMERO</t>
  </si>
  <si>
    <t>VALVERDE MORALES SONIA</t>
  </si>
  <si>
    <t>954 309 537</t>
  </si>
  <si>
    <t>OPACIDAD NODULAR HETEROGENEA, DE PROBABLE ASPECTO BENIGNO LOCALIZADA EN MAMA IZQUIERDA,
SUGESTIVO DE PROBABLE HAMARTOMA, SE SUGIERE ESTUDIO ECOGRAFICO SELECTIVO PARA MEJOR
CARACTERIZACION.
CALCIFICACIONES DE ASPECTO BENIGNO EN AMBAS MAMAS.
RESTO DE AMBAS MAMAS HETEROGÉNEAMENTE DENSAS, SE SUGIERE COMPLEMENTAR CON ECOGRAFÍA POR
DENSIDAD MAMARIA.
BI-RADS: 0</t>
  </si>
  <si>
    <t>LLUSHO OSORIO SILVIA LUZ</t>
  </si>
  <si>
    <t>CALLE 8 DE JUJNIO B - 7</t>
  </si>
  <si>
    <t>MANZANARES</t>
  </si>
  <si>
    <t>LEON GERVACIO PILAR CRESENCIA</t>
  </si>
  <si>
    <t>CALLE CASUARINAS C-14</t>
  </si>
  <si>
    <t>929 324 993</t>
  </si>
  <si>
    <t>LEONARDO AVILA EDITH ESPIRITA</t>
  </si>
  <si>
    <t>AA.HH SAN JUDAS TADEO J-9</t>
  </si>
  <si>
    <t>OPACIDADES NODULARES EN MAMA DERECHA, SE SUGIERE ESTUDIO ECOGRAFICO PARA MEJOR
CARACTERIZACION.
RESTO DE AMBAS MAMAS HETEROGÉNEAMENTE DENSAS, SE SUGIERE COMPLEMENTAR CON ECOGRAFÍA POR
DENSIDAD MAMARIA.
BI-RADS: 3</t>
  </si>
  <si>
    <t>SALVADOR FLORES EDITH SHERLEY</t>
  </si>
  <si>
    <t>SAN ISIDRO SN</t>
  </si>
  <si>
    <t>ASIMETRÍA FOCAL EN MAMA IZQUIERDA. SE SUGIERE ECOGRAFÍA.
RESTO DE LA MAMOGRAFÍA BILATERAL DENTRO DE LÍMITES NORMALES.
BI-RADS: 3</t>
  </si>
  <si>
    <t>PX 20/02/2026</t>
  </si>
  <si>
    <t>MENDOZA TAFUR ERICA</t>
  </si>
  <si>
    <t>VILLA ACRRION MAZ D LOT 7</t>
  </si>
  <si>
    <t>925 216 449</t>
  </si>
  <si>
    <t>QUICHE CURAZI MARIA ELENA</t>
  </si>
  <si>
    <t>PROL LA PALMA 145</t>
  </si>
  <si>
    <t>962 326 353</t>
  </si>
  <si>
    <t>ENVIAR A WAASAP</t>
  </si>
  <si>
    <t>JESUS QUIÑONES GLORIA</t>
  </si>
  <si>
    <t>C.P VISTA ALEGRE</t>
  </si>
  <si>
    <t>P.S. PASAMAYO</t>
  </si>
  <si>
    <t>03/03/2026 WATHSSAP</t>
  </si>
  <si>
    <t>CAMONES GUIO DE SALINAS VIVIANA OLIMPIA</t>
  </si>
  <si>
    <t>PROL SALAVERRY 312</t>
  </si>
  <si>
    <t>16/02/2026 / 18/02/2026</t>
  </si>
  <si>
    <t>LAYTEN MORENO ANA ESPERANZA</t>
  </si>
  <si>
    <t>URB EL OLIVAR C-3</t>
  </si>
  <si>
    <t>OPACIDAD NODULAR EN MAMA IZQUIERDA, SE SUGIERE ESTUDIO ECOGRAFICO PARA MEJOR CARACTERIZACION
RESTO DE AMBAS MAMAS HETEROGÉNEAMENTE DENSAS, SE SUGIERE COMPLEMENTAR CON ECOGRAFÍA POR
DENSIDAD MAMARIA.
BI-RADS: 0</t>
  </si>
  <si>
    <t>PX 04/03/2026</t>
  </si>
  <si>
    <t>RAMOS GUTIERREZ LILIANA SOLEDAD</t>
  </si>
  <si>
    <t>USARES DE JUNIN 680</t>
  </si>
  <si>
    <t>PX 02/03/2026</t>
  </si>
  <si>
    <t xml:space="preserve">PEREZ ARDIAN ADELI </t>
  </si>
  <si>
    <t>UR LOS CIPRECES MZ I LOT 21</t>
  </si>
  <si>
    <t>CAMPOS ZAMORA YOLANDA</t>
  </si>
  <si>
    <t>AA.HH TUPAC AMARU MZ X LTE12</t>
  </si>
  <si>
    <t>OPACIDAD NODULAR EN MAMA IZQUIERDA, DE PROBABLE ASPECTO BENIGNO, SE SUGIERE ESTUDIO ECOGRAFICO
PARA MEJOR CARACTERIZACION
RESTO DE LA MAMOGRAFÍA BILATERAL DENTRO DE LÍMITES NORMALES.
BI-RADS: 2</t>
  </si>
  <si>
    <t>ALVARADO MELGAREJO ARMANDINA</t>
  </si>
  <si>
    <t xml:space="preserve">AV 24 DE AGOSTO 238 </t>
  </si>
  <si>
    <t>P.S. PERALVILLO</t>
  </si>
  <si>
    <t>03/03/2026 whatsapp</t>
  </si>
  <si>
    <t>LUNA ROSALES YOANNA</t>
  </si>
  <si>
    <t>PJE SAN MARTIN LTE 7</t>
  </si>
  <si>
    <t>MAMAS EXTREMADAMENTE DENSAS, SE SUGIERE COMPLEMENTAR CON ECOGRAFÍA POR DENSIDAD MAMARIA. BI-RADS: 1</t>
  </si>
  <si>
    <t>OBST MELANI COLLANTES</t>
  </si>
  <si>
    <t>LOPEZ SAMARITANO TERESA DONATA</t>
  </si>
  <si>
    <t>EL PARAISO MZ I LTE 1</t>
  </si>
  <si>
    <t>TUANAMA SAAVEDRA DE GARCES SOFIA</t>
  </si>
  <si>
    <t>CALLE BELEN 417</t>
  </si>
  <si>
    <t>23/02/2026 WATHSSAP</t>
  </si>
  <si>
    <t>PACORA ROMERO KATHERINE</t>
  </si>
  <si>
    <t>CRUZ BLANCA 921</t>
  </si>
  <si>
    <t>TAPIA VASQUEZ MARIELA</t>
  </si>
  <si>
    <t>TUPAC AMARU MZ-F LTE 8</t>
  </si>
  <si>
    <t>MORERA MALLQUI NELLY</t>
  </si>
  <si>
    <t>CALLE BOLOGNESI S/N</t>
  </si>
  <si>
    <t>X BOLETEAR</t>
  </si>
  <si>
    <t xml:space="preserve">MANRIQUE GONZALES  MARIA DEL PILAR </t>
  </si>
  <si>
    <t>MARISCAL CACERERES 234</t>
  </si>
  <si>
    <t>BETETA HUERTAS CARMEN</t>
  </si>
  <si>
    <t>JOSE SANTOS CHOCANO 230</t>
  </si>
  <si>
    <t>SUAREZ LUGO  HAYDEE ELIZABETH</t>
  </si>
  <si>
    <t xml:space="preserve">C.P MIRAFLORES  </t>
  </si>
  <si>
    <t>MEJIA ANDAHUA MARIBEL</t>
  </si>
  <si>
    <t>LAS VIÑAS DEL MAR  LTE 6</t>
  </si>
  <si>
    <t>989 234 508</t>
  </si>
  <si>
    <t>SOTOMAYOR CASTRO NOLA</t>
  </si>
  <si>
    <t>SAN JORGE MZ I LTE 8</t>
  </si>
  <si>
    <t>NO TIENE</t>
  </si>
  <si>
    <t>Mamas heterogéneamente densas Calcificación de aspecto benigno en región retroareolar derecha</t>
  </si>
  <si>
    <t>SIN NRO</t>
  </si>
  <si>
    <t>CARRILLO VALLE GULIANA</t>
  </si>
  <si>
    <t>CALLE LOPEZ DE ZUÑIGA 589</t>
  </si>
  <si>
    <t>X BOLETAR</t>
  </si>
  <si>
    <t>ULLOA RODRIGUEZ MARIA</t>
  </si>
  <si>
    <t>av 9 de octubre 657</t>
  </si>
  <si>
    <t>huacho</t>
  </si>
  <si>
    <t>Mamografía bilateral sin signos que sugieran malignidad Impresiona imágenes nodulares de aspecto benigno en cuadrantes superiores de mama derecha</t>
  </si>
  <si>
    <t>ECOGRAFIA DE MAMAS + MAMOHGRAFIA ANUAL</t>
  </si>
  <si>
    <t>NIETO GARAY ANINA</t>
  </si>
  <si>
    <t>C.P EL SOL</t>
  </si>
  <si>
    <t>HUAIRA</t>
  </si>
  <si>
    <t>Mamas extremadamente densas</t>
  </si>
  <si>
    <t>TAPIA JULCA REGINA YANET</t>
  </si>
  <si>
    <t>CALLE CORONEL PORTILLO 128</t>
  </si>
  <si>
    <t>Mamas heterogéneamente densas Calcificaciones de aspecto benigno em ambas mamas</t>
  </si>
  <si>
    <t>PX 13/03/2026</t>
  </si>
  <si>
    <t>MENDOZA ABRIGO YOLANDA</t>
  </si>
  <si>
    <t>AA.HH SAN MARTIN MZ-D1 LTE 6</t>
  </si>
  <si>
    <t>Mamas heterogéneamente densas Calcificaciones de aspecto benigno en ambas mamas</t>
  </si>
  <si>
    <t>ESPINOZA RODRIGUEZ MILDREDA</t>
  </si>
  <si>
    <t>AV CORONEL PORTILLO 156</t>
  </si>
  <si>
    <t>Mamas heterogéneamente densas Calcificaciones de aspecto benigno dispersas en ambas mamas</t>
  </si>
  <si>
    <t>PX 25-2-26</t>
  </si>
  <si>
    <t>AZAÑERO JUSTO NELLY</t>
  </si>
  <si>
    <t xml:space="preserve">ECOGRAFIA DE MAMAS </t>
  </si>
  <si>
    <t xml:space="preserve">RAMIREZ SIMARRA ANGELICA </t>
  </si>
  <si>
    <t>CALLE MICAELA BASTIDAS MZ L LTE 7</t>
  </si>
  <si>
    <t>PAREDES BALBOA YESSICA</t>
  </si>
  <si>
    <t>PASAJE TROPEZON S/N</t>
  </si>
  <si>
    <t>MARTINEZ QUICHE GUISELLE</t>
  </si>
  <si>
    <t>JIRON LIMA 155</t>
  </si>
  <si>
    <t>Mamas heterogéneamente densas Calcificaciones gruesas de aspecto benigno en ambas mamas</t>
  </si>
  <si>
    <t>23/02/2026 HNA:  MARTINEZ QUICHE ISABEL</t>
  </si>
  <si>
    <t>ARONI CORMAN PATRICIA</t>
  </si>
  <si>
    <t>AV SAN MARTIN 761</t>
  </si>
  <si>
    <t>987 698 918</t>
  </si>
  <si>
    <t>CHINGA RAMOS OLGA VIOLETA</t>
  </si>
  <si>
    <t>JORGE CHAVEZ 135</t>
  </si>
  <si>
    <t>908 719 211</t>
  </si>
  <si>
    <t>CASTILLO RODRIGUEZ OLGA</t>
  </si>
  <si>
    <t>URB 18 DE OCTUBRE F-15</t>
  </si>
  <si>
    <t>991 755 876</t>
  </si>
  <si>
    <t>PX 26/02/2026</t>
  </si>
  <si>
    <t>ASCANOVA VELASQUEZ ELIZABETH</t>
  </si>
  <si>
    <t>HONORATO CHIRITO</t>
  </si>
  <si>
    <t>Mamas heterogéneamente densas Impresiona imagen nodular  de aspecto benigno a nivel de plano medio de región retroareolar derecha</t>
  </si>
  <si>
    <t xml:space="preserve">GAVINO BERNAL CAROL SANDRA </t>
  </si>
  <si>
    <t>CRUZ DE CANO 235-A</t>
  </si>
  <si>
    <t>CALCIFIACIONES DE ASPECTO BENIGNO EN MAMA DERECHA. RESTO DE LA MAMOGRAFÍA BILATERAL DENTRO DE LÍMITES NORMALES. BI-RADS: 2</t>
  </si>
  <si>
    <t>ECOGRAFIA COMPLEMETARIA</t>
  </si>
  <si>
    <t xml:space="preserve">BUSTILLOS FERRER MARIA </t>
  </si>
  <si>
    <t>LOS CIPRECES U14</t>
  </si>
  <si>
    <t xml:space="preserve">STA MARIA </t>
  </si>
  <si>
    <t>CALCIFICACIONES DE ASPECTO BENIGNO EN AMBAS MAMAS. RESTO DE AMBAS MAMAS HETEROGÉNEAMENTE DENSAS, SE SUGIERE COMPLEMENTAR CON ECOGRAFÍA POR DENSIDAD MAMARIA. BI-RADS: 2</t>
  </si>
  <si>
    <t xml:space="preserve">ECHENIQUE AREVALO CINTHYA </t>
  </si>
  <si>
    <t>JR. 24 DE OCTUBRE 372</t>
  </si>
  <si>
    <t>17/02/2026 18/02/2026</t>
  </si>
  <si>
    <t>TOLEDO SOSA MARIANELLA SUGEMS</t>
  </si>
  <si>
    <t>PESCADORES 187</t>
  </si>
  <si>
    <t>CASTILLO GERVACIO RUFINA</t>
  </si>
  <si>
    <t>AV. CINCUENTENARIO 574</t>
  </si>
  <si>
    <t>MAMAS HETEROGÉNEAMENTE DENSAS, SE SUGIERE COMPLEMENTAR CON ECOGRAFÍA POR DENSIDAD MAMARIA.</t>
  </si>
  <si>
    <t xml:space="preserve">ALVARADO  MILLA ANTONIA </t>
  </si>
  <si>
    <t>PSJ QUICHE S/N</t>
  </si>
  <si>
    <t>OPACIDADES NODULARES EN AMBAS MAMAS, SE SUGIERE ESTUDIO ECOGRAFICO PARA MEJOR CARACTERIZACION
RESTO DE LA MAMOGRAFÍA BILATERAL DENTRO DE LÍMITES NORMALES.
BI-RADS: 3</t>
  </si>
  <si>
    <t>FUJIMORI</t>
  </si>
  <si>
    <t xml:space="preserve">LEAÑO CHAVARRIA LUCIA </t>
  </si>
  <si>
    <t>LAS LOMAS DE STA MARIA D-22</t>
  </si>
  <si>
    <t>RECOGERA RESULTADOS EN HRH</t>
  </si>
  <si>
    <t>CHERREPANO TARAZONA CARMEN</t>
  </si>
  <si>
    <t>CERRO COLORADO MZ X LT6</t>
  </si>
  <si>
    <t>RECOGERA EN CS HUALMAY</t>
  </si>
  <si>
    <t>MIRANDA RAMOS CORINA</t>
  </si>
  <si>
    <t>URB LAS PALMAS I-17</t>
  </si>
  <si>
    <t>PUICON ILDEFONZO JESSICA EDITH</t>
  </si>
  <si>
    <t>VIGEN MARIA A-4</t>
  </si>
  <si>
    <t xml:space="preserve">ROSALES QUISPE ANA </t>
  </si>
  <si>
    <t>LOS ANGELES H-2</t>
  </si>
  <si>
    <t>MAMOGARFIA ANUAL</t>
  </si>
  <si>
    <t xml:space="preserve">REYES ORTIZ MILAGROS LUISA </t>
  </si>
  <si>
    <t>CERRO COLORADO X-3</t>
  </si>
  <si>
    <t xml:space="preserve">ESPINOZA CARRASCAL ESTELA </t>
  </si>
  <si>
    <t>CHURIN S/N</t>
  </si>
  <si>
    <t>CHURIN</t>
  </si>
  <si>
    <t xml:space="preserve">CASTILLO CHINGUEL FELICITA </t>
  </si>
  <si>
    <t>LOS NARCIZOS MZ A-17</t>
  </si>
  <si>
    <t>OPACIDAD NODULAR, DE MARGENES IRREGULARES, CON GRUESAS CALCIFICACIONES EN SU INTERIOR, QUE
PODRIA CORRESPONDER CON PROBABLE FIBROADENOMA SE SUGIERE CONTROL EN 06 MESES.
RESTO DE LA MAMOGRAFÍA BILATERAL DENTRO DE LÍMITES NORMALES.
BI-RADS: 3</t>
  </si>
  <si>
    <t>CONTROL DE 6 MESES</t>
  </si>
  <si>
    <t xml:space="preserve">BURGA BARBOZA ISMELDA </t>
  </si>
  <si>
    <t xml:space="preserve">AV TUPAC AMARU S/N </t>
  </si>
  <si>
    <t xml:space="preserve">CAGUAMO -  LUISA MARGARITA </t>
  </si>
  <si>
    <t>CALLE APARICIO 232</t>
  </si>
  <si>
    <t xml:space="preserve">UGARTE YACON MARIA </t>
  </si>
  <si>
    <t>EX FUJIMORI LOS PINOS MZ P-9</t>
  </si>
  <si>
    <t>OPACIDADES NODULARES EN AMBAS REGIONES AXIALRES, SUGESTIVOS DE PROBABLES GANGLIOS, SE SUGIERE
ESTUDIO ECOGRAFICO PARA MEJOR CARACTERIZACION
RESTO DE LA MAMOGRAFÍA BILATERAL DENTRO DE LÍMITES NORMALES.
BI-RADS: 2</t>
  </si>
  <si>
    <t>ECOGRAFIA DE AXILAS</t>
  </si>
  <si>
    <t xml:space="preserve">NONATO CARBAJAL MARIA </t>
  </si>
  <si>
    <t>CALLE AREQUIPA 148</t>
  </si>
  <si>
    <t xml:space="preserve">TEZEN CACERES YESENIA </t>
  </si>
  <si>
    <t>ASOC LOS PINOS MZ P-1</t>
  </si>
  <si>
    <t>SUGIERE ESTUDIO ECOGRAFICO PARA MEJOR CARACTERIZACION.
MICROCALCIFICACIONES DE ASPECTO BENIGNO EN MAMA DERECHA.
OPACIDADES NODULARES EN REGION AXILAR IZQUIERDA, SUGESTIVOS DE PROBABLES GANGLIOS, SE SUGIERE
ESTUDIO ECOGRAFICO PARA MEJOR CARACTERIZACION
RESTO DE LAS MAMAS HETEROGÉNEAMENTE DENSAS, SE SUGIERE COMPLEMENTAR CON ECOGRAFÍA POR
DENSIDAD MAMARIA.
BI-RADS: 2</t>
  </si>
  <si>
    <t>HERRERA ZAPATA LIZ MIRIAM</t>
  </si>
  <si>
    <t>CALLE TOMAS CARREÑO A-8</t>
  </si>
  <si>
    <t>CALCIFICACION DE ASPECTO BENIGNO EN MAMA IZQUIERDA.
RESTO DE LA MAMOGRAFÍA BILATERAL DENTRO DE LÍMITES NORMALES.
BI-RADS: 2</t>
  </si>
  <si>
    <t xml:space="preserve">CHAICHA ENRIQUE ANTONIA </t>
  </si>
  <si>
    <t>LOS DURAZNOS ASOC. DE VIVIENDA LA PRIMAVERA C-17</t>
  </si>
  <si>
    <t>CHANGANA BERNAL NORMA LUZ</t>
  </si>
  <si>
    <t>RAMON CASTILLA S/N</t>
  </si>
  <si>
    <t>GOMEZ RAMIREZ CECILIA MARTHA</t>
  </si>
  <si>
    <t>C.POBLADO GUADALUPE S/N</t>
  </si>
  <si>
    <t>MIRAVAL OBREGON LUCIA</t>
  </si>
  <si>
    <t>3 PIEDRAS S/N</t>
  </si>
  <si>
    <t>MEDIO MUNDO</t>
  </si>
  <si>
    <t>OPACIDADES NODULARES EN AMBAS REGIONES AXILARES, SUGESTIVOS DE PROBABLES GANGLIOS, SE SUGIERE
ESTUDIO ECOGRAFICO PARA MEJOR CARACTERIZACION
RESTO DE AMBAS MAMAS HETEROGÉNEAMENTE DENSAS, SE SUGIERE COMPLEMENTAR CON ECOGRAFÍA POR
DENSIDAD MAMARIA.
BI-RADS: 2</t>
  </si>
  <si>
    <t>SANCHEZ GARCIA KARINA SOLEDAD</t>
  </si>
  <si>
    <t xml:space="preserve">ASOC. VICTOR RAUL HAYA DE LA TORRE MZ F LT 3 </t>
  </si>
  <si>
    <t>OPACIDAD NODULAR HETEROGENEA, DE PROBABLE ASPECTO BENIGNO LOCALIZADA EN MAMA DERECHA ,
SUGESTIVO DE PROBABLE HAMARTOMA, SE SUGIERE ESTUDIO ECOGRAFICO SELECTIVO PARA MEJOR
CARACTERIZACION.
RESTO DE AMBAS MAMAS HETEROGÉNEAMENTE DENSAS, SE SUGIERE COMPLEMENTAR CON ECOGRAFÍA POR
DENSIDAD MAMARIA.
BI-RADS: 2</t>
  </si>
  <si>
    <t>MAYO QUINTEROS BERTILA ISOLINA</t>
  </si>
  <si>
    <t>AV. SAN MARTIN MZ E LT4 CERRO MONTERO</t>
  </si>
  <si>
    <t>CARQUIN RAMOS AMELIA</t>
  </si>
  <si>
    <t>AV. LEONCIO PRADO 183</t>
  </si>
  <si>
    <t>JARAMILLO RAMIREZ GULLERMINA MARIA</t>
  </si>
  <si>
    <t>CASERIO POCHGO S/N</t>
  </si>
  <si>
    <t>ANCASH</t>
  </si>
  <si>
    <t xml:space="preserve">LLANTOY ANAYA HAYDEE </t>
  </si>
  <si>
    <t>JR. SIMON BOLIVAR 847</t>
  </si>
  <si>
    <t>PX 11-3-26</t>
  </si>
  <si>
    <t>FLORES GONZALES MILAGROS ANGELICA</t>
  </si>
  <si>
    <t>URB. 18 DE OCTUBRE MZ G LT 19</t>
  </si>
  <si>
    <t>ASIMETRÍA FOCAL EN MAMA DERECHA. SE SUGIERE ECOGRAFÍA.
RESTO DE LA MAMOGRAFÍA BILATERAL DENTRO DE LÍMITES NORMALES.
BI-RADS: 3</t>
  </si>
  <si>
    <t>GARCIA PARADA CECILIA MARIA</t>
  </si>
  <si>
    <t>C. RONTOY S/N</t>
  </si>
  <si>
    <t xml:space="preserve">JARA MANRIQUE DE PONCE RUTH </t>
  </si>
  <si>
    <t>PROLONG. LA PALMA 117</t>
  </si>
  <si>
    <t>OPACIDADES NODULARES EN AMBAS MAMAS, DE PROBABLE ASPECTO BENIGNO, SE SUGIERE ESTUDIO
ECOGRAFICO PARA MEJOR CARACTERIZACION
RESTO DE LAS MAMAS HETEROGÉNEAMENTE DENSAS, SE SUGIERE COMPLEMENTAR CON ECOGRAFÍA POR
DENSIDAD MAMARIA.
BI-RADS: 3</t>
  </si>
  <si>
    <t>CABRERA ARGUELLES ESPERANZA ELIZABETH</t>
  </si>
  <si>
    <t>TORRES PAZ 451</t>
  </si>
  <si>
    <t>QUISPE PAREDES WENDY ROSEMARIE</t>
  </si>
  <si>
    <t>URB. 18 OCTUBRE MZ F LT 25</t>
  </si>
  <si>
    <t>OPACIDADES NODULARES EN MAMA IZQUIERDA, DE PROBABLE ASPECTO BENIGNO, SE SUGIERE ESTUDIO
ECOGRAFICO PARA MEJOR CARACTERIZACION
RESTO DE AMBAS MAMAS HETEROGÉNEAMENTE DENSAS, SE SUGIERE COMPLEMENTAR CON ECOGRAFÍA POR
DENSIDAD MAMARIA.
BI-RADS: 2</t>
  </si>
  <si>
    <t>MIRANDA VALLADARES MARTA FLORENCIA</t>
  </si>
  <si>
    <t xml:space="preserve">SAN VALENTIN S/N </t>
  </si>
  <si>
    <t>Mamografía bilateral sin signos que sugieran malignidad
Calcificaciones de aspecto benigno dispersas en ambas mamas</t>
  </si>
  <si>
    <t>Tamizaje mamográfico de rutina</t>
  </si>
  <si>
    <t>MATOS ARANDA MARLENI</t>
  </si>
  <si>
    <t>PRIMAVERA S/N</t>
  </si>
  <si>
    <t>TEC YECKSON MINAYA</t>
  </si>
  <si>
    <t>MELGAREJO FLORES BLANCA</t>
  </si>
  <si>
    <t xml:space="preserve">LORENZO MEZA </t>
  </si>
  <si>
    <t>Mamas heterogéneamente densas Calcificación de aspecto benigno en  mama izquierda</t>
  </si>
  <si>
    <t>SOTELO VERASTEGUI ROSA DEL PILAR</t>
  </si>
  <si>
    <t>CENTRO POBLADO QUETEPAMPA</t>
  </si>
  <si>
    <t>P.S. QUEPEPAMPA</t>
  </si>
  <si>
    <t>BRIGIDO AGURTO MARLENE ISABEL</t>
  </si>
  <si>
    <t>AV GRAU 154- ATALAYA</t>
  </si>
  <si>
    <t>PABLO PALACIOS ANALI CONSUELO</t>
  </si>
  <si>
    <t>ASOCIACION DE VIVIENDA MIRADOR ZAPATA</t>
  </si>
  <si>
    <t>PNDTE RESULTADO</t>
  </si>
  <si>
    <t>COLAN HERNANDEZ MARIA</t>
  </si>
  <si>
    <t>C.P POBLADO QUEPEPAMPA MZ D LOTE 07</t>
  </si>
  <si>
    <t>03/03/2026 WATHSSAPP</t>
  </si>
  <si>
    <t>RECOGERA HRH</t>
  </si>
  <si>
    <t>LA CRUZ CURIOSO LEDY</t>
  </si>
  <si>
    <t xml:space="preserve">AV. INDEPENDENCIA 358 </t>
  </si>
  <si>
    <t>MICROCALCIFICACIONES PUNTIFORMES DE ASPECTO BENIGNO EN MAMA IZQUIERDA.
RESTO DE LA MAMOGRAFÍA BILATERAL DENTRO DE LÍMITES NORMALES.
BI-RADS: 1</t>
  </si>
  <si>
    <t>ANAYA CONDOR EDUVIGES LORENZA</t>
  </si>
  <si>
    <t>AV. SANTA ROSA 156</t>
  </si>
  <si>
    <t>CALCIFICACIONES DE ASPECTO BENIGNO EN AMBAS MAMAS.
RESTO DE AMBAS MAMAS HETEROGÉNEAMENTE DENSAS, SE SUGIERE COMPLEMENTAR CON ECOGRAFÍA POR
DENSIDAD MAMARIA.
BI-RADS: 2</t>
  </si>
  <si>
    <t>ROJAS VALVERDE JAQUELINE YOHANA</t>
  </si>
  <si>
    <t>VILCAHUAURA S/N</t>
  </si>
  <si>
    <t>RECOGERA EN HRH</t>
  </si>
  <si>
    <t>TREVEJO CHAVEZ DE ARAMBULO ISIDRA ELIZABETH</t>
  </si>
  <si>
    <t xml:space="preserve">AV. 29 DE SETIEMBRE S/N </t>
  </si>
  <si>
    <t>TORIBIO LOPEZ FRANCISCA ESDRAS</t>
  </si>
  <si>
    <t>JIRON PORTACHUELO 278</t>
  </si>
  <si>
    <t>23/02/206</t>
  </si>
  <si>
    <t xml:space="preserve">MATOS PINEDA ELIZABETH </t>
  </si>
  <si>
    <t xml:space="preserve">AV. PERALVILLO 2431 INTERIOR 3 </t>
  </si>
  <si>
    <t>RETRACCION DEL PEZON DE MAMA DERECHA, SE SUGIERE ESTUDIO ECOGRAFICO PARA MEJOR CARACTERIZACION.
CALCIFICACIONES DE ASPECTO BENIGNO EN AMBAS MAMAS.
RESTO DE LA MAMOGRAFÍA BILATERAL DENTRO DE LÍMITES NORMALES.
BI-RADS: 0</t>
  </si>
  <si>
    <t>BAZALAR AREVALO FELICITA ALEJANDRINA</t>
  </si>
  <si>
    <t>23/04 SN PURETO HUECHO</t>
  </si>
  <si>
    <t>JAIMES GONZALES GABRIELA CIRILA</t>
  </si>
  <si>
    <t>AUSEJO PINTADO JOSE PARDO 117</t>
  </si>
  <si>
    <t>MATOS PINEDA MARGARITA CONZUELO</t>
  </si>
  <si>
    <t xml:space="preserve">AV. PERALVILLO 2431 </t>
  </si>
  <si>
    <t>GUERRERO CHAMORRO JACQUELINE</t>
  </si>
  <si>
    <t>EL MILAGRO 354</t>
  </si>
  <si>
    <t>940 105 391</t>
  </si>
  <si>
    <t>VILLANUEVA ROMERO MONICA</t>
  </si>
  <si>
    <t>JR. JOSE GALVEZ ESQUI.  501 CON 9 OCT</t>
  </si>
  <si>
    <t>968 243 865</t>
  </si>
  <si>
    <t>CALCIFICACIONES DE ASPECTO BENIGNO EN MAMA IZQUIERDA.
RESTO DE AMBAS MAMAS HETEROGÉNEAMENTE DENSAS, SE SUGIERE COMPLEMENTAR CON ECOGRAFÍA POR
DENSIDAD MAMARIA.
BI-RADS: 2</t>
  </si>
  <si>
    <t>TANG ARELLANO VIVIANA IBON</t>
  </si>
  <si>
    <t>CALLE DERECHA 836</t>
  </si>
  <si>
    <t>TORRES MEDRANO MASSIEL ANALY</t>
  </si>
  <si>
    <t xml:space="preserve">PASAJE FÀTIMA 125 </t>
  </si>
  <si>
    <t>SANCHEZ ROJAS EDILIZA</t>
  </si>
  <si>
    <t>LAS CAMELIAS LOTE D 11</t>
  </si>
  <si>
    <t xml:space="preserve">LOARTE RAMIREZ NORMA </t>
  </si>
  <si>
    <t xml:space="preserve">SANTA ELVIRA S/N </t>
  </si>
  <si>
    <t>BACA GUERRERO LUZ ANGELICA</t>
  </si>
  <si>
    <t>PASAJE INDACOCHEA 265</t>
  </si>
  <si>
    <t xml:space="preserve">CALCIFICACION DE ASPECTO BENIGNO EN MAMA DERECHA,
RESTO DE LA MAMOGRAFÍA BILATERAL DENTRO DE LÍMITES NORMALES.
BI-RADS: 2
</t>
  </si>
  <si>
    <t>SALAZAR MERINO MIRTHA ROSA</t>
  </si>
  <si>
    <t>AV.BELLAVISTA 365</t>
  </si>
  <si>
    <t>CALCIFICACION DE ASPECTO BENIGNO.
RESTO DE AMBAS MAMAS HETEROGÉNEAMENTE DENSAS, SE SUGIERE COMPLEMENTAR CON ECOGRAFÍA POR
DENSIDAD MAMARIA.
BI-RADS: 2</t>
  </si>
  <si>
    <t>ROQUE BALLADARES ALBINA</t>
  </si>
  <si>
    <t>CALLE ANTARJEA SN</t>
  </si>
  <si>
    <t>VILCAHUAURA</t>
  </si>
  <si>
    <t>COTRINA CARO SARA MARIA</t>
  </si>
  <si>
    <t>JOSE CARLOS MARIATEGUI 78</t>
  </si>
  <si>
    <t>OPACIDAD NODULAR EN MAMA DERECHA, QUE PODRIA CORRESPONDER A PROBABLE FIBROADENOMA, SE
SUGIERE ESTUDIO ECOGRAFICO PARA MEJOR CARACTERIZACION
CALCIFICACIONES DE ASPECTO BENIGNO EN MAMA DERECHA.
RESTO DE LA MAMOGRAFÍA BILATERAL DENTRO DE LÍMITES NORMALES.
BI-RADS: 3</t>
  </si>
  <si>
    <t>GARCIA MARCOS ROSANA</t>
  </si>
  <si>
    <t>AV. DE 28 JULIO 1754</t>
  </si>
  <si>
    <t>RECOGERAS EN HRH</t>
  </si>
  <si>
    <t>ALANOCA APAZA LORENZA</t>
  </si>
  <si>
    <t>ASOC. VIVIENDA CERRO COLORADO MZ G LOTE 2</t>
  </si>
  <si>
    <t>CALCIFICACION DE ASPECTO BENGINO EN MAMA DERECHA.
RESTO DE LA MAMOGRAFÍA BILATERAL DENTRO DE LÍMITES NORMALES.
BI-RADS: 2</t>
  </si>
  <si>
    <t>18/03/2026 PCT</t>
  </si>
  <si>
    <t>FARRO GRACOS ZULLY EMPERATRIZ</t>
  </si>
  <si>
    <t>AV. SAN MARTIN 255</t>
  </si>
  <si>
    <t>OBST KENNY  GOMEZ</t>
  </si>
  <si>
    <t>CORNEJO VALDEZ EVELIN JULIANA</t>
  </si>
  <si>
    <t>LOS PINOS I ETAPA MZ C LOTE 5</t>
  </si>
  <si>
    <t>SOLORZANO FALCON JACQUELINE</t>
  </si>
  <si>
    <t>CALLE. ANTONIEO RAYMOIDI 760</t>
  </si>
  <si>
    <t>RAMIREZ COLLANTES JULIA</t>
  </si>
  <si>
    <t>CALLE. JOSE OLAYA S/N</t>
  </si>
  <si>
    <t>MARCOS RAMIREZ MARIA</t>
  </si>
  <si>
    <t xml:space="preserve">3 PIEDRAS - STA CRUZ </t>
  </si>
  <si>
    <t>Mamas heterogéneamente densas
Calcificaciones de aspecto benigno dispersas en ambas mamas a predominio derecho_x000D_</t>
  </si>
  <si>
    <t xml:space="preserve">GARCIA SOLARI DORILA MARITZA </t>
  </si>
  <si>
    <t xml:space="preserve">PAN. NORTE KM 89.5 CHANCAYLLO </t>
  </si>
  <si>
    <t xml:space="preserve">CHANCAY </t>
  </si>
  <si>
    <t>TORRES FARRO SUSY SOLEDAD</t>
  </si>
  <si>
    <t>MATA TARAZONA VANESA YESICA</t>
  </si>
  <si>
    <t>LA VILLA MZ I LOTE 9</t>
  </si>
  <si>
    <t>HINOSTROZA ELME DE COLAN HILDA</t>
  </si>
  <si>
    <t>ESPERANZA ALTA</t>
  </si>
  <si>
    <t xml:space="preserve">VENTURA JULCA MONICA </t>
  </si>
  <si>
    <t>CALLE ALTO PERU S/N</t>
  </si>
  <si>
    <t>Mamas extremadamente densas
Calcificación de aspecto benigno en cuadrante superior externo de mama derecha</t>
  </si>
  <si>
    <t>NAUPARI FELIX CINDY MRIA</t>
  </si>
  <si>
    <t>LEONCIO PRADO 402</t>
  </si>
  <si>
    <t>FIGUEROA URBANEJA SORALYS DEL VALLE</t>
  </si>
  <si>
    <t>CALLE SAN MARTIN LA PORTADA</t>
  </si>
  <si>
    <t>AMBAS  MAMAS SON HETEROGENEAMENTE DENSAS, QUE PODRIAN OCULTAR NODULOS PEQUEÑOS , EVUALAR CON ECOGRAFIA</t>
  </si>
  <si>
    <t xml:space="preserve"> 28/02/2026 WATHSSAP</t>
  </si>
  <si>
    <t>CANDACHO TAPIA CARMEN</t>
  </si>
  <si>
    <t>A H JOSE CARLOS  MARIATEGUI  H-4</t>
  </si>
  <si>
    <t>Mamas heterogéneamente densas
Calcificaciones de aspecto benigno en mama izquierda</t>
  </si>
  <si>
    <t>SANCHEZ LEON MARIA MILAGROS</t>
  </si>
  <si>
    <t>LAS FLOREZ MAZ C LT24</t>
  </si>
  <si>
    <t>P.S. HUMAYA</t>
  </si>
  <si>
    <t>COCA MONTES MARLENE ELIZABETH</t>
  </si>
  <si>
    <t>CALLE IRENE SALVADOR MZ.B LT.13 MANZANARES</t>
  </si>
  <si>
    <t>Mamas heterogéneamente densas
Calcificación de aspecto benigno en cuadrante inferior interno de mama derecha</t>
  </si>
  <si>
    <t>PRINCIPE BAR YANET MARIA</t>
  </si>
  <si>
    <t>RAMON CASTILLA MZ D LT1</t>
  </si>
  <si>
    <t>NICHO MAURICIO MARIA</t>
  </si>
  <si>
    <t>MANUEL OYOLA 109 STA MARIA</t>
  </si>
  <si>
    <t>CESPEDES CAMPOS SILISDAY</t>
  </si>
  <si>
    <t>C.P PRIMAVERA MZ U TL 15</t>
  </si>
  <si>
    <t>Mamas heterogéneamente densas
Calcificaciones puntiformes redondeadas dispersas en ambas mamas</t>
  </si>
  <si>
    <t>LA ROSA RAMIREZ YENNY LUZ</t>
  </si>
  <si>
    <t>PROLONGACION OLAYA 255 INTERIOR 5</t>
  </si>
  <si>
    <t>RAMIREZ MAGUIÑA YOLANDA</t>
  </si>
  <si>
    <t>URB BUENOS AIRES CALLE MENDOZA 241</t>
  </si>
  <si>
    <t>TORRES DIAZ CARMEN DEL PILAR</t>
  </si>
  <si>
    <t>URB. LA VILLA MZ E LT 13</t>
  </si>
  <si>
    <t>MINAYA SEMINARIO ROSA MARIA</t>
  </si>
  <si>
    <t>PSJ JOSE OLAYA 390</t>
  </si>
  <si>
    <t>CORONADO PALOMINO ELENA</t>
  </si>
  <si>
    <t>AGUA DULCE MZG 10 LOTE 1</t>
  </si>
  <si>
    <t>LINDO LEON ERIKA YASHBEL</t>
  </si>
  <si>
    <t>MANTILLA OSORIO LOURDES ROCIO</t>
  </si>
  <si>
    <t>ECORROBARRUTIA 128</t>
  </si>
  <si>
    <t>CORTEZ COLAN CARMEN MERCEDES</t>
  </si>
  <si>
    <t>CIRO ALEGRIA 150</t>
  </si>
  <si>
    <t>LOAYZA MINAYA MARGARIRA YOLANDA</t>
  </si>
  <si>
    <t>JR BOLIVAR 879</t>
  </si>
  <si>
    <t>Mamas heterogéneamente densas.                                                                                                                                                                                                                                                                                                                                                        2. CALCIFICAIONES DE ASPECTO BENIGNO EN CSE DE MAMA DERECHA</t>
  </si>
  <si>
    <t>QUISPE LOPEZ GUILMA</t>
  </si>
  <si>
    <t xml:space="preserve">CALDERA </t>
  </si>
  <si>
    <t>ENTREGA PNDTE</t>
  </si>
  <si>
    <t>JAVIER CORZO  DE VARGAS MARIA ISABEL</t>
  </si>
  <si>
    <t>LA FLORIDA 135</t>
  </si>
  <si>
    <t>998 377 561</t>
  </si>
  <si>
    <t>Mamografía bilateral sin signos que sugieran malignidad Impresiona imagen nodular de aspecto benigno a nivel del plano posterior de unión de cuadrantes inferiores de mama derecha</t>
  </si>
  <si>
    <t>PX25/2/2026</t>
  </si>
  <si>
    <t>MATURRANO LINO MIRTHA EMPERATRIZ</t>
  </si>
  <si>
    <t>AV LIBERTAD 554 LURIAMA</t>
  </si>
  <si>
    <t xml:space="preserve">El estudio realizado muestra mamas heterogéneamente densas sin evidenciar signos sospechosos de NM.
Categoría BIRADS 1.
</t>
  </si>
  <si>
    <t>ZAPATA CHANGANAQUI FANNY</t>
  </si>
  <si>
    <t>PAN NORTE  KM 89CHANCAYLLO</t>
  </si>
  <si>
    <t xml:space="preserve">Mamografía bilateral sin signos que sugieran malignidad
</t>
  </si>
  <si>
    <t>GALLARDO PORTILLA MARGARITA</t>
  </si>
  <si>
    <t>P.JOVEN PERALVILLO COMITE 6</t>
  </si>
  <si>
    <t>Mamas heterogéneamente densas Calcificaciones de aspecto benigno en mama derecha</t>
  </si>
  <si>
    <t>09/03/2026 whatsapp</t>
  </si>
  <si>
    <t>FLORES OLORTEN NORMA</t>
  </si>
  <si>
    <t>CALLE TARAPACA S/N VEGUETA- SAN ISIDRO</t>
  </si>
  <si>
    <t xml:space="preserve">Mamas heterogéneamente densas
Impresiona imagen nodular a nivel de plano medio de cuadrante superior externo de mama izquierda </t>
  </si>
  <si>
    <t>LEONARDO LOPEZ MARIA</t>
  </si>
  <si>
    <t>VICTORIA BAJA JIRON CUSCO 713</t>
  </si>
  <si>
    <t>Mamografía bilateral sin signos que sugieran malignidad Calcificación de aspecto benigno en región retroareolar izquierda</t>
  </si>
  <si>
    <t>O071388838</t>
  </si>
  <si>
    <t>PALENCIA MATOS YUSMERI DELL CARMEN</t>
  </si>
  <si>
    <t>DGO MANDIMIENTO PSJ LOS OLIVO 4-4</t>
  </si>
  <si>
    <t>MAMOGRAFIA BILATERAL  SIN HALLAZGOS DE IMAGENES SOSPECHOSAS D EMALIGNIDAD. 2.- NODULO EN CSE DE MAMA IZQUIERDA SUGERENTE DE GANGLIO INTRAMAMARIO TIPICAMENTE BENIGNO</t>
  </si>
  <si>
    <t>TEC. VICTORIA MEJIA</t>
  </si>
  <si>
    <t>ANGELES FERNANDEZ SUSANA DEL PILAR</t>
  </si>
  <si>
    <t>LOSP PINOS II ETAPA MZ V LOT9</t>
  </si>
  <si>
    <t>Mamas heterogéneamente densas
Impresiona asimetría global en cuadrante superior externo de mama derecha asociado a probable interposición
de tejido fibroglandular</t>
  </si>
  <si>
    <t>CHAVEZ GARCIA ROSA MARIBEL</t>
  </si>
  <si>
    <t>ANDAHUASI  SECTOR 4 -J7</t>
  </si>
  <si>
    <t>ARANDA GIRALDO BELGICA GIOVANA</t>
  </si>
  <si>
    <t>CENTRO POBLADO CENTENARIO MZ. O LT. 7</t>
  </si>
  <si>
    <t>P. S. HUACHO CHICO</t>
  </si>
  <si>
    <t xml:space="preserve">03/03/2026 WHATSAPP
</t>
  </si>
  <si>
    <t xml:space="preserve">REAÑO OLORTEGUI VERONICA </t>
  </si>
  <si>
    <t>C.P.CENTENARIO MZ.A5 LT.2</t>
  </si>
  <si>
    <t>931 797 540</t>
  </si>
  <si>
    <t>ROMERO  ROQUE ETELVINA</t>
  </si>
  <si>
    <t>CALLE LAS MAGNOLIAS MZ A LOT 1</t>
  </si>
  <si>
    <t>CORAL ALVA LUZ ANGELICA</t>
  </si>
  <si>
    <t>CP CENTENARIO  MZ F LOT 8-A</t>
  </si>
  <si>
    <t xml:space="preserve">SAENZ BERNABE SANTA </t>
  </si>
  <si>
    <t>CP CENTENARIO  MZ -4 LOT 5</t>
  </si>
  <si>
    <t>REYES SALAZAR  JUDITH VIANNY</t>
  </si>
  <si>
    <t>CP  ÑLA SBEGONIAS MZ C LOT 1</t>
  </si>
  <si>
    <t>SILVA MORY  IRIS SOLEDA</t>
  </si>
  <si>
    <t>SAN ABRTOLOME II NETAPA MZ A LOT 26</t>
  </si>
  <si>
    <t>VIA PAZ YENNY KARINA</t>
  </si>
  <si>
    <t>CALLE BOLOGNESI PSJ LOS NATURALES 245</t>
  </si>
  <si>
    <t>VIA PAZ MONICA GIULIANA</t>
  </si>
  <si>
    <t>CALLE BOLOGNESI PSJ LOS NATURALES 245  INT 3 SEGUNDO PISO</t>
  </si>
  <si>
    <t>El estudio realizado muestra mamas constituidas por tejido adiposo en casi su totalidad Patrón ACR Tipo A Categoría BIRADS 1.</t>
  </si>
  <si>
    <t>O6119047</t>
  </si>
  <si>
    <t>SALCEDO ESPINOZA ENA MARLENE</t>
  </si>
  <si>
    <t>URB LAS FLORES A-15 PASJ SANTOS CHOCANO</t>
  </si>
  <si>
    <t>PX 23/02/2026</t>
  </si>
  <si>
    <t>QUISPE QUISPE LIZET</t>
  </si>
  <si>
    <t>BARRIO UNION OBRERO SECTOR 5 LT42</t>
  </si>
  <si>
    <t>VARA MEJIA DE PALACIOS DE CECILIA MANUELA</t>
  </si>
  <si>
    <t>CENTRO POBLADO CALDERA</t>
  </si>
  <si>
    <t>El estudio realizado muestra mamas densas sin evidenciar signos sospechosos de NM. Patrón ACR Tipo C
Categoría BIRADS 2</t>
  </si>
  <si>
    <t>Mamas heterogéneamente densas. Patrón ACR - C.
Asimetría de densidad en tercio medio del CSE de mama derecha
Categoría BIRADS 0</t>
  </si>
  <si>
    <t>LIST  PATOLOGIA</t>
  </si>
  <si>
    <t>FLORES QUEZADA MIRTHA ESTHER</t>
  </si>
  <si>
    <t>P.J.J VELAZCO 2DA ET</t>
  </si>
  <si>
    <t>Mamas heterogéneamente densas. Patrón ACR - C.
Nódulo de márgenes parcialmente oscurecido en región retroareolar de mama derecha
Ganglios axilares con perdida de su morfología en región axilar derecha (anormal)
Categoría BIRADS 0</t>
  </si>
  <si>
    <t>BAZALAR LANDA ROSA MARGOT</t>
  </si>
  <si>
    <t>AV TUPAC AMARU  307</t>
  </si>
  <si>
    <t>Mamas con sectores dispersos de densidad fibroglandular (ACR tipo B)
Nódulo de mediana densidad en tercio posterior del CSE de mama derecha
Calcificaciones típicamente benignas en ambas mamas
Categoría BIRADS 0</t>
  </si>
  <si>
    <t>ESPINOZA FLORES LUCILA MARTHA</t>
  </si>
  <si>
    <t>CALLE DIANA PILAGUA 215</t>
  </si>
  <si>
    <t>Mamas con sectores dispersos de densidad fibroglandular (ACR tipo B)
Calcificaciones típicamente benignas en ambas mamas
Categoría BIRADS 2._x000D_</t>
  </si>
  <si>
    <t>ESPEJO  DE PEÑA CLARA ESPERANZA</t>
  </si>
  <si>
    <t>18/10 MZ A LOT 8</t>
  </si>
  <si>
    <t>Mamas heterogéneamente densas. Patrón ACR - C.
Nódulo de mediana densidad en tercio medio del CSI de mama derecha que podría corresponder fibroadenoma
hialinizado
Calcificaciones típicamente benignas en ambas mamas
Categoría BIRADS 0</t>
  </si>
  <si>
    <t>CARRANZA RODRIGUEZ YESSICA</t>
  </si>
  <si>
    <t xml:space="preserve">Mamas heterogéneamente densas
Impresiona imagen nodular a nivel de plano medio de cuadrante inferior interno de mama izquierda
Calcificaciones puntiformes redondeadas dispersas en mama izquierda
</t>
  </si>
  <si>
    <t>PACHECO ROJAS MAURA LIDIA</t>
  </si>
  <si>
    <t>LA UNION 119</t>
  </si>
  <si>
    <t>Mamas heterogéneamente densas. Patrón ACR - C.
Imágenes nodulares de márgenes parciamente oscurecidos en ambas mamas que pudiera corresponder a proceso
fibroquístico (antecedente de quistes en mamas )
Categoría BIRADS 0</t>
  </si>
  <si>
    <t>HUANCA MATA DE HERRRERA EDITS ALICIA</t>
  </si>
  <si>
    <t>IRRIGACION SANTA ROSA  LA VILLA</t>
  </si>
  <si>
    <t>CHUMBES CHINGA DE SIPAN RAIDA MARIELA</t>
  </si>
  <si>
    <t>AV EL PROGRESO  MZ A LOT 4</t>
  </si>
  <si>
    <t>Mamas heterogéneamente densas. Patrón ACR - C.
Calcificaciones vasculares incipientes en ambas mamas típicamente benignas
Categoría BIRADS 0</t>
  </si>
  <si>
    <t>PADILLA VALDEZ MARIBEL  YET</t>
  </si>
  <si>
    <t>AV.LAS AMERICAS 581 MAZO</t>
  </si>
  <si>
    <t>HUANUQUEÑO ARREDONDO ROSA</t>
  </si>
  <si>
    <t>AA HH JARDIN DE SANTA MARIA CALLE BUENOS AIRES MZA LOT 9</t>
  </si>
  <si>
    <t xml:space="preserve">HERBOZO MARTINEZ ALICIA </t>
  </si>
  <si>
    <t>PASAJE DOMINGO MANDAMIENTO 128</t>
  </si>
  <si>
    <t>Mamas con sectores dispersos de densidad fibroglandular (ACR tipo B)
Calcificaciones vasculares incipientes, típicamente benignas en ambas mamas
Categoría BIRADS 2.
NOTA: La presencia d</t>
  </si>
  <si>
    <t>CASTILLO ESPINOZA NELLY MARGARITA</t>
  </si>
  <si>
    <t>PROL GRAU S/N HUARAL</t>
  </si>
  <si>
    <t xml:space="preserve">Mamas con sectores dispersos de densidad fibroglandular (ACR tipo B)
Categoría BIRADS </t>
  </si>
  <si>
    <t>TRINIDAD BUSTILLOS HERLINDA</t>
  </si>
  <si>
    <t>JCM SEGUNDA ETAPA</t>
  </si>
  <si>
    <t>BAZALAR RAMIREZ  DE COLLANTES JUANA ELIZABETH</t>
  </si>
  <si>
    <t>san isidro s/n</t>
  </si>
  <si>
    <t>Mamas heterogéneamente densas. Patrón ACR - C.
Calcificaciones vasculares incipientes en ambas mamas , típicamente benignas
Categoría BIRADS 0</t>
  </si>
  <si>
    <t xml:space="preserve"> CEL APAGADO</t>
  </si>
  <si>
    <t>MATEO MACURI FLORINDA</t>
  </si>
  <si>
    <t xml:space="preserve">LAS VEGONIAS MZA LT7 </t>
  </si>
  <si>
    <t>GONZALES CASANA EVA AMELIA</t>
  </si>
  <si>
    <t>17 DE ENERO</t>
  </si>
  <si>
    <t>Mamas con sectores dispersos de densidad fibroglandular (ACR tipo B)
Calcificaciones típicamente benignas en ambas mamas
Categoría BIRADS 2.
NOTA: La presencia de un estudio mamográfico normal no excluye por completo la posibilidad de tener un cáncer
de seno. Aproximadamente un 15% de las lesiones neoplásicas pueden ser no visibles al examen mamográfico.
Se recomienda completar la valoración de la paciente con examen clínico adecuado y de seguimiento clínico
periódico.</t>
  </si>
  <si>
    <t>ROQUE MARTEL  NELIDA ELIANA</t>
  </si>
  <si>
    <t>17 DE  ENERO MZ L LOT 16 ANDAHUASI</t>
  </si>
  <si>
    <t>SANCHEZ GALLARDO AYDE</t>
  </si>
  <si>
    <t>18 DE ENERO</t>
  </si>
  <si>
    <t xml:space="preserve">FARROMEQUE RAMOS MARIA EMPERATRIZ </t>
  </si>
  <si>
    <t>AA HH VIRGEN DEL CARMEN MZ B LOT 9 MANCHURRIA</t>
  </si>
  <si>
    <t>Mamas heterogéneamente densas. Patrón ACR - C.
Nódulo de mediana densidad en CII de mama izquierda
Categoría BIRADS 0</t>
  </si>
  <si>
    <t>PX 28/02/2026</t>
  </si>
  <si>
    <t>OO4045043</t>
  </si>
  <si>
    <t>RIERA NOGUERA GISELA YAMILET</t>
  </si>
  <si>
    <t>FCO  ROSAS S/N X BCP</t>
  </si>
  <si>
    <t>MAMOGRAFA BILATERAL SIN HALLAZGOS DE IMAGENES SOSPECHOSAS DE MALINADAD. 2. CALCIFICACIONES CUTANEAS TIPACAMENTE BENIGNAS EN MAMA DERECHA</t>
  </si>
  <si>
    <t>TRUJILLO TAFUR NANCY JUDITH</t>
  </si>
  <si>
    <t>ASOC. VILLA HERMOSA MZ A LOT 1</t>
  </si>
  <si>
    <t>Mamas heterogéneamente densas. Patrón ACR - C.
Calcificación típicamente benigna en mama izquierda
Categoría BIRADS 0</t>
  </si>
  <si>
    <t xml:space="preserve">NAPURI NAPURI  GLORIA </t>
  </si>
  <si>
    <t>AV LAS AMERICAS 637 INT 5 MAZO</t>
  </si>
  <si>
    <t>969 418 630</t>
  </si>
  <si>
    <t xml:space="preserve">AUX ADM JEAN CARLOS COLLANTES COLLANTES </t>
  </si>
  <si>
    <t>MELENDEZ MARTINEZ MARIELA</t>
  </si>
  <si>
    <t>AV TUPAC AMARU 249</t>
  </si>
  <si>
    <t>CABANILLAS LEIVA ASALIA HERNANDINA</t>
  </si>
  <si>
    <t>AV DGO MANDAMIENTO 922 INT  J</t>
  </si>
  <si>
    <t>MORI CALDERON  DE REYES CARMEN</t>
  </si>
  <si>
    <t>PAMPA LIBRE 28 DE JULIO  144</t>
  </si>
  <si>
    <t>LAOS ENCARNACION MIRIAM  ROXANA</t>
  </si>
  <si>
    <t xml:space="preserve"> CALLE RAMON CASTILLA 261 PRIMAVERA</t>
  </si>
  <si>
    <t>HVEGUETA</t>
  </si>
  <si>
    <t>Mamas heterogéneamente densas. Patrón ACR - C.
Asimetría de densidad en CSE de mama derecha
Categoría BIRADS 0</t>
  </si>
  <si>
    <t>PANANA MELENDEZ MIRIAM LUZ</t>
  </si>
  <si>
    <t>CALLE.RICARDO PALMA S/N</t>
  </si>
  <si>
    <t>MORI TORRES GIOVANNA</t>
  </si>
  <si>
    <t>SANTA ROSA MAZ J LT 32</t>
  </si>
  <si>
    <t>Mamas con sectores dispersos de densidad fibroglandular (ACR tipo B)
Calcificaciones vasculares incipientes en ambas mamas ,típicamente benignas
Categoría BIRADS 2.</t>
  </si>
  <si>
    <t>O09661728</t>
  </si>
  <si>
    <t>SILVA GARCIA  LUZ MARIBEL</t>
  </si>
  <si>
    <t>LOS PINOS II ATAPA MZ 2 LOT 2</t>
  </si>
  <si>
    <t xml:space="preserve">AMBAS MAMAS SON HETEROGENEAS DENSAS, QUE PODRIAN  OCULTAR  NODULOS PEQUEÑOS; AMERITA  EVALUAR CON ECOGRAFIA.  2.- CALCIFICACIONES  REDONDEADAS TICAMENTE BENIGNAS EN AMBAS . </t>
  </si>
  <si>
    <t>PALACIOS  TRUJILLO  YENINA</t>
  </si>
  <si>
    <t>AV.ANDRES YARES 480 - MEDIO MUNDO</t>
  </si>
  <si>
    <t>947 806 238</t>
  </si>
  <si>
    <t>Mamas heterogéneamente densas. Patrón ACR - C.
Calcificaciones finas lineales segmentarias en CSE de mama derecha .Requiere magnificación
Categoría BIRADS 0</t>
  </si>
  <si>
    <t xml:space="preserve">MAGNIFICAION MAMA DERECHA +ECOGRAFIA DE MAMAS </t>
  </si>
  <si>
    <t>ALVA ZEVALLOS SANTA ESPERANZA</t>
  </si>
  <si>
    <t xml:space="preserve">AV ESEQUIEL GAGO  131 MEDIO MUNDO </t>
  </si>
  <si>
    <t>LAGUA MORALES MECI VICTORIA</t>
  </si>
  <si>
    <t>PSJ. CANGALLO MAZO S/N  SAN LUIS</t>
  </si>
  <si>
    <t>913 211 650</t>
  </si>
  <si>
    <t>ROJAS CERNA CAROL MARGARITA</t>
  </si>
  <si>
    <t xml:space="preserve">CALLE LOS  CIPRECES 08 URB SAN AMRTIN </t>
  </si>
  <si>
    <t>MAMANI  MONZON VERONCA MILAGROS</t>
  </si>
  <si>
    <t>ASENT.H.SARITA COLONIA MZ.C LT.05</t>
  </si>
  <si>
    <t>961 183 191</t>
  </si>
  <si>
    <t>ANDAHUA VARILLAS VILMA</t>
  </si>
  <si>
    <t>AV SAN FCO  131</t>
  </si>
  <si>
    <t>ESPINCHAN PALLEZCA EVA AMELIA</t>
  </si>
  <si>
    <t>URB LOS OLIVOS MZ 1 LOT 1</t>
  </si>
  <si>
    <t>MEJIA VEGA BETHY VICTORIA</t>
  </si>
  <si>
    <t>IRRIGACION SANTA ROSA S/N</t>
  </si>
  <si>
    <t xml:space="preserve">MANCO ARELLANO  ROSA MABEL </t>
  </si>
  <si>
    <t>LA CAMPIÑA MC LOT 11</t>
  </si>
  <si>
    <t xml:space="preserve">SANCHEZ CABRERA MARIA JESUS </t>
  </si>
  <si>
    <t xml:space="preserve">ASOVISEM CALLE PSJE INMACULADA </t>
  </si>
  <si>
    <t>TAMARA BRITO FLOREENTINA DELFINA</t>
  </si>
  <si>
    <t>AV FERROCARRIL S/N</t>
  </si>
  <si>
    <t>ORBEGOZO VALLADARES MIRIAM LIZ</t>
  </si>
  <si>
    <t>AV LIBERTAD 1192 LURIAMA</t>
  </si>
  <si>
    <t>COCA  BORJA  DE RAMOS RUTH  MARGARITA</t>
  </si>
  <si>
    <t>MANCHURRIA BAJA 290</t>
  </si>
  <si>
    <t>DOMINGUEZ ASENCIO MARILUZ</t>
  </si>
  <si>
    <t>IRRIGACION SANTA ROSA S/N RALLAMBAL</t>
  </si>
  <si>
    <t>MAMOGRFIA ANUAL</t>
  </si>
  <si>
    <t>PARIHUAMAN QUINDE GERALDINA REBECA</t>
  </si>
  <si>
    <t>PSJ. TOMAS CARREÑO S/N LT. 06</t>
  </si>
  <si>
    <t xml:space="preserve"> </t>
  </si>
  <si>
    <t>ALFARO CAVEDUQUE OLGA</t>
  </si>
  <si>
    <t>AA HH CESAR VALLEXJO  MZ B LOT4</t>
  </si>
  <si>
    <t xml:space="preserve">MANRIQUE HUAMANI ANA MARIA </t>
  </si>
  <si>
    <t xml:space="preserve">ALTO PERU CERRO LA TRINIDAD </t>
  </si>
  <si>
    <t>SIPAN LOPEZ NOEMI MAGALY</t>
  </si>
  <si>
    <t>AV 28 DE JULIO  S/N EL MILAGRO</t>
  </si>
  <si>
    <t>986 058 728</t>
  </si>
  <si>
    <t>PEÑA JUAREZ JENNY LILINA</t>
  </si>
  <si>
    <t>AV MERCEDES INDACOCHEA MZ A LT 14</t>
  </si>
  <si>
    <t>KIMURA VENTOCILLA DORA ELENA</t>
  </si>
  <si>
    <t>PSJ.STA.ROSA 142-6</t>
  </si>
  <si>
    <t>POMA CAMPOS FANNY  ISABEL</t>
  </si>
  <si>
    <t>EL ROSARIO A - CALLE LIMA S/N</t>
  </si>
  <si>
    <t>Mamas heterogéneamente densas
Calcificación de aspecto benigno en mama izquierda</t>
  </si>
  <si>
    <t>ESPINOZA ANTAURCO  ELMA LIZ</t>
  </si>
  <si>
    <t>PSJ EUDELIA S/N PTO  HUACHO</t>
  </si>
  <si>
    <t>PX 16/03/2026</t>
  </si>
  <si>
    <t>MARCELO  GODRICH CARMEN ROSA</t>
  </si>
  <si>
    <t>PSJ P RUIZ GALLO  S/N</t>
  </si>
  <si>
    <t>LOAYZA ARELLANO MARLENE SOLEDAD</t>
  </si>
  <si>
    <t>AV HIPOLITO  UNANUE 141</t>
  </si>
  <si>
    <t>ALVAREZ MANDAMIENTO RAQUEL</t>
  </si>
  <si>
    <t>AV PERALVILLO  2579</t>
  </si>
  <si>
    <t>O8684196</t>
  </si>
  <si>
    <t xml:space="preserve">REQUENA GARCIA MARIA DEL ROSARIO </t>
  </si>
  <si>
    <t>LOS CIPRECES MZ P LOT 3</t>
  </si>
  <si>
    <t>PX 25/03/2026</t>
  </si>
  <si>
    <t>O8078713</t>
  </si>
  <si>
    <t>SALVADOR CALDAS IRIS FABIOLA</t>
  </si>
  <si>
    <t>PALPA AV. SAN CARLOS NORTE S/N</t>
  </si>
  <si>
    <t>PALPA</t>
  </si>
  <si>
    <t>P.S. PALPA</t>
  </si>
  <si>
    <t>ALVARADO QUINTEROS PATRICIA</t>
  </si>
  <si>
    <t>CALLE 2 DE MAYO 463</t>
  </si>
  <si>
    <t>MAMOGRFIA ANUAL+ECOGRAFIA DE MAMAS</t>
  </si>
  <si>
    <t>TEC. ANDY JARA</t>
  </si>
  <si>
    <t>OCHOA VELASQUEZ BLANCA EDITH</t>
  </si>
  <si>
    <t>AV. LOS GIRASOLES MZ A LT 14-B 2DA. ETAPA SAN BARTOLOME</t>
  </si>
  <si>
    <t>TEC. ENFERMERIA PATRICIO 25-2-26</t>
  </si>
  <si>
    <t>ROJAS RAMOS SUSANA ANTONIA</t>
  </si>
  <si>
    <t>CALLE MIRAFLORES S/N LA FLORIDA</t>
  </si>
  <si>
    <t>ANASTACIO LEONARDO DE VENTOCILLA  FLORCILA</t>
  </si>
  <si>
    <t>JR.HUAMAN PAICO 112</t>
  </si>
  <si>
    <t>TAPIA VELLON TEODOLINDA NESTORINA</t>
  </si>
  <si>
    <t>AV BARTOLOME PEREZ 43</t>
  </si>
  <si>
    <t>Mamas heterogéneamente densas
Calcificaciones de aspecto benigno dispersas en ambas mamas</t>
  </si>
  <si>
    <t>OBST ELIZABETHCHANGANA</t>
  </si>
  <si>
    <t>PX 06/02/2026</t>
  </si>
  <si>
    <t>BRUNO MEJIA ANGELICA LUZ</t>
  </si>
  <si>
    <t>VIRGEN DEL CARMEN MZ B LOT 4 NVA ASOCCIACION</t>
  </si>
  <si>
    <t>LIC. BRENDA</t>
  </si>
  <si>
    <t>DURAN LUGARDO FLOR EDITH</t>
  </si>
  <si>
    <t>AS VIRGEN DEL CARMEN MZ. A LOTE 14</t>
  </si>
  <si>
    <t>SOSA LUCAS DELIA NOEMI</t>
  </si>
  <si>
    <t>ASOCIACION MURAMAR MZ W LT1</t>
  </si>
  <si>
    <t>Mamas heterogéneamente densas
Masa ovalada de márgenes circunscritos a nivel de plano medio de unión de cuadrantes superiores de mama
derecha</t>
  </si>
  <si>
    <t xml:space="preserve">PAJUELO  ALARCON ELIZABETH </t>
  </si>
  <si>
    <t>AV SAN MARTIN DE PORRES 561</t>
  </si>
  <si>
    <t>CALCIFICACIONES DE ASPECTO BENIGNO EN AMBAS MAMAS
RESTO DE LA MAMOGRAFÍA BILATERAL DENTRO DE LÍMITES NORMALES.
BI-RADS: 2</t>
  </si>
  <si>
    <t>O09993916</t>
  </si>
  <si>
    <t>MARCOS MUÑOZ JUANA JULIA</t>
  </si>
  <si>
    <t>21 DE ENERO I ETAPA MZ F - 4</t>
  </si>
  <si>
    <t>ARCE SANTAMARIA GRACIELA BUENAVENTURA</t>
  </si>
  <si>
    <t>AV BENJAMIN LOSSIO 400</t>
  </si>
  <si>
    <t>LA MAMOGRAFÍA BILATERAL DENTRO DE LÍMITES NORMALES</t>
  </si>
  <si>
    <t>BARZOLA PATOSINO FELICA</t>
  </si>
  <si>
    <t>CALLE CAMPO ALEGRE S/N</t>
  </si>
  <si>
    <t>MICROCALCIFICACIONES AGRUPADAS EN MAMA DERECHA, SE SUGIERE CONTROL POSTERIOR. RESTO DE AMBAS MAMAS HETEROGÉNEAMENTE DENSAS, SE SUGIERE COMPLEMENTAR CON ECOGRAFÍA POR DENSIDAD MAMARIA.</t>
  </si>
  <si>
    <t>MAMOGRAFIA ANUAL+ECOGRAFIA DE MAMAS</t>
  </si>
  <si>
    <t>CARLOS CHANGANA NOEMI JAQUELINE</t>
  </si>
  <si>
    <t xml:space="preserve">AV SNA NAMRTIN 207 </t>
  </si>
  <si>
    <t>CAVERO SAMANAMUD CARMEN ROSA</t>
  </si>
  <si>
    <t>URB.LAS BRISAS MZ.A LT.2</t>
  </si>
  <si>
    <t>AQUIJES DE ARAMULO  GLSYS EDITH</t>
  </si>
  <si>
    <t>CALLE JUAN B ROSADIO 258</t>
  </si>
  <si>
    <t>LA MAMOGRAFÍA BILATERAL DENTRO DE LÍMITES NORMALES.</t>
  </si>
  <si>
    <t>ENVIAR  ANTES DLE 24</t>
  </si>
  <si>
    <t>OROSCO CAHUAS MARIA</t>
  </si>
  <si>
    <t>URB AUXILIOS MUTUOS CALLE HUARAL MZ A19</t>
  </si>
  <si>
    <t>CAMBIOS POST-QUIRURGICOS DE LA MAMA DERECHA, SIN SIGNOS DE RECURRENCIA LOCORREGIONAL CALCIFICACIONES DE ASPECTO BENIGNO EN AMBAS MAMAS. RESTO DE LA MAMOGRAFÍA BILATERAL DENTRO DE LÍMITES NORMALES.</t>
  </si>
  <si>
    <t>PABLO AGAMA ELIZABETH  JUDITH</t>
  </si>
  <si>
    <t>URB. HUACHO B-15</t>
  </si>
  <si>
    <t>982 260 077</t>
  </si>
  <si>
    <t>CALCIFICACIONES DE ASPECTO BENIGNO EN AMBAS MAMAS RESTO DE AMBAS MAMAS HETEROGÉNEAMENTE DENSAS, SE SUGIERE COMPLEMENTAR CON ECOGRAFÍA POR DENSIDAD MAMARIA.</t>
  </si>
  <si>
    <t>SUCLUPE ALVA ROSA MARIBEL</t>
  </si>
  <si>
    <t xml:space="preserve">ANEXO  SANTA ANITA </t>
  </si>
  <si>
    <t>DEL AGUILA  CRIRITO MARIELLA</t>
  </si>
  <si>
    <t>ANGELICA MORALES MZ C LT8</t>
  </si>
  <si>
    <t>Mamas extremadamente densas. Patrón ACR - D.
Categoría BIRADS 0</t>
  </si>
  <si>
    <t>RAMIRE ROJAS ERIK AGRIPINA</t>
  </si>
  <si>
    <t>PROLOG SALAVRRY  140</t>
  </si>
  <si>
    <t>O9911735</t>
  </si>
  <si>
    <t>ORTIZ CHULA DARIELA</t>
  </si>
  <si>
    <t>AV SNA MARTIN 243</t>
  </si>
  <si>
    <t>04/03/26 PACIENTE</t>
  </si>
  <si>
    <t>MENDEZ CARRERA SARA MILAGROS</t>
  </si>
  <si>
    <t>AV ANTONIO  RAYMONDI  CDRA 6</t>
  </si>
  <si>
    <t>MAMAS HETEROGÉNEAMENTE DENSAS, SE SUGIERE COMPLEMENTAR CON ECOGRAFÍA POR DENSIDAD MAMARIA</t>
  </si>
  <si>
    <t>CALDERON JARA ANA</t>
  </si>
  <si>
    <t>AA. HH SAN JUAN DE DIOS P- 2A</t>
  </si>
  <si>
    <t>947 202 383</t>
  </si>
  <si>
    <t>AGUIRRE MAJE FLOR</t>
  </si>
  <si>
    <t>ASENT.H.JOSE OLAYA K-2</t>
  </si>
  <si>
    <t>922 863 455</t>
  </si>
  <si>
    <t>GUEVARA VILLANUEVA JUANA</t>
  </si>
  <si>
    <t>CERRO COLORADO ETAPA II A-1</t>
  </si>
  <si>
    <t>961 773 553</t>
  </si>
  <si>
    <t>DENTRO DE LIMITES NORMALES - BIRADS 1</t>
  </si>
  <si>
    <t>OBST EVLYN GALLARDO</t>
  </si>
  <si>
    <t>YALAN VILLANUEVA MIRIAM</t>
  </si>
  <si>
    <t>JR SAN ISIDRO 125</t>
  </si>
  <si>
    <t>OPACIDADES NODULARES EN MAMA IZQUIERDA, SE SUGIERE ESTUDIO ECOGRAFICO PARA MEJOR CARACTERIZACION RESTO DE LA MAMOGRAFÍA BILATERAL DENTRO DE LÍMITES NORMALES.</t>
  </si>
  <si>
    <t xml:space="preserve">OTOYA RAMIREZ VERONICA </t>
  </si>
  <si>
    <t>VICTORIA BAJA- JOSE OLAYA NRO 124</t>
  </si>
  <si>
    <t>CALCIFICACION DE ASPECTO BENIGNO. PORTADORA DE IMPLANTES MAMARIOS. RESTO DE LA MAMOGRAFÍA BILATERAL DENTRO DE LÍMITES NORMALES</t>
  </si>
  <si>
    <t>YUPANQUI TOLENTINO ROSANA</t>
  </si>
  <si>
    <t xml:space="preserve">AV ESTACION 680 </t>
  </si>
  <si>
    <t>MICROCALCIFICACIONES DE ASPECTO BENIGNO. RESTO DE LA MAMOGRAFÍA BILATERAL DENTRO DE LÍMITES NORMALES.</t>
  </si>
  <si>
    <t>LOPEZ ROJAS BRIT ISABEL</t>
  </si>
  <si>
    <t>PROL LOS  ANGELES 809</t>
  </si>
  <si>
    <t>CALCIFICACIONES DE ASPECTO BENIGNO EN MAMA DERECHA. RESTO DE AMBAS MAMAS HETEROGÉNEAMENTE DENSAS, SE SUGIERE COMPLEMENTAR CON ECOGRAFÍA POR DENSIDAD MAMARIA.</t>
  </si>
  <si>
    <t>GINECO</t>
  </si>
  <si>
    <t>RODRIGUEZ DIAZ MERCEDES</t>
  </si>
  <si>
    <t>JR. LA PALMA 224-5</t>
  </si>
  <si>
    <t>991 475 045</t>
  </si>
  <si>
    <t>PX 10/03/2026</t>
  </si>
  <si>
    <t>CASTILLO CHANGANAQUI SONIA</t>
  </si>
  <si>
    <t>ADAN ACEVEDO 367</t>
  </si>
  <si>
    <t>OPACIDAD NODULAR EN MAMA DERECHA, QUE PODRIA CORRESPONDER A FIBROADENOMA, SE SUGIERE ESTUDIO ECOGRAFICO PARA MEJOR CARACTERIZACION. MICROCALCIFICACIONES PUNTIFORMES AGRUPADAS EN MAMA IZQUIERDA, SE SUGIERE CONTROL POSTERIOR. CALCIFICACIONES DE ASPECTO BENIGNO EN MAMA DERECHA. MAMAS HETEROGÉNEAMENTE DENSAS, SE SUGIERE COMPLEMENTAR CON ECOGRAFÍA POR DENSIDAD MAMARIA</t>
  </si>
  <si>
    <t>HUAMAN CHIIRRE ANA</t>
  </si>
  <si>
    <t>QUINTAY SN</t>
  </si>
  <si>
    <t>MORENO ESPINOZA ADELMA</t>
  </si>
  <si>
    <t>ASC VIVIENDA PALMERAS UNIDAS MZM LOT 13 II ETAPA FUJIMORI</t>
  </si>
  <si>
    <t>MICROCALCIFICACIONES Y CALCIFICACIONES DE ASPECTO BENIGNO EN AMBAS MAMAS.
RESTO DE AMBAS MAMAS HETEROGÉNEAMENTE DENSAS, SE SUGIERE COMPLEMENTAR CON ECOGRAFÍA POR
DENSIDAD MAMARIA.
BI-RADS: 2</t>
  </si>
  <si>
    <t>ROSALES ASENCIOS CECILIA NOEMI</t>
  </si>
  <si>
    <t>AV SAN FRCO 151</t>
  </si>
  <si>
    <t>Mamografía bilateral sin signos que sugieran malignidad Calcificación de aspecto benigno en cuadrante superior externo de mama izquierda</t>
  </si>
  <si>
    <t>MARTINEZ RAMIREZ LETICIA</t>
  </si>
  <si>
    <t>AV. INDUSTRIAL</t>
  </si>
  <si>
    <t>Mamas heterogéneamente densas Calcificación gruesa ovalada de 20mm de diámetro mayor de aspecto benigno en cuadrante inferior externo de mama izquierda Calcificación redondeada de aspecto benigno en cuadrante superior externo de mama derecha</t>
  </si>
  <si>
    <t>ROJAS SERNA GIULIANA DEL PILAR</t>
  </si>
  <si>
    <t>AV. SAN MARIN 438</t>
  </si>
  <si>
    <t>HUASUPOMA MANTILLA ALICIA</t>
  </si>
  <si>
    <t>CAMINO DE DIOS</t>
  </si>
  <si>
    <t>Mamas heterogéneamente densas Calcificación de aspecto benigno en unión de cuadrantes internos de mama derecha</t>
  </si>
  <si>
    <t>MORANTE OYOLA CELIA</t>
  </si>
  <si>
    <t>TALLEDO GONZALES JESSICA</t>
  </si>
  <si>
    <t>PASAJE ANGEL URIBE 120 PASANDO CALLE LOS ANGELES</t>
  </si>
  <si>
    <t xml:space="preserve">BRICEÑO JARA GLEYSY JHOANA </t>
  </si>
  <si>
    <t>SAN MARTIN MZ H LT27</t>
  </si>
  <si>
    <t>ORTEGA MONTAÑEZ MARIA ALEJANDR</t>
  </si>
  <si>
    <t>CALLE MIRAFLORES MZ I LOT 3</t>
  </si>
  <si>
    <t>BUSTAMANTE LEON CAROLA</t>
  </si>
  <si>
    <t>PROLONG. LA PALMA 107</t>
  </si>
  <si>
    <t>Mamas heterogéneamente densas Calcificaciones de aspecto benigno en mama izquierda</t>
  </si>
  <si>
    <t>VALENTIN APARICIO NORMA</t>
  </si>
  <si>
    <t>AV. CINCUENTENARIO 249</t>
  </si>
  <si>
    <t>Mamografía bilateral sin signos que sugieran malignidad Calcificaciones de aspecto benigno en ambas mamas</t>
  </si>
  <si>
    <t>AZABACHE BAZALAR LILIANA IBANA</t>
  </si>
  <si>
    <t>SAN ROMAN604</t>
  </si>
  <si>
    <t>PX 24/03/2026</t>
  </si>
  <si>
    <t>CARLOS HUAMAN ERIKA DIANA</t>
  </si>
  <si>
    <t>ASOC. LAS PALMERAS</t>
  </si>
  <si>
    <t>LEONARDO  MORALES JACKELINE</t>
  </si>
  <si>
    <t>AV CENTENARIO</t>
  </si>
  <si>
    <t>PX 17/03/2026</t>
  </si>
  <si>
    <t>CARRASCO ALVA JESSICA</t>
  </si>
  <si>
    <t>LOS PINOS</t>
  </si>
  <si>
    <t>GAMARRA BAJONERO GIOVANNA</t>
  </si>
  <si>
    <t>RAMOS JAIME NANCY</t>
  </si>
  <si>
    <t>LOPEZ TOLEDO  ROSA JULISSA</t>
  </si>
  <si>
    <t xml:space="preserve">SIMON BOLIVAR </t>
  </si>
  <si>
    <t>MENACHO PASTRANA MARIELA</t>
  </si>
  <si>
    <t>HORNILLOS</t>
  </si>
  <si>
    <t>MAMOGRAFIA BILATERAL SIN SIGNOS QUE SUGIEREN MALIGNIDAD. IMPRESIONA IMAGEN NODULAR DE ASPETO BENIGNO A NIVEL DE PLANO MEDOIO DE CUADRANTE SUPERIOR EXTERNO DE MAMA IZQUIERDA</t>
  </si>
  <si>
    <t>ECOGRAFIA DE MAMAS/ MAMOGRAFIA ANUAL</t>
  </si>
  <si>
    <t xml:space="preserve">PABLO AYALA LUISA VALERIA </t>
  </si>
  <si>
    <t>URB. LA VILLA</t>
  </si>
  <si>
    <t>Mamas heterogéneamente densas Impresiona imágenes nodulares de aspecto benigno dispersas en mama izquierda</t>
  </si>
  <si>
    <t>QUIROZ CAMPOS MARIA YANETH</t>
  </si>
  <si>
    <t>CORONEL PORTILLO 185</t>
  </si>
  <si>
    <t>Mamas heterogéneamente densas Impresiona imagen nodular asociado a calcificaciones superpuestas a nivel de plano medio-posterior de unión de cuadrantes externos de mama izquierda</t>
  </si>
  <si>
    <t>BAYONA ROJAS AIDA</t>
  </si>
  <si>
    <t>CALLE CAJAMARCA</t>
  </si>
  <si>
    <t>PRIETO MEZA CARMEN ROSA</t>
  </si>
  <si>
    <t>AV. MERCEDES INDACOCHEA</t>
  </si>
  <si>
    <t>Mamas heterogéneamente densas Impresiona imagen nodular ovalado a nivel de plan medio de unión de cuadrantes externos de mama derecha</t>
  </si>
  <si>
    <t>ARANA YOVERA SILVIA ANTONIA</t>
  </si>
  <si>
    <t>URB. LOS PINOS</t>
  </si>
  <si>
    <t>MAMOGRAFIA BILATERAL ARANA YOVERA</t>
  </si>
  <si>
    <t>ESTEBAN COLLANTES ROXANA</t>
  </si>
  <si>
    <t>AV. BOLOGNESI</t>
  </si>
  <si>
    <t>SANCHEZ MONTES DE VERA ESTELA</t>
  </si>
  <si>
    <t>CALLE JOSE CARLOS MARITEGUI</t>
  </si>
  <si>
    <t>MUÑOZ CRUZ ELOIDA</t>
  </si>
  <si>
    <t>ENTRADA BAÑO DE BOZA - CERRO COLORADO</t>
  </si>
  <si>
    <t>Mamas con sectores dispersos de densidad fibroglandular (ACR tipo B) Calcificaciones típicamente benignas en ambas mamas</t>
  </si>
  <si>
    <t>FARROMEQUE PACORA DE TABOADA MARIA</t>
  </si>
  <si>
    <t>PROLONG. AREQUIÀ 153</t>
  </si>
  <si>
    <t>Mamografía bilateral sin signos que sugieran malignidad Impresiona imagen nodular de aspecto benigno a nivel de plano posterior de cuadrante superior externo de mama izquierda sugerente de ganglio intramamario</t>
  </si>
  <si>
    <t xml:space="preserve">LEON COLLAZOS NIDIA </t>
  </si>
  <si>
    <t>san bartolomermz a klt 7</t>
  </si>
  <si>
    <t>santa maria</t>
  </si>
  <si>
    <t>GONZALES PEREZ RUFINA</t>
  </si>
  <si>
    <t>SAN LUIS MZ B LT 16</t>
  </si>
  <si>
    <t>CASTILLEJO ESTRADA NORMA</t>
  </si>
  <si>
    <t>RENTERIUA ZAPATA C-9</t>
  </si>
  <si>
    <t>HUAAL</t>
  </si>
  <si>
    <t>Impresiona asimetría focal a nivel de plano anterior de región retroareolar izquierda</t>
  </si>
  <si>
    <t>COLLAZO VERAMENDI BERTILA</t>
  </si>
  <si>
    <t>MANUELA DIAZ CHAFLOJO</t>
  </si>
  <si>
    <t>CHONTA</t>
  </si>
  <si>
    <t>Mamas heterogéneamente densas
Calcificaciones de aspecto benigno dispersas en ambas mamas a predominio derecho</t>
  </si>
  <si>
    <t>SIESQUEN CHUNGA JUANA</t>
  </si>
  <si>
    <t>LA UNION 133</t>
  </si>
  <si>
    <t>Mamas heterogéneamente densas
Calcificación de aspecto benigno en cuadrante superior interno de mama derecha</t>
  </si>
  <si>
    <t>SANDON YANAC CIPRIANA</t>
  </si>
  <si>
    <t>LOS JASMINES</t>
  </si>
  <si>
    <t>SAN BARTOLOME</t>
  </si>
  <si>
    <t xml:space="preserve">MAMAS HEterogéneamente densas. Patrón ACR - C.
</t>
  </si>
  <si>
    <t>ALEGRE CARPIO VERONICA ELVIRA</t>
  </si>
  <si>
    <t>URB.HUACHO H17</t>
  </si>
  <si>
    <t>Mamografía bilateral sin signos que sugieran malignidad
Calcificación de aspecto benigno en cuadrante inferior interno de mama derecha</t>
  </si>
  <si>
    <t>ALOR SANCHEZ JULIA MILAGRITOS</t>
  </si>
  <si>
    <t xml:space="preserve">CALLE MELCHOR APONTE S/N </t>
  </si>
  <si>
    <t>ECOGRAFIA D EMAMAS</t>
  </si>
  <si>
    <t>O04092552</t>
  </si>
  <si>
    <t>CRESPO MARIA MAGALY</t>
  </si>
  <si>
    <t>PASAJE BELLAVISTA 135</t>
  </si>
  <si>
    <t>Mamas heterogéneamente densas. Patrón ACR - C.
Nódulos hiperdensos de márgenes circunscritos y parcialmente oscurecidos en ambas mamas, podría
corresponder a proceso fibroquístico a considerar fibroadenomas hializanizados entre otros
Categoría BIRADS 0</t>
  </si>
  <si>
    <t>NODULOS HIPOECOGENICOS EN AMBAS MAMAS DE ASPECTO  BENIGNO SUGESTIVO  DE FIBROADENOMAS</t>
  </si>
  <si>
    <t>TARAZONA FLORES LIDIA LINA</t>
  </si>
  <si>
    <t xml:space="preserve">MARIA PARADO DE BELLIDO MZ B LOTE 1 </t>
  </si>
  <si>
    <t>AMAY</t>
  </si>
  <si>
    <t>PENADILLO LEON CAROLINA</t>
  </si>
  <si>
    <t>VILLA DEL MAR MZ  L LOTE 4</t>
  </si>
  <si>
    <t>MAMAS HETEROGENEAMENTE DENASAS PATRON ACR-C- CS BIRADS 0</t>
  </si>
  <si>
    <t>CABALLERO GODO MIRTHA LUZ</t>
  </si>
  <si>
    <t>C.P SAN JOSE HUERTO S/N</t>
  </si>
  <si>
    <t>ECOGRAFIA DE MAMAS  + MAMOGRAFIA ANUAL</t>
  </si>
  <si>
    <t>PEÑA JUAREZ MARLENE CRISTINA</t>
  </si>
  <si>
    <t xml:space="preserve">ANTONIO RAYMOINDI 353 </t>
  </si>
  <si>
    <t>MAMAS DENSAS SIN SIN SIGNOS DE NM</t>
  </si>
  <si>
    <t>ECOGRAFIA DE MAMAS+MAMOGRAFIA ANUAL</t>
  </si>
  <si>
    <t>RIOS ONCOY CRISEIDA</t>
  </si>
  <si>
    <t>CALLE GABRIEL AGUILAR 580</t>
  </si>
  <si>
    <t>CABEDUQUE PADILLA ROCIO JESUS</t>
  </si>
  <si>
    <t>PASJE URIBE 105</t>
  </si>
  <si>
    <t>SANTOS SALVADOR BEATRIZ SULLY</t>
  </si>
  <si>
    <t>AV.PERU - PASJE CARQUIN 195</t>
  </si>
  <si>
    <t>MAMAS HETEROGENEAMENTE DENSAS- CALCIFICACIONES VASCULARES EN AMBAS MAMAS</t>
  </si>
  <si>
    <t xml:space="preserve">ECOGRAFIA DE MAMAA S+ MAMOGRAFIA </t>
  </si>
  <si>
    <t>ABAD MENDOZA EDILBERTO</t>
  </si>
  <si>
    <t>nuevo san juan KM 115</t>
  </si>
  <si>
    <t>SANTOS SALVADOR BENEDICTA MEDALIT</t>
  </si>
  <si>
    <t>AV. SAN BARTOLOME PEREZ S/N</t>
  </si>
  <si>
    <t>955 500 821</t>
  </si>
  <si>
    <t xml:space="preserve">Mamas heterogéneamente densas ACR-C
</t>
  </si>
  <si>
    <t>SAMARITANO CERNA DE LOPEZ DONATA</t>
  </si>
  <si>
    <t>PUEBLO TUPAC AMARU MZ L LOTE 12 ESPERANZA BAJA</t>
  </si>
  <si>
    <t>913 572 833</t>
  </si>
  <si>
    <t>SIMEON PALACIOS ROSARIO</t>
  </si>
  <si>
    <t xml:space="preserve">AV. INDEPENDENCIA 275 </t>
  </si>
  <si>
    <t>964 785 364</t>
  </si>
  <si>
    <t>MAMAS HETEROGENEAMENTE DENSA SE SUGIERE ECO</t>
  </si>
  <si>
    <t>SIN COBERTURA</t>
  </si>
  <si>
    <t>SIMEON PALACIOS ISABEL LUZMILA</t>
  </si>
  <si>
    <t>AV. INDEPENDENCIA 275</t>
  </si>
  <si>
    <t>TORRES SUSANIBAR MARTHA ANTONIA</t>
  </si>
  <si>
    <t>LA HUAQUILLA 235</t>
  </si>
  <si>
    <t>985 715 104</t>
  </si>
  <si>
    <t>MAMOGRAFIA ANUAL+ ECOGRAFIA DE MAMAS</t>
  </si>
  <si>
    <t>POMA DE QUEREVALU MONICA LOURDES</t>
  </si>
  <si>
    <t>CALLE CENTRAL URB. LINO CAHUASA MZ E LOTE 2</t>
  </si>
  <si>
    <t>ORDOÑEZ - GLADYS PAMELA</t>
  </si>
  <si>
    <t>ASOC VILLA COLORADO</t>
  </si>
  <si>
    <t>CALCIFICACION DE ASPECTO BENIGNO.
RESTO DE LA MAMOGRAFÍA BILATERAL DENTRO DE LÍMITES NORMALES.
BI-RADS: 2</t>
  </si>
  <si>
    <t xml:space="preserve">LA CRUZ PADILLA YOLANDA </t>
  </si>
  <si>
    <t>CALLE SAN BARTOLOME MZ A LOTE 6</t>
  </si>
  <si>
    <t>MAMAS CONS ECTORES DISPERSOS DE DENSIDAD FIBROGLANDULAR  ACR-B- NODULOS MARGENES CIRCUNSCRITOS CSE MAMA DERECHA</t>
  </si>
  <si>
    <t>RODRIGUEZ TORRES ALICIA VICTORIA</t>
  </si>
  <si>
    <t>JIRON SAN ISIDROO C.P OLAYA MZ 12</t>
  </si>
  <si>
    <t>BARRON BRONCANO LISET GUILIANA</t>
  </si>
  <si>
    <t>AS.H 18 DE OCTUBRE MZ G LOTE 26</t>
  </si>
  <si>
    <t>ESTUPIÑAN SALVATIERRA JULISSA</t>
  </si>
  <si>
    <t>BRISAS MARINA MZ A LOTE 10</t>
  </si>
  <si>
    <t>CUADROS ACEVEDO ROSA CARMEN</t>
  </si>
  <si>
    <t>URB.LOS CINES LOTE 11</t>
  </si>
  <si>
    <t xml:space="preserve">MAMAS HETEROGENEAMENTE DENSAS ACR-C. </t>
  </si>
  <si>
    <t>BLAS RIVERA ANALI REBECA</t>
  </si>
  <si>
    <t>URB.LOS PINOS D 14</t>
  </si>
  <si>
    <t>MAMAS HETEROGENEAMENTE DENSAS  ACR-C. GANGLIOS AXILARES HIPERDENSOS CON PERDIDA DE SU MORFOLOGIA REQUIERE AMPLIAR CON ECO</t>
  </si>
  <si>
    <t>ECOGRAFIA DE MAMAS  Y REGION AXILAR</t>
  </si>
  <si>
    <t>RIVERA LINO DE BLAS REBECA</t>
  </si>
  <si>
    <t>C. POBLABDO LA VILLA S/N</t>
  </si>
  <si>
    <t>MAMAS HETEROGENEAMENTE DENSAS, CALCIFICACION DE ASPECTO BENIGNO EN CSE DE MAMA DERECHA</t>
  </si>
  <si>
    <t>ROBLES FLOREZ  FRANCISCA</t>
  </si>
  <si>
    <t>C.POBLADO 8 DE OCTUBRE MZGLT18</t>
  </si>
  <si>
    <t>CHINGA TOLEDO NELLY</t>
  </si>
  <si>
    <t>LAS BISAS MZB LT1</t>
  </si>
  <si>
    <t>MAMAS HETEROGENEAMENTE DENSAS ACR-C</t>
  </si>
  <si>
    <t xml:space="preserve">FERNANDEZ PAJUELO DAYSI YESENIA </t>
  </si>
  <si>
    <t>AAHH MADRE DEL ROSARIO MZ D LOTE 3</t>
  </si>
  <si>
    <t xml:space="preserve">HUALMAY </t>
  </si>
  <si>
    <t>MAMAS CON SECTORES DISPERSOS  DE DENSIDAD FIBROGLANDULAR ACR-B</t>
  </si>
  <si>
    <t>HUANCA CADILLO PEREGRINA NATIVIDAD</t>
  </si>
  <si>
    <t>DESAGRAVIO S/N</t>
  </si>
  <si>
    <t>Mamas heterogéneamente densas. Patrón ACR - C.
Calcificaciones vasculares incipientes típicamente benignas
Categoría BIRADS 0</t>
  </si>
  <si>
    <t>ESQUEN SEVERINO SILVIA</t>
  </si>
  <si>
    <t>CALLE SANTA ROSA 228</t>
  </si>
  <si>
    <t>SANCHEZ AGURTO DENNIS</t>
  </si>
  <si>
    <t>MAMOGRAFIA SIN SIGNOS DE MALIGNIDAD- CALCIFICACION DE ASPECTO BENIGNO EN CIE MAMA DERECHA</t>
  </si>
  <si>
    <t>CARBAJAL BENITES TERESA</t>
  </si>
  <si>
    <t xml:space="preserve">IRRIGACION SANTA ROSA LA VILLA S/N </t>
  </si>
  <si>
    <t>MAMAS HETEROGENEAS DENSAS - IMAGEN NODULAR DE ASPECTO BENIGNO EN PLANO POSTERIOR DE UNION CS DE MAMA IZQ</t>
  </si>
  <si>
    <t>LEZAMA LOPEZ TATUM TANIA</t>
  </si>
  <si>
    <t>LOS OLIVOS LOTE 4</t>
  </si>
  <si>
    <t>20/02/2026 MAÑANA</t>
  </si>
  <si>
    <t>TRINIDAD REQUENA ESTEFANIA</t>
  </si>
  <si>
    <t>AAHH TUPAC AMARU PRIMAVERA MZK LOTE 2</t>
  </si>
  <si>
    <t xml:space="preserve">PEÑA JUAREZ MONICA BEATRIZ </t>
  </si>
  <si>
    <t>PSJE DOMININGO MANDAMIENTO 188</t>
  </si>
  <si>
    <t>MAMAS HETEROGENEAMENTE DENSAS PATRON ACR-C. CALCIFICACION TIPICAMENTE BENIGNA EN MAMA DERECHA</t>
  </si>
  <si>
    <t>GALIANAO MEREGILDO VERONICA</t>
  </si>
  <si>
    <t>PROLONG.LAS FLORES S/N</t>
  </si>
  <si>
    <t>MAMAS HETEROGENEA MENTE DENSAS- ASIMETRIA DENSIDAD EN CS DE MAMA DERECHA - BIRADS 0</t>
  </si>
  <si>
    <t>OJEDA MENDOZA ANA MARIA</t>
  </si>
  <si>
    <t>CALLE LUIS FALCON 302</t>
  </si>
  <si>
    <t>Mamas con sectores dispersos de densidad fibroglandular (ACR tipo B)
Calcificación típicamente benigna en mama izquierda
Categoría BIRADS 2.</t>
  </si>
  <si>
    <t>QUIROZ INOCENTE SABINA MARIZOL</t>
  </si>
  <si>
    <t>BUENAVISTA MZ C LOTE 3</t>
  </si>
  <si>
    <t>JIMENEZ NICASIO SUSANA ELIZABETH</t>
  </si>
  <si>
    <t>CALLE LEONCIO PRADO 753</t>
  </si>
  <si>
    <t>MAMAS HETEROGENEAMENTE DENSAS. PATRON ACR- C CALCIFICACIONES TIPICAMENTE BENIGNAS EN MAMA DERECHA</t>
  </si>
  <si>
    <t>CARBAJAL INGA YOVANA ANGELICA</t>
  </si>
  <si>
    <t xml:space="preserve">AV. RAMON CASTILLA 177 </t>
  </si>
  <si>
    <t>VARA MEJIA CYNTHIA MARITZA</t>
  </si>
  <si>
    <t xml:space="preserve">CALLE JUAN VELASCO ALVARADO S/N </t>
  </si>
  <si>
    <t>Mamas heterogéneamente densas. Patrón ACR - C.
Nódulo hiperdenso márgenes parcialmente oscurecidos en mama izquierda
Categoría BIRADS 0</t>
  </si>
  <si>
    <t>MEJIA DE VARA EUGENIA</t>
  </si>
  <si>
    <t>HIDALGO VENTURA MARIA</t>
  </si>
  <si>
    <t xml:space="preserve">PASJE LA LIBERTAD LOTE 9 </t>
  </si>
  <si>
    <t>ALCALA DIONICIO ROCIO EMPERATRIZ</t>
  </si>
  <si>
    <t>LOS PINO H 15</t>
  </si>
  <si>
    <t>FELIX HUAMAN NOEMI CAROLINA</t>
  </si>
  <si>
    <t xml:space="preserve">CALLE AMAZONAS MZ F LOTE 24 A </t>
  </si>
  <si>
    <t>Mamas heterogéneamente densas. Patrón ACR - C.
Nódulo hiperdenso márgenes parcialmente oscurecido en mama derecha
Categoría BIRADS 0</t>
  </si>
  <si>
    <t>ZEGARRA VALENCIA DE CHUMPITAZ LORENA ROSA</t>
  </si>
  <si>
    <t>CALLE CORDOVA 119 P JOVEN PERALVILLO</t>
  </si>
  <si>
    <t>Mamas con predominio del tejido adiposo en casi su totalidad . Patrón ACR - A
Categoría BIRADS 1</t>
  </si>
  <si>
    <t>FIUZA NARIO JESUS ESTHER</t>
  </si>
  <si>
    <t>PASJE TELLO MZ B LOTE 7</t>
  </si>
  <si>
    <t>Mamas con sectores dispersos de densidad fibroglandular (ACR tipo B)
Asimetría focal en mama derecha
Calcificaciones típicamente benignas en ambas mamas</t>
  </si>
  <si>
    <t>CORCINO SHOCUSH EDITH CECLILIA</t>
  </si>
  <si>
    <t>CALLE ANCASH MZ J LOTE 17</t>
  </si>
  <si>
    <t>PACORA NUÑEZ DE BENITES MILAGROS</t>
  </si>
  <si>
    <t>JIRON SANTA MARIA 122</t>
  </si>
  <si>
    <t>ROJAS DIAZ JESSENIA ISABEL</t>
  </si>
  <si>
    <t>C.P SANTA ANITA MZ  LOTE 20</t>
  </si>
  <si>
    <t>LIC DERIAN</t>
  </si>
  <si>
    <t>CHAVEZ CATIRE RITA SONIA</t>
  </si>
  <si>
    <t>CALLE. SAN VALENTIN MZ B LOTE 14</t>
  </si>
  <si>
    <t xml:space="preserve">El estudio realizado muestra mamas densas sin evidenciar signos sospechosos de NM.
Categoría BIRADS 1.
</t>
  </si>
  <si>
    <t>RAMIREZ GABINO TEODORA MICAELA</t>
  </si>
  <si>
    <t>AV. HUALMAY 240 PASAJE 5 ·141</t>
  </si>
  <si>
    <t>Mamas heterogéneamente densas. Patrón ACR - C.
Asimetría focal en CSI de mama derecha
Categoría BIRADS 0</t>
  </si>
  <si>
    <t>HIGINIO CONTADOR SARA VIVIANA</t>
  </si>
  <si>
    <t>CALLE BENJAMIN DOILICIO  LOTE 10</t>
  </si>
  <si>
    <t>VALDIVIA CARBAJAL MAURA NATIVIDAD</t>
  </si>
  <si>
    <t>PASAJE BENEDICTO 215</t>
  </si>
  <si>
    <t>O099225400</t>
  </si>
  <si>
    <t>GUDIÑO VELASQUEZ ERCILA  DEL  CARMEN</t>
  </si>
  <si>
    <t>PROLOG SANTA ROSA CASA 618</t>
  </si>
  <si>
    <t xml:space="preserve">1.	MAMOGRAFIA BILATERAL SIN HALLAZGOS DE IMÁGENES SOSPECHOSAS DE MALIGNIDAD.
2.	CALCIFICACIÓN TÍPICAMENTE BENIGNA EN MAMA DERECHA.  
3.	CATEGORIA BI-RADS: 2.
</t>
  </si>
  <si>
    <t>LEON RAMIREZ YSABEL VICTORIA</t>
  </si>
  <si>
    <t>ASS. DE VIVIENDA MZ A LOTE 4 MANZANARES</t>
  </si>
  <si>
    <t xml:space="preserve">CERNA ORTIZ APOLINIA ESPERANZA </t>
  </si>
  <si>
    <t>LOS ALAMOS</t>
  </si>
  <si>
    <t>SCHANCAY</t>
  </si>
  <si>
    <t>RICAPA YANAC LITA PATRICIA</t>
  </si>
  <si>
    <t>PAMPA DE ANIMAS BAJA S/N</t>
  </si>
  <si>
    <t>TORRES CORONADO GUADALUPE</t>
  </si>
  <si>
    <t>AV. PALMERAS UNIDAS MZ B LOTE 1</t>
  </si>
  <si>
    <t>Mamas heterogéneamente densas. Patrón ACR - C.
Nódulo irregular de márgenes parcialmente oscurecido en región axilar izquierda. Requiere estudio A-P por BX
Categoría BIRADS 0</t>
  </si>
  <si>
    <t>CABRERA FLORIDA YOLANDA ESTHER</t>
  </si>
  <si>
    <t>CALLE DERECHA 779 INTER. 7</t>
  </si>
  <si>
    <t>HUAURAL</t>
  </si>
  <si>
    <t xml:space="preserve">ECOGRAFIA DE MAMAS  </t>
  </si>
  <si>
    <t>VASQUEZ VALLES MARINA</t>
  </si>
  <si>
    <t>SAN JUAN DE DIOS MZ K LOTE 9</t>
  </si>
  <si>
    <t>CABREL LOZA DE FLORES ISABEL ARACELY</t>
  </si>
  <si>
    <t>AV. PERU 975</t>
  </si>
  <si>
    <t>Mamas heterogéneamente densas. Patrón ACR - C.
Nódulos hiperdensos en región axilar derecha , requiere estudio AP por Bx
Categoría BIRADS 0</t>
  </si>
  <si>
    <t>ANAYA TELLO JESSICA PAOLA</t>
  </si>
  <si>
    <t>FUNDO LA QUINCHA SN</t>
  </si>
  <si>
    <t>QUITOLES CHAGRAY OLGA MARLENE</t>
  </si>
  <si>
    <t>JIRON LA PALMA 197</t>
  </si>
  <si>
    <t>RAMIREZ SANDOVAL GISSELA</t>
  </si>
  <si>
    <t>CALLE UNION S/N</t>
  </si>
  <si>
    <t>NALVARTE ESPINOZA DE YANOMAOTO MARIA</t>
  </si>
  <si>
    <t>AV HUANDO MZ B LOTE 13</t>
  </si>
  <si>
    <t>EMETERIO VICOS LIZ JANET</t>
  </si>
  <si>
    <t>URB BUENOS AIRES CALLE SAN MARTIN 225</t>
  </si>
  <si>
    <t>EMETERIO VICOS MARY LIZ</t>
  </si>
  <si>
    <t>Mamas con sectores dispersos de densidad fibroglandular (ACR tipo B)
Asimetría de densidad en CSE de mama derecha
Categoría BIRADS 0</t>
  </si>
  <si>
    <t>EMETERIO VICOS ROCIO VILMA</t>
  </si>
  <si>
    <t xml:space="preserve">SOSA CHERO MIRIAM LILIANA </t>
  </si>
  <si>
    <t>VICTORIA BAJA 103</t>
  </si>
  <si>
    <t>JIMENEZ ROJAS GRISELDA AURELIA</t>
  </si>
  <si>
    <t>CALLE EL MILAGRO S/N</t>
  </si>
  <si>
    <t>TOLEDO SANTIAGO ELVA TAVITA</t>
  </si>
  <si>
    <t>URB LOS PORTALES SANTA ROSA MZ A LOTE 2</t>
  </si>
  <si>
    <t>Mamas heterogéneamente densas. Patrón ACR - C.
Distorsión de la arquitectura en CS de mama derecha (OML)
Categoría BIRADS 3 (Requiere control)</t>
  </si>
  <si>
    <t>MAGNIFICAION  COMPRENSION + ECOGRAFIA DE MAMAS + TOMOSINTESIS (3D) DE CSE DE MMA DERECHA</t>
  </si>
  <si>
    <t>ACUDIRA 20/03 AL CB HUARAL A RECOGER RESULTADOS</t>
  </si>
  <si>
    <t>MENDOZA HURTADO ESBACIA</t>
  </si>
  <si>
    <t>EX FUJIMORI LOS PINOS II ETP MZ C LOTE 10</t>
  </si>
  <si>
    <t>MAMAS DENSAS ASIMETRIA FOCAL EN CSE MAMA DERECHA (REQUIERE CONTROL- BIRADS 3</t>
  </si>
  <si>
    <t>APOLINARIO CRUZ FLORIA ZENAIDA</t>
  </si>
  <si>
    <t>CO MONTE GRANDE B 12</t>
  </si>
  <si>
    <t>Mamas con sectores dispersos de densidad fibroglandular (ACR tipo B)
Calcificaciones típicamente benignas
Categoría BIRADS 2.</t>
  </si>
  <si>
    <t>SAAVEDRA LIZONDRO ELIZABETH AMELIA</t>
  </si>
  <si>
    <t>C.POBLADO SANTA ROSA MZ A LOTE 5</t>
  </si>
  <si>
    <t>MAMAS HETEROGENEAMENTE DENSAS - BIRADS 0</t>
  </si>
  <si>
    <t>CADILLO ALCANTARA YANET ROSARIO</t>
  </si>
  <si>
    <t>LAS DELICIAS 411</t>
  </si>
  <si>
    <t>ESSALUD</t>
  </si>
  <si>
    <t>LUGO CACERES IRENE</t>
  </si>
  <si>
    <t xml:space="preserve">ANTONIO RAYMONDI C 17 </t>
  </si>
  <si>
    <t>MAMAS HETEROGENEAMENTE DENASAS PATRON ACR-C- CALCIFICACIONES REDONDEADAS Y LINEASF INAS EN AMBAS MAMA S BIRADS 0</t>
  </si>
  <si>
    <t>ECOGRAFIA +MAGNIFICACION DE MAMA IQUIERDA</t>
  </si>
  <si>
    <t>GALLARDO CAMPOS MARIA MARUJA</t>
  </si>
  <si>
    <t xml:space="preserve">PUEBLO JVOEN 17 DE ENERO </t>
  </si>
  <si>
    <t>ANDAHUASI</t>
  </si>
  <si>
    <t>MAMAS DENSAS SIN SIGNOS DE NM</t>
  </si>
  <si>
    <t>GUZMAN HERMITAÑO MELVA</t>
  </si>
  <si>
    <t>AV 28 DE JULIO 331</t>
  </si>
  <si>
    <t>Mamas heterogéneamente densas  BIRADS 0</t>
  </si>
  <si>
    <t>ROBLES ESPIRITU MARGARETH SANDY</t>
  </si>
  <si>
    <t>Mamas heterogéneamente densas  PATRON ACR- C- BIRADS 0</t>
  </si>
  <si>
    <t>LAZARO SACRAMENTO JUANA ESPERANZA</t>
  </si>
  <si>
    <t>MAMAS DENSAS SIN EVIDENCIAR SIGNOS DE NM</t>
  </si>
  <si>
    <t>ECOGRAFIA DE MAMAS + MAMOGRAFIA ANUAÑ</t>
  </si>
  <si>
    <t>SAAVEDRA VASQUEZ ANGELICA YANET</t>
  </si>
  <si>
    <t>CORONEL PORTILLO AS. A 14</t>
  </si>
  <si>
    <t>MAMAS CON SECTORES DISOERSOS DE DENSIDAD FIBROGLANDULAR BIRAD 1</t>
  </si>
  <si>
    <t>DOMINGUEZ HURTADO VICTORIA</t>
  </si>
  <si>
    <t>LOS PINOS - URB. CORAZON DE JESUS LOTE A</t>
  </si>
  <si>
    <t>MAMAS HETEROGENEAMENTE DENASAS PATRON ACR-C- NIRADS 0</t>
  </si>
  <si>
    <t>OBREGON AGUILAR JOSELYN PAOLA</t>
  </si>
  <si>
    <t xml:space="preserve">CALLE LIBERTAD 140 </t>
  </si>
  <si>
    <t>Mamas con sectores dispersos de densidad fibroglandular (ACR tipo B)
Nódulos hipodensos en mama derecha
Categoría BIRADS 3, (requiere control)
Calcificaciones típicamente benignas en ambas mamas</t>
  </si>
  <si>
    <t>AZAÑERO YUNQUE MARIA ELENA</t>
  </si>
  <si>
    <t>AV.LIBERTAD S/N</t>
  </si>
  <si>
    <t>PX 26/03/2026</t>
  </si>
  <si>
    <t>VALLADARES BERNAL GLORIA EDITH</t>
  </si>
  <si>
    <t>AV. EL MILAGRO 775</t>
  </si>
  <si>
    <t>TORRES LANDA GERARDA DAYSE</t>
  </si>
  <si>
    <t>AV. CENTENARIO 452</t>
  </si>
  <si>
    <t>Mamas heterogéneamente densas. Patrón ACR - C.
Nódulos hiperdensos en ambas mamas según descripción
Categoría BIRADS 0</t>
  </si>
  <si>
    <t>PX 14/03/2026</t>
  </si>
  <si>
    <t>TORRES LANDA  ELENA DARIA</t>
  </si>
  <si>
    <t>HERMANA GERARDA TORRES 14/03/2026</t>
  </si>
  <si>
    <t>SIFUENTES TORRES EVA VILMA</t>
  </si>
  <si>
    <t>PSJE AUGUSTO B LEGUIA 124</t>
  </si>
  <si>
    <t>YALAN VILLANUEVA EMMA ELIZABETH</t>
  </si>
  <si>
    <t>PEDRO P HERRERA 1390</t>
  </si>
  <si>
    <t>SANTIAGO BLAS EVA MERY</t>
  </si>
  <si>
    <t>PRIMERO DE MAYO 747</t>
  </si>
  <si>
    <t>02/03/2026 WATHSSAP</t>
  </si>
  <si>
    <t>MALLQUI  ORTIZ NICOLASA</t>
  </si>
  <si>
    <t>LA QUERENCIA NUEVO PROGRESO</t>
  </si>
  <si>
    <t>CASTILLO CORDOVA ANA LIZ</t>
  </si>
  <si>
    <t xml:space="preserve">AV. PANAMERICANA NORTE SAN LUIS DE MAZO </t>
  </si>
  <si>
    <t>MAMAS DENSAS ACR-C ASIMETRIA DE DENSIDAD EN CSE MAMA IZQUIERDA.</t>
  </si>
  <si>
    <t>RIVERA SOTO JUANA</t>
  </si>
  <si>
    <t>LOS PINOS - EL CARMEN MZ H LOT 15</t>
  </si>
  <si>
    <t>MAMAS CON SECTORES DISPERSOS DE DENSIDAS FIBROGLANDULAR- MICROCALCIFICACIONES HETEROGENEAS-NODULO HIPERDENSO DE ARGENES CIRCUNSCRITOS EN MAMA IZQUIERDA</t>
  </si>
  <si>
    <t>ECOGRAFIA +BIOPSIA POR ESTEREOTAXIA</t>
  </si>
  <si>
    <t xml:space="preserve">PADILLA SOSA DE SAAVEDRA ELIZABETH </t>
  </si>
  <si>
    <t>PROLPROLONG. GALVEZ 170</t>
  </si>
  <si>
    <t xml:space="preserve">Mamas con sectores dispersos de densidad fibroglandular (ACR tipo B)
Categoría BIRADS 1.
</t>
  </si>
  <si>
    <t>CHILET INOCENTE CARMEN ESTHER</t>
  </si>
  <si>
    <t>PSJ SANTA ANA U 7 EL CARMEN</t>
  </si>
  <si>
    <t>MAMAS CON SECTORES HIPERDENSO DE DENSIDAD FIBROGLANDULAR  ACR TIPO B- NODUKO DE MEDIANA DENSIDAD DE MARGENES CIRCUNSCRITOS NO PALPABLES EN MAMA IZQUIERDA BIRADS 0</t>
  </si>
  <si>
    <t>ECOGRAFIA DE MAMAS+ MAMAOGRAFIA ANUAL</t>
  </si>
  <si>
    <t>CHILET INOCENTE MARLENI NANCY</t>
  </si>
  <si>
    <t>URB.EL CARMEN-CALLE SANTA ANA  MZ U LOT 7</t>
  </si>
  <si>
    <t>MAMAS CON SECTORES DISPERSOS DE DENSIDAD FIBROGLANDULAR ACR TIPO B, CALCIFICACIONES TIPICAMENTE BENIGNAS EN AMBAS MAMAS- BIRADS 2</t>
  </si>
  <si>
    <t>RAMOS RODRIGUEZ CHAVELA RPGELIA</t>
  </si>
  <si>
    <t>M K - L 03 ASOC. DE VIV. EL PARAISO DE TUPAC</t>
  </si>
  <si>
    <t>ESPIRITU LOAYZA RUTH MARIELA</t>
  </si>
  <si>
    <t>VIÑA DEL  MZ C LOT 18 EL SOCORRO</t>
  </si>
  <si>
    <t>CALCIFICACION DE ASPECTO BENIGNO EN AMMA DERECHA .BIRADS 2</t>
  </si>
  <si>
    <t>BAUTISTA CARRASCO  MARIBEL DELIA</t>
  </si>
  <si>
    <t>AV SAN CARLOS NORTE S/N - PALPA</t>
  </si>
  <si>
    <t>NICHO GARCES ELIANA LISBETH</t>
  </si>
  <si>
    <t>AV LIBETAD 1631 ZAPATA</t>
  </si>
  <si>
    <t xml:space="preserve">MICROCALCIFCACIONE SPUNTIFORMES AGRUPADAS EN MAMA IZQUIERDA SE SUGIERE CONTROL </t>
  </si>
  <si>
    <t>ADAN RAMOS MARIA ROSA</t>
  </si>
  <si>
    <t>AV MERCEDES INDACOCHEA 884</t>
  </si>
  <si>
    <t>MAMAS HETEROGENEA MENTE DENSAS - BIRADS 0</t>
  </si>
  <si>
    <t>SANCHEZ VENTURA NOEMI ROCIO</t>
  </si>
  <si>
    <t xml:space="preserve">LOS ANTURALES A-13 SAN ISIDRO </t>
  </si>
  <si>
    <t>MARTINEZ QUICHE CARMEN ROSA</t>
  </si>
  <si>
    <t>JR LIMA 155 SAN LORENZO</t>
  </si>
  <si>
    <t xml:space="preserve">HERMANA MARTINEZ QUICHE ISABEL </t>
  </si>
  <si>
    <t>GUEVARA PALACIOS MILAGROS ARACELI</t>
  </si>
  <si>
    <t>CALLE ANDRES DE LOS  REYES MZ D LOT 9  URB LAN CHON KIM</t>
  </si>
  <si>
    <t>CHAVEZ HUERTAS JANET VICTORIA</t>
  </si>
  <si>
    <t>IRRIGACION SANTA ROSA EL AHORCADO</t>
  </si>
  <si>
    <t>P.S. EL AHORCADO</t>
  </si>
  <si>
    <t>CALCIFICACION DE ASPECTO BENIGNO EN MAMA IZQUEIRDA</t>
  </si>
  <si>
    <t>VILLARREAL VASQUEZ IRMA YOLANDA</t>
  </si>
  <si>
    <t>PROLG FIMAGAÑÑY  1212</t>
  </si>
  <si>
    <t>O6839485</t>
  </si>
  <si>
    <t>VELA VELA VICTORIA LEONOR</t>
  </si>
  <si>
    <t>PSJ TACNA 122</t>
  </si>
  <si>
    <t>TEJIDO MAMARIO HOMOGENEO EN AMBAS REGIONES AXILARES, SIN VISUALIZACION DE LESIONES POR ESTE
METODO.
RESTO DE LA MAMOGRAFÍA BILATERAL DENTRO DE LÍMITES NORMALES.
BI-RADS: 1</t>
  </si>
  <si>
    <t>LANDAS SANDOVAL MARIA ELENA</t>
  </si>
  <si>
    <t>AV LOS SAUCES  SIN III ETAPA DEL TREBOL</t>
  </si>
  <si>
    <t>MORA REYES ANA ISABEL</t>
  </si>
  <si>
    <t>SAN MARTIN PASA OTO  INT 1</t>
  </si>
  <si>
    <t>CALCIFCACION DE ASPECTO BENIGNO BIRADS 2</t>
  </si>
  <si>
    <t>DURAND TARAZONA CIRILA LORENZA</t>
  </si>
  <si>
    <t>IRRIGACION SANTA ROSA 16 D EENERO  TIWINZA</t>
  </si>
  <si>
    <t xml:space="preserve">MAMAS HETEROGENEAMENTE DENSAS </t>
  </si>
  <si>
    <t xml:space="preserve">ECOGRAFIA DE MAMAS . </t>
  </si>
  <si>
    <t>OYOLA LA ROSA EVELYN ANILU</t>
  </si>
  <si>
    <t>AV.28 DE JULIO S/N</t>
  </si>
  <si>
    <t>PEREZ REDONDO MARIA ELENA</t>
  </si>
  <si>
    <t>MERCEDES INSACOCHEA 6055 INT 425</t>
  </si>
  <si>
    <t>17/02/2025 ESPOSO JUAN POZO SOLANO</t>
  </si>
  <si>
    <t>PX 05-3-26</t>
  </si>
  <si>
    <t>O4030578</t>
  </si>
  <si>
    <t>MATEO  LOPEZ MARIBEL DORIS</t>
  </si>
  <si>
    <t>AV LIBERTAD CUADRA 8S/N</t>
  </si>
  <si>
    <t>23/023/2026</t>
  </si>
  <si>
    <t>PX 23-2-26</t>
  </si>
  <si>
    <t>LLONTOP SALAS VERONICA</t>
  </si>
  <si>
    <t>CALLE BOLOGNESI 173INT 3</t>
  </si>
  <si>
    <t>CAMBIOS POST-QUIRURGICOS DE LA MAMA DERECHA, SIN SIGNOS DE RECURRENCIA LOCORREGIONAL
RESTO DE LA MAMOGRAFÍA BILATERAL DENTRO DE LÍMITES NORMALES.
BI-RADS: 2</t>
  </si>
  <si>
    <t>PIEDRA HUERTO IRMA</t>
  </si>
  <si>
    <t>AAHH HUMILDA Y PACIENCIA S/N</t>
  </si>
  <si>
    <t>ANTAURCO RIVERA MONICA LUZ</t>
  </si>
  <si>
    <t>SAN MARCOS UNIDOS E1 LT 17</t>
  </si>
  <si>
    <t>MUÑOZ GONZALES DESSIRE</t>
  </si>
  <si>
    <t>CALLE FLOR DE LA HUAQUILLA 242 PSJE VENEGAS S/N</t>
  </si>
  <si>
    <t>DIAZ DIAZ ROSARIO MILAGROS</t>
  </si>
  <si>
    <t>AREQUIPA 181</t>
  </si>
  <si>
    <t>MORALES MOLINA MILAGRO AGUSTINA</t>
  </si>
  <si>
    <t>PSJE BENEDICTO 110 HUACHO</t>
  </si>
  <si>
    <t xml:space="preserve">CALCIFICACION DE ASPECTO BENIGNO EN MAMA IZQUIERDA
RESTO DE LA MAMOGRAFÍA BILATERAL DENTRO DE LÍMITES NORMALES.
BI-RADS: 2
</t>
  </si>
  <si>
    <t>PX16/03/2026</t>
  </si>
  <si>
    <t>SANCHEZ ESPINOZA CARMEN PAULA</t>
  </si>
  <si>
    <t xml:space="preserve">AV.DANIEL ALCIDES CARRION MZ J NRO.53 UB BUENOS AIRES </t>
  </si>
  <si>
    <t xml:space="preserve">CASTAÑEDA CHINGA ANGELICA </t>
  </si>
  <si>
    <t>TUPAC AMARU NRO.431</t>
  </si>
  <si>
    <t>904 974 808</t>
  </si>
  <si>
    <t>CAMBIOS POST-QUIRURGICOS DE LA MAMA IZQUIERDA SIN SIGNOS DE RECURRENCIA LOCORREGIONAL
GRUESA CALCIFICACION A NIVEL DEL LECHO QUIRURGICO.
MAMAS HETEROGÉNEAMENTE DENSAS, SE SUGIERE COMPLEMENTAR CON ECOGRAFÍA POR DENSIDAD MAMARIA.
BI-RADS: 2</t>
  </si>
  <si>
    <t>CERRON REY KARLA DEL ROSARIO</t>
  </si>
  <si>
    <t>AV.CAHUAS 681</t>
  </si>
  <si>
    <t>LUIS OLIVARES LUCILA JOVINA</t>
  </si>
  <si>
    <t>URB EL SOCORRO CALLE TUPAC AMARU  302</t>
  </si>
  <si>
    <t>CALCIFICACIONES DE ASPECTO BENIGNO.
RESTO DE LA MAMOGRAFÍA BILATERAL DENTRO DE LÍMITES NORMALES.
BI-RADS: 2</t>
  </si>
  <si>
    <t>13/03/2026 NUERA PAMELA ROMERO  CHUQUILLAURI</t>
  </si>
  <si>
    <t>CHAVARRIA LEYVA RUTH</t>
  </si>
  <si>
    <t>AA HH SAN MARTIN I</t>
  </si>
  <si>
    <t>P.S. PAMPA LIBRE</t>
  </si>
  <si>
    <t xml:space="preserve">FONSECA  CALDERON RUTH </t>
  </si>
  <si>
    <t>AA HH SAN MARTIN</t>
  </si>
  <si>
    <t>CALDERON CAMPOS AURELIA</t>
  </si>
  <si>
    <t>LOS CIPRECESLAS GARDENIAS MZ N LOT 31 CIPRECES</t>
  </si>
  <si>
    <t>DENTRO D ELIMITES NORMALES- BIRADS 1</t>
  </si>
  <si>
    <t>COLLANTES ESPINOZA AUDONE</t>
  </si>
  <si>
    <t>CALLE TARAPACA 271 VEGUETA</t>
  </si>
  <si>
    <t>MAMAS HETEROGÉNEAMENTE DENSAS, SE SUGIERE COMPLEMENTAR CON ECOGRAFÍA POR DENSIDAD MAMARIA.
BI-RADS: 0</t>
  </si>
  <si>
    <t>PIEDRA HUERTO MONICA BEATRIZ</t>
  </si>
  <si>
    <t>CAÑLLE GARDENIAS MZ A LOT 3 LURIAMA</t>
  </si>
  <si>
    <t>CALDERON ALVARADO  RUFINA ADELAIDA</t>
  </si>
  <si>
    <t>ASOC VIVIENDA LAS AMERICAS MZC LT8</t>
  </si>
  <si>
    <t>TAFUR HERRERA DE CARHUAYANO ROSA</t>
  </si>
  <si>
    <t>C.P SANTA INES MZD LT12</t>
  </si>
  <si>
    <t>SANCHEZ GERONIMO SONIA</t>
  </si>
  <si>
    <t>CALLE COMERCIO S/N</t>
  </si>
  <si>
    <t>CHIRITO REY DIANA CAROLINA</t>
  </si>
  <si>
    <t>CALLE ASENCION 220</t>
  </si>
  <si>
    <t>SANCHEZ COLLA JUANA</t>
  </si>
  <si>
    <t>SAN BARTOLOME 2 ETAPA LAS CASUARINAS LT 5</t>
  </si>
  <si>
    <t>TEC MARY PATRICIO</t>
  </si>
  <si>
    <t>TARAZONA AVILA ESTELA SALESSIANA</t>
  </si>
  <si>
    <t xml:space="preserve">C.P MACARENA S/N </t>
  </si>
  <si>
    <t>P.S. CERRO LA CULEBRA</t>
  </si>
  <si>
    <t>03/03/2026 WATSHAPP</t>
  </si>
  <si>
    <t>MORA LEON FLORESNILDA</t>
  </si>
  <si>
    <t>MARIANO MELGAR 191</t>
  </si>
  <si>
    <t>CALCIFICACIONES VASCULARES DE ASPECTO BENIGNO EN AMBAS MAMAS.
RESTO DE LA MAMOGRAFÍA BILATERAL DENTRO DE LÍMITES NORMALES.
BI-RADS: 2</t>
  </si>
  <si>
    <t>GARCIA MORALES ISABEL CASANDRA</t>
  </si>
  <si>
    <t>TIERRA PROMETIDA MZ A LOT 5</t>
  </si>
  <si>
    <t>HUATAL</t>
  </si>
  <si>
    <t>CHAVEZ ALBERCA VERONICA ENCARNACION</t>
  </si>
  <si>
    <t>AV EL ROSARIO MZ B LT9 CP SAN LUIS AUCALLAMA</t>
  </si>
  <si>
    <t>OPACIDADES NODULARES EN AMBAS MAMAS, E SUGIERE ESTUDIO ECOGRAFICO PARA MEJOR CARACTERIZACION
RESTO DE LA MAMOGRAFÍA BILATERAL DENTRO DE LÍMITES NORMALES.
BI-RADS: 3</t>
  </si>
  <si>
    <t>SIPAN ROMERO MARISOL YAQUELINE</t>
  </si>
  <si>
    <t>AV LINO S/N</t>
  </si>
  <si>
    <t>BARRANCA</t>
  </si>
  <si>
    <t>OPACIDAD NODULAR EN MAMA IZQUIERDA, SE SUGIERE ESTUDIO ECOGRAFICO PARA MEJOR CARACTERIZACION.
RESTO DE AMBAS MAMAS HETEROGÉNEAMENTE DENSAS, SE SUGIERE COMPLEMENTAR CON ECOGRAFÍA POR
DENSIDAD MAMARIA.
BI-RADS: 3</t>
  </si>
  <si>
    <t>CONDO DE RIOS HERMELINDA ZENOBIA</t>
  </si>
  <si>
    <t>HACIENDA LAMIRAYA S/N</t>
  </si>
  <si>
    <t xml:space="preserve">LISET PATOLOGIA </t>
  </si>
  <si>
    <t>LEANDRO DAMIAN IRMA ESTELA</t>
  </si>
  <si>
    <t>PEDRO RUIZ GALLO</t>
  </si>
  <si>
    <t xml:space="preserve">HUACHO </t>
  </si>
  <si>
    <t>MEJICO CARLOS  TARCILA HEMRINIA</t>
  </si>
  <si>
    <t>CALLE LOS  JAZMINES 15 SAN BARTOLOME II ETAPA</t>
  </si>
  <si>
    <t>CALCIFIACIONES DE ASPECTO BENGINO EN MAMA DERECHA.
RESTO DE LA MAMOGRAFÍA BILATERAL DENTRO DE LÍMITES NORMALES.
BI-RADS: 2</t>
  </si>
  <si>
    <t>QUIROZ LAZARO  FELICITA</t>
  </si>
  <si>
    <t>IRRE SAN FELIPE</t>
  </si>
  <si>
    <t>MAMOGRAFIA DENTRO DE LIMITES NORMALES</t>
  </si>
  <si>
    <t>PEREZ VARGAS BEATRIZ</t>
  </si>
  <si>
    <t>LAS VEGAS A-1</t>
  </si>
  <si>
    <t>HUANCAS  TABOADA TERESITA MARIBEL</t>
  </si>
  <si>
    <t>TUPAC AMARU 299</t>
  </si>
  <si>
    <t>ARROYO HUANCAS ROSA MAGALY</t>
  </si>
  <si>
    <t>TUPAC AMARU 301</t>
  </si>
  <si>
    <t>PIEDRA HUERTO ELADIA</t>
  </si>
  <si>
    <t xml:space="preserve">CP  HUMILDAD Y PACIENCIA </t>
  </si>
  <si>
    <t>BORJA ATENCIO NETTY</t>
  </si>
  <si>
    <t>PJE LOS HUACOS 133</t>
  </si>
  <si>
    <t>MICROCALCIFICACIONES PUNTIFORMES DISPERSAS DE APSECTO BENIGNO EN MAMA DERECHA.
AMBAS MAMAS HETEROGÉNEAMENTE DENSAS, SE SUGIERE COMPLEMENTAR CON ECOGRAFÍA POR DENSIDAD
MAMARIA.
BI-RADS: 2</t>
  </si>
  <si>
    <t>HUAMAN BENITES MIRTHA ROSARIO</t>
  </si>
  <si>
    <t>LA HUAQUILLA 572</t>
  </si>
  <si>
    <t>HUARAC ESPINOZA ELIA</t>
  </si>
  <si>
    <t>VEGUET</t>
  </si>
  <si>
    <t xml:space="preserve">CABRERABAUTISTA CECILIA </t>
  </si>
  <si>
    <t>FLORES JAIMES ELIDA</t>
  </si>
  <si>
    <t>OBESO VASQUEZ LUCINDA ROSARIO</t>
  </si>
  <si>
    <t>SEÑOR DELOS M,ILAGROS K-9</t>
  </si>
  <si>
    <t>CABREL ESTUPIÑAN DE LA ROSA JUANA</t>
  </si>
  <si>
    <t>AV. EL MILAGRO 793 INTERIOR 3</t>
  </si>
  <si>
    <t>PX 23/03/2026</t>
  </si>
  <si>
    <t>LOARTE SANCHEZ DE GUARDIA ESTHER LUZMILA</t>
  </si>
  <si>
    <t xml:space="preserve">ASENT H SANTA ROSA MZ H LOTE 3 </t>
  </si>
  <si>
    <t>PNDT ENTREGA</t>
  </si>
  <si>
    <t>CHIROQUE YPANAQUE DE HUAYTA ROSA ISABEL</t>
  </si>
  <si>
    <t>PASJE SAN PABLO S/N</t>
  </si>
  <si>
    <t>BERNAL LINO ELSA ELISA</t>
  </si>
  <si>
    <t>AV 28 DE JULIO 955</t>
  </si>
  <si>
    <t>CHUJANDAMA AREVALO SUSANA</t>
  </si>
  <si>
    <t>AV TUPAC AMARU 106</t>
  </si>
  <si>
    <t>RIVERA JUSTIANO NANCY</t>
  </si>
  <si>
    <t>PSJE MIGUEL ANGEL INTERIOR 128</t>
  </si>
  <si>
    <t>CISNEROS CHOQUEHUANCA AURORA</t>
  </si>
  <si>
    <t>AV. GARCILAZO DE LA VEGA 820</t>
  </si>
  <si>
    <t xml:space="preserve">VEGA SOLANO ELIZABETH </t>
  </si>
  <si>
    <t xml:space="preserve">SANTA ROSALIA S/N </t>
  </si>
  <si>
    <t>MEJIA PEREZ JESSICA GIOVANNA</t>
  </si>
  <si>
    <t>AV. MERCEDES INDACOCHEA 605</t>
  </si>
  <si>
    <t>LAGUNA PINEDO ADVINCULA</t>
  </si>
  <si>
    <t>AS. NUEVO SAN PEDRO S/N</t>
  </si>
  <si>
    <t>PX11-3-26</t>
  </si>
  <si>
    <t>ESPINOZA ROBLES MIRIAM GRISELDA</t>
  </si>
  <si>
    <t>AV. HUALMAY S/N LOTE 10</t>
  </si>
  <si>
    <t>OPACIDADES NODULARES EN MAMA IZQUIERDA, SE SUGIERE ESTUDIO ECOGRAFICO PARA MEJOR
CARACTERIZACION
RESTO DE AMBAS MAMAS HETEROGÉNEAMENTE DENSAS, SE SUGIERE COMPLEMENTAR CON ECOGRAFÍA POR
DENSIDAD MAMARIA.
BI-RADS: 3</t>
  </si>
  <si>
    <t>HUANE BRONCANO ROMULA SALUSTIA</t>
  </si>
  <si>
    <t>PSJE SAN MARTIN 196</t>
  </si>
  <si>
    <t>ROJAS PICHILINGUE FLOR IRENE</t>
  </si>
  <si>
    <t>PSJE ROMERO 130</t>
  </si>
  <si>
    <t>PX 05/03/2026</t>
  </si>
  <si>
    <t>GAMARRA QUINTEROS SARA PRICILA</t>
  </si>
  <si>
    <t>CALLE, CAMINO REAL A -3</t>
  </si>
  <si>
    <t>PX 13/03/202 6</t>
  </si>
  <si>
    <t>CUADROS BOCANEGRA CELESTINA</t>
  </si>
  <si>
    <t>CAP LLANCAS HUANDO S/N</t>
  </si>
  <si>
    <t>P.S LA PERLA</t>
  </si>
  <si>
    <t>ARGANDOÑA ANDRADE ANDREA NOELIA</t>
  </si>
  <si>
    <t>ASOC. ALFA Y OMEGA A 19</t>
  </si>
  <si>
    <t>ANTON COCA LUISA ANDREA</t>
  </si>
  <si>
    <t xml:space="preserve">AV. AMAZONAS LOTE 8 </t>
  </si>
  <si>
    <t>PX 010/03/2026</t>
  </si>
  <si>
    <t>VENTOCILLA LEON TEOFILA LILIANA</t>
  </si>
  <si>
    <t>AV. BARTOLOME PEREZ S/N</t>
  </si>
  <si>
    <t>VALENCIA COLAN BALTAZARA TEODORA</t>
  </si>
  <si>
    <t>PASAJE BELEN 141</t>
  </si>
  <si>
    <t>VALENCIA COLAN JESSICA MERCES</t>
  </si>
  <si>
    <t>TRES PALMERAS S/N</t>
  </si>
  <si>
    <t xml:space="preserve">MITACC HUAMAN DE RODRIGUEZ MAXIMINA </t>
  </si>
  <si>
    <t>CP. SAN GRACIANO MZ B LOTE 6</t>
  </si>
  <si>
    <t>NONATO CARRERA ANA MELVA</t>
  </si>
  <si>
    <t xml:space="preserve">AV CENTENARIO 425 </t>
  </si>
  <si>
    <t>MATOS CALDERON JULIA CARMEN</t>
  </si>
  <si>
    <t>IRRIGACION SNATA ROSA</t>
  </si>
  <si>
    <t xml:space="preserve">ENF </t>
  </si>
  <si>
    <t>VIDAL SALVADOR RITA BEATRIZ</t>
  </si>
  <si>
    <t>C.P ALIE CAMPESINO SN</t>
  </si>
  <si>
    <t>OBISPO IPARRAGUIRRE ELBA DELIA</t>
  </si>
  <si>
    <t>PROLOG. SAN MARTIN S/N</t>
  </si>
  <si>
    <t>ENTREGA DE RESULTDO A APCIENTE</t>
  </si>
  <si>
    <t>VICTORIO ZUÑIGA PILCA ISELA</t>
  </si>
  <si>
    <t>CALLE SAN MARTIN DE PORRES 606</t>
  </si>
  <si>
    <t>ARDIAN REYES JUANA NOEMI</t>
  </si>
  <si>
    <t>AV. LIBERTAD S/N</t>
  </si>
  <si>
    <t>CABELLO QUITO BEATRIZ JUANA</t>
  </si>
  <si>
    <t>PRIMERA AMPLIACION SECTOR 4 MZ B LOTE 1</t>
  </si>
  <si>
    <t>CALCIFICACIONES DE ASPECTO BENIGNO EN MAMA DERECHA.
RESTO DE LA MAMOGRAFÍA BILATERAL DENTRO DE LÍMITES NORMALES.
BI-RADS: 2</t>
  </si>
  <si>
    <t>ASENCIO ORTEGA TEODONIRA MARCELINA</t>
  </si>
  <si>
    <t>CARQUIN BAJO S/N</t>
  </si>
  <si>
    <t>BELTRAN RAMOS DEYSSY FRESSIA</t>
  </si>
  <si>
    <t xml:space="preserve">CALLE JOSE OLAYA 149 </t>
  </si>
  <si>
    <t xml:space="preserve">CARQUIN </t>
  </si>
  <si>
    <t>LUCAS JIMENEZ OLIMPIA</t>
  </si>
  <si>
    <t>CERRO CEJETUTO S/N</t>
  </si>
  <si>
    <t>VIRU HERMEGILDO ROSA ELENA</t>
  </si>
  <si>
    <t>SAN ISIDRO 222</t>
  </si>
  <si>
    <t>Mama izquierda heterogéneamente densa
Calcificaciones de aspecto benigno en mama izquierda</t>
  </si>
  <si>
    <t>PX 12/03/2026</t>
  </si>
  <si>
    <t>PEREZ MENDOZA MARIA LAURA</t>
  </si>
  <si>
    <t>CALLE. PEDRO CUENCA S/N</t>
  </si>
  <si>
    <t>LUNA PEREZ RINA PAMELA</t>
  </si>
  <si>
    <t>PROGRESO MZ G LOTE 5</t>
  </si>
  <si>
    <t>CHUJANDAMA AREVALO PATRICIA</t>
  </si>
  <si>
    <t>CALL. SAN BARTOLOME SEGUNDA ETAPA MZ B LOTE 5</t>
  </si>
  <si>
    <t>HNA 09/03/2026</t>
  </si>
  <si>
    <t>FLORES SAENZ JULIANA EUGENIA</t>
  </si>
  <si>
    <t>AV. SAN MARTIN 1100</t>
  </si>
  <si>
    <t>FLORES SAENZ NAZARIA</t>
  </si>
  <si>
    <t>AV. SAN MARTIN 1106</t>
  </si>
  <si>
    <t>ESTUPIÑAN LEON GALDYS</t>
  </si>
  <si>
    <t>AV. LIBERTAD 1780</t>
  </si>
  <si>
    <t>PIZARRO COLAN MARILYN JENIFER</t>
  </si>
  <si>
    <t>PSJE BELEN 141</t>
  </si>
  <si>
    <t>MENA BONIFAZ VIVIANA ELENA</t>
  </si>
  <si>
    <t xml:space="preserve">OCAÑA ESPINOZA LUZ MARIA </t>
  </si>
  <si>
    <t>URB. SAN DIEGO MZ B LOTE 16</t>
  </si>
  <si>
    <t>SAN MARTIN DE PORRES</t>
  </si>
  <si>
    <t>Mamas heterogéneamente densas
Calcificaciones de aspecto benigno en mama derecha</t>
  </si>
  <si>
    <t>OCAÑA ESPINOZA, EDITH ZORAIDA</t>
  </si>
  <si>
    <t>CALLE CORDOVA 184</t>
  </si>
  <si>
    <t>REQUENA ESPINOZA ELIDA UREA</t>
  </si>
  <si>
    <t>AHH. ALBERTO FUJIMORI SECT A G 4 LOTE 4</t>
  </si>
  <si>
    <t>SALVADOR ALVARADO YESICA GERALDINE</t>
  </si>
  <si>
    <t>LOS CIPRECES MZ A LOTE 4</t>
  </si>
  <si>
    <t>BRUNO DE LA CRUZ MARLENI YOVANA</t>
  </si>
  <si>
    <t>VALVERDE ALVA JACQUELINE GERALDINE</t>
  </si>
  <si>
    <t>PSJE SAN CFO MZ B LOTE 2</t>
  </si>
  <si>
    <t>26/0272026</t>
  </si>
  <si>
    <t xml:space="preserve">Mamas heterogéneamente densas 
</t>
  </si>
  <si>
    <t>CASTILLO SUDARIO JULIA</t>
  </si>
  <si>
    <t>CALLE VICTOR RAUL D15</t>
  </si>
  <si>
    <t>Mamografía bilateral sin signos que sugieran malignidad
Calcificaciones gruesas de aspecto benigno dispersas en ambas mamas</t>
  </si>
  <si>
    <t>SUSANIBAR WAY CARMEN GUISSELLA</t>
  </si>
  <si>
    <t>JR. JOSE OLAYA 192 B</t>
  </si>
  <si>
    <t>Mamas heterogéneamente densas
Impresiona asimetria focal a nivel del plano posterior de cuadrante superior externo de mama derecha</t>
  </si>
  <si>
    <t>GUERRERO CANEVARIO MYRIAM MELVA</t>
  </si>
  <si>
    <t>C.P QUEPEPAMPA C LOTE 7</t>
  </si>
  <si>
    <t>Impresiona asimetría focal a nivel de plano medio de unión de cuadrantes superiores de mama derecha asociado
a probable interposición de tejido fibroglandular</t>
  </si>
  <si>
    <t>MARTINEZ VEGA ELIANA NANCY</t>
  </si>
  <si>
    <t>PROLONG. SAN MARTIN 627</t>
  </si>
  <si>
    <t>ALBARRACIN CANALES MIRTHA ELLEN</t>
  </si>
  <si>
    <t>CENTRO POBLADO LA MAQUINA</t>
  </si>
  <si>
    <t>CHAGRAY DE LA CRUZ KARIN NENITH</t>
  </si>
  <si>
    <t>PSJE MACNAMARA 254</t>
  </si>
  <si>
    <t>BALAVARCA HUERTA AUREA ALMIRA</t>
  </si>
  <si>
    <t xml:space="preserve">CP  SAN JUAN BAUTISTA </t>
  </si>
  <si>
    <t>Mamas heterogéneamente densas
Impresiona imágenes nodulares ovaladas radiodensas dispersas en ambas mamas</t>
  </si>
  <si>
    <t>TORRES PANANA ERIKA ISABEL</t>
  </si>
  <si>
    <t xml:space="preserve">CALLE ANCASH SAN JUAN I </t>
  </si>
  <si>
    <t>Mamas heterogéneamente densas
Calcificaciones puntiformes redondeadas dispersas en mama izquierda</t>
  </si>
  <si>
    <t>LUIS OLIVARES MERCES LUCIA</t>
  </si>
  <si>
    <t xml:space="preserve">SALVADOR ARDIAN NELLY </t>
  </si>
  <si>
    <t xml:space="preserve">PSAJE LA POPULAR 114 </t>
  </si>
  <si>
    <t>Mamas heterogéneamente densas
Impresiona imágenes nodulares de aspecto benigno dispersas en mama derecha
Calcificaciones de aspecto benigno en ambas mamas</t>
  </si>
  <si>
    <t>MORA RODRIGUEZ LIBIANA CRISELDA</t>
  </si>
  <si>
    <t>EL PARAISO SN</t>
  </si>
  <si>
    <t>VALERIO ROSAS DE ALANYA OLIVIA</t>
  </si>
  <si>
    <t>AV. PRIMERO MAYO 220</t>
  </si>
  <si>
    <t>MENDOZA LOPEZ AGAPITA ABRAHAMA</t>
  </si>
  <si>
    <t>CALLE 16 DE ENERO TIWUINSO S/N (AHORCADO)</t>
  </si>
  <si>
    <t>OBST DANIVIA CASTAÑEDA</t>
  </si>
  <si>
    <t>GERVACIO CORONADO ELSA</t>
  </si>
  <si>
    <t>PROLONGACION SANTA ROSA 985</t>
  </si>
  <si>
    <t>SOLORZANO CORONADO SANDRA LUZ</t>
  </si>
  <si>
    <t>CALLE LOS PINO S/N</t>
  </si>
  <si>
    <t>Mamas heterogéneamente densas
Calcificación gruesa de aspecto benigno en unión de cuadrantes interno de mama derecha</t>
  </si>
  <si>
    <t>EGUAVIL FLORECIN LUISA VIVIANA</t>
  </si>
  <si>
    <t xml:space="preserve">SAN JUAN I </t>
  </si>
  <si>
    <t>EGUAVIL FLORECIN VIRGINIA AMPARO</t>
  </si>
  <si>
    <t>C.P LAS VILLAS MZ B LOTE 10</t>
  </si>
  <si>
    <t>ARENAS CASAFRANCA MIRIAM</t>
  </si>
  <si>
    <t xml:space="preserve">AV. GRAU 170 </t>
  </si>
  <si>
    <t>Mamas heterogéneamente densa</t>
  </si>
  <si>
    <t xml:space="preserve">TARDE </t>
  </si>
  <si>
    <t>MELGAREJO PASTEN CINTHIA</t>
  </si>
  <si>
    <t>URB ALEJANDRO DELGADO MZ G LOTE 17</t>
  </si>
  <si>
    <t>PEREYRA MORALES MERCEDES NOEMI</t>
  </si>
  <si>
    <t>AV. CEFERINO RAMIREZ S/N</t>
  </si>
  <si>
    <t>PUMA ESTEBA GRACIELA EULALIA</t>
  </si>
  <si>
    <t>LLIANCAI S/N</t>
  </si>
  <si>
    <t xml:space="preserve">ATAVILLO </t>
  </si>
  <si>
    <t>CRIOLLO ALVARO MARIA EUGENIA</t>
  </si>
  <si>
    <t>AV. SAN MARTIN PSJE OTO S/N</t>
  </si>
  <si>
    <t>PX 20/03/2026</t>
  </si>
  <si>
    <t>C.P SAN JUAN BAUTISTA MZ B LOTE 7</t>
  </si>
  <si>
    <t>FLORES PEÑA ANA CECILIA</t>
  </si>
  <si>
    <t>AV. EL MILAGRO 224</t>
  </si>
  <si>
    <t>JIMENEZ HERRERA ELISA</t>
  </si>
  <si>
    <t xml:space="preserve">AV. FERROCARRIL MZ B LOTE 1 </t>
  </si>
  <si>
    <t>ATACHAGUA DIAZ LOURDES JENNY</t>
  </si>
  <si>
    <t>JIRON ANTONIO RAYMOINDI 563</t>
  </si>
  <si>
    <t xml:space="preserve">Mamas heterogéneamente densas
Impresiona imagen nodular de aspecto benigno a nivel de plano medio-posterior de unión de cuadrantes
superiores de mama izquierda
</t>
  </si>
  <si>
    <t>LUGO AGUIRRE ADELINA HERLINDA</t>
  </si>
  <si>
    <t>PASJE OTO S/</t>
  </si>
  <si>
    <t>Mamas heterogéneamente densas
Calcificación de aspecto benigno en cuadrante inferior interno de mama derecha
Impresiona anisomastia a predominio izquierdo</t>
  </si>
  <si>
    <t>RONDON MONTALVO SANTA BETTY</t>
  </si>
  <si>
    <t>PASAJE LOS LIRIOS MZ A LOTE 11</t>
  </si>
  <si>
    <t>ROQUE SANCHEZ AYDEE PETRONILA</t>
  </si>
  <si>
    <t>PSJE DIAZ LOTE 6</t>
  </si>
  <si>
    <t>Mamas heterogéneamente densas
Calcificaciones puntiformes redondeadas en mama derecha</t>
  </si>
  <si>
    <t>O7062272</t>
  </si>
  <si>
    <t>LINDO GRADOS JESUS DEL ROSARIO</t>
  </si>
  <si>
    <t>PSAJE DEMETRIO PEREZ S/N</t>
  </si>
  <si>
    <t>NARIO LEIVA MILAGRO MARGARITA</t>
  </si>
  <si>
    <t>AUGUSTO B LEGUIA S N</t>
  </si>
  <si>
    <t>FERRER LOPEZ REINA</t>
  </si>
  <si>
    <t>PARAISO S/N</t>
  </si>
  <si>
    <t>CARUAJULCA AGUILAR IRIS NATHALY</t>
  </si>
  <si>
    <t>AV MERCEDES INDACOCHEA 724</t>
  </si>
  <si>
    <t>Mamas heterogéneamente densas
Calcificación de aspecto benigno en cuadrante superior externo de mama izquierda</t>
  </si>
  <si>
    <t>MOZOMBITE ELIAS JANET DEL ROSARIO</t>
  </si>
  <si>
    <t>CP ACARAY</t>
  </si>
  <si>
    <t>TREBEJO VEGA JESSICA YASMIN</t>
  </si>
  <si>
    <t xml:space="preserve">PROLONGACION GRAU MZ 6 LOTE 9 </t>
  </si>
  <si>
    <t>SUSANIBAR PALACIN DE SILVA UCCIAS DELIA</t>
  </si>
  <si>
    <t>LAS GARDENIAS G-17</t>
  </si>
  <si>
    <t>Se sugiere ecografía complementaria de acuerdo al criterio clínico
Mamas con sectores dispersos de densidad fibroglandular (ACR tipo B)
Categoría BIRADS 1</t>
  </si>
  <si>
    <t>TEC ENF EVA ZAMORA</t>
  </si>
  <si>
    <t>LUNA ROMERO PASCUALA PAULINA</t>
  </si>
  <si>
    <t>URB EL CARMEN CALLE LA SPERLAS 121</t>
  </si>
  <si>
    <t>El estudio realizado muestra mamas densas sin evidenciar signos sospechosos de NM.
Categoría BIRADS 1.
Debe continuar con mamografía comparativa anual.</t>
  </si>
  <si>
    <t>12/03/20206</t>
  </si>
  <si>
    <t>OBST  MADELEYNE CHINGA</t>
  </si>
  <si>
    <t>ALOR MARTINEZ GIOVANA YULISSA</t>
  </si>
  <si>
    <t>DGO COLOMA 198</t>
  </si>
  <si>
    <t>Mamas constituidas por predominio del componente graso Patrón ACR - A
Categoría BIRADS 1</t>
  </si>
  <si>
    <t>RODRIGUEZ CHAVARRIA KARINA JANET</t>
  </si>
  <si>
    <t>PSJ 1ERO D EMAYO MZ B LOT 2</t>
  </si>
  <si>
    <t>EN MAMA IZQUIERDA, ASIMETRÍA FOCAL EN EL TERCIO MEDIO DEL CUADRANTE SUPERO-EXTERNO.</t>
  </si>
  <si>
    <t>VILLARREAL CAPILLO MARIA</t>
  </si>
  <si>
    <t>CALLE MICAEL BASTODAS B-14 SAN BATOLOME II ETAPA</t>
  </si>
  <si>
    <t>TEC FLOR BERROCAL</t>
  </si>
  <si>
    <t>FLORES ORENCIO  MARIBEL  EVELIA</t>
  </si>
  <si>
    <t>MANZANARES ASOC LA PLANICIE 4TA ETAPA MZ B LT 19</t>
  </si>
  <si>
    <t>O9740996</t>
  </si>
  <si>
    <t>BASADRE ZEGARRA ROSS ANGEL</t>
  </si>
  <si>
    <t>AV CINCUENTENARIO 573</t>
  </si>
  <si>
    <t>Mamas heterogéneamente densas
Impresiona imágenes nodulares ovaladas radiodensas en ambas mamas</t>
  </si>
  <si>
    <t>SILVA MANRIQUE ANA VIDELMINA</t>
  </si>
  <si>
    <t>AV 28 D EJULIO 1514</t>
  </si>
  <si>
    <t>Mamas extremadamente densas
Impresiona imagen nodular a nivel de plano posterior de cuadrante superior externo de mama derecha</t>
  </si>
  <si>
    <t>ESPEJO ABARCA DE BONINO FRANCIA ALINDA</t>
  </si>
  <si>
    <t>URB.LOS SAUCES A-11</t>
  </si>
  <si>
    <t>LINO LEON MERY  LUPE</t>
  </si>
  <si>
    <t xml:space="preserve">AV FCO BOLOGNESI SIN </t>
  </si>
  <si>
    <t>SANCHEZ CHINGA MIRIAN ROSAURA</t>
  </si>
  <si>
    <t>CALLE 28 D EJULIO MZ H LOT 3</t>
  </si>
  <si>
    <t>Mamas heterogéneamente densas. Patrón ACR - C.
Nódulo hiperdenso en CSE de mama izquierda que podría corresponder a quiste mamario (antecdente)
Categoría BIRADS 3</t>
  </si>
  <si>
    <t>O9919916</t>
  </si>
  <si>
    <t>CAYETANO ALEGRE ROSADIA</t>
  </si>
  <si>
    <t>AV. JORGE CHAVEZ S7N</t>
  </si>
  <si>
    <t>MAMOGRAFIA BILATERAL SIN HALLAZGOS QUE SUGIERAN MALIGNIDAD</t>
  </si>
  <si>
    <t>GAVEDIA SUSANIBAR JACKELINE</t>
  </si>
  <si>
    <t>LAS GARDENIAS C-17</t>
  </si>
  <si>
    <t>MAMOGRAFIA BILATERAL SIN HALLAZGOS QUE SUGIERAN MALIGNIDAD.</t>
  </si>
  <si>
    <t>LEON LEON CECILIA MAGALI</t>
  </si>
  <si>
    <t>AV INDEPENDENCIA 326</t>
  </si>
  <si>
    <t>MERA OYOLA YESSICA VANESSA</t>
  </si>
  <si>
    <t>PSJ SAN MARTIN 256</t>
  </si>
  <si>
    <t>MAMOGRAFIA BILATERAL SIN HALLAZGOS QUE SUGIERAN MALIGNIDAD. EN AMBAS MAMAS, CALCIFICACIONES BENIGNAS DISPERSAS.</t>
  </si>
  <si>
    <t>VIDAL REMIGIO  IDALIA MARIBBLE</t>
  </si>
  <si>
    <t>BARRIO UNION OBRERO 13</t>
  </si>
  <si>
    <t>CANO  SANCHEZ NATIVIDAD APOLONIA</t>
  </si>
  <si>
    <t>CP LOSMOLIVOS I-8</t>
  </si>
  <si>
    <t>HUIARAL</t>
  </si>
  <si>
    <t>ROJAS MOYA DEONICIA ADELINA</t>
  </si>
  <si>
    <t>PSJ LOS ALAMOS MZ C LOT 12 LOS OLIVOS</t>
  </si>
  <si>
    <t>EN MAMA IZQUIERDA, RETRACCIÓN DEL PEZÓN CON PROBABLE ECTASIA DUCTAL.</t>
  </si>
  <si>
    <t>DIAZ GARCIA FIORELLA ALCIA</t>
  </si>
  <si>
    <t>BOLOGNESI 299</t>
  </si>
  <si>
    <t>PX 019/03/2026</t>
  </si>
  <si>
    <t>POZO  SOLIS ROSA</t>
  </si>
  <si>
    <t>LA MURALLA A-1</t>
  </si>
  <si>
    <t>CONSUELO YAMUNAQUE</t>
  </si>
  <si>
    <t>COZ DAVILA HEYDI ANDREA</t>
  </si>
  <si>
    <t>ASC LA VILLA SAN BARTOLOME FUJIMORI</t>
  </si>
  <si>
    <t>BRICEÑO VIDAL  HAYDEE OLGA</t>
  </si>
  <si>
    <t>LA VILLA Q-3-1 MEDIO MUNDO</t>
  </si>
  <si>
    <t>OCHOA CHILENO LUPE ELIZABETH</t>
  </si>
  <si>
    <t>AV BARTOLOME PEREZ  S/N</t>
  </si>
  <si>
    <t>TRINIDAD CORPUS NOYMITA SANDRA</t>
  </si>
  <si>
    <t>AGUA DULCE B-1 LOT 9</t>
  </si>
  <si>
    <t>SALVADOR OSTOS TULA ROSARIO</t>
  </si>
  <si>
    <t>URB LAS PALMAS MZK LOT 14</t>
  </si>
  <si>
    <t>BALABARCA GAMARRA BEATRIZ VERONICA</t>
  </si>
  <si>
    <t>CP SAN JUAN BAUTISTA MZ D LOT11</t>
  </si>
  <si>
    <t>PAREDES FALCON LUZ AURORA</t>
  </si>
  <si>
    <t>CP LA MILAGROSA LOT 7</t>
  </si>
  <si>
    <t>EN MAMA DERECHA, ASIMETRÍA EN EL TERCIO ANTERIOR DEL CUADRANTE EXTERNO PERIAREOLAR.</t>
  </si>
  <si>
    <t>PX 123/03/2026</t>
  </si>
  <si>
    <t>ANICETO REMIGIO EDITH</t>
  </si>
  <si>
    <t xml:space="preserve">BELLA VSTA </t>
  </si>
  <si>
    <t>EN MAMA DERECHA, ASIMETRÍA EN EL CUADRANTE SUPERIOR, PROBABLEMENTE GLANDULAR.</t>
  </si>
  <si>
    <t>OBST SONIA VALENZUELA</t>
  </si>
  <si>
    <t>CASTILLO  SAMANAMUD CONSUELO  ELIZABETH</t>
  </si>
  <si>
    <t xml:space="preserve">calle ramon castilla 283 PRIMAVERA </t>
  </si>
  <si>
    <t>VEGEUTA</t>
  </si>
  <si>
    <t>CADILLO GIRON LESLIE NATHALI</t>
  </si>
  <si>
    <t>ASV HAYA DE LA TORRE MZ.O LT.20 -</t>
  </si>
  <si>
    <t>CRISPIN ESPINOZA ESMERALDA LILI</t>
  </si>
  <si>
    <t>ICTOR RAMIREZ HORNA MZ J LOT 10 ANDAHUASI</t>
  </si>
  <si>
    <t>BERNARDO GONZALES LUZ CELESTE</t>
  </si>
  <si>
    <t>PSJ MIRSFLORES MZC OT 5 SAN BARTOLOME III ETAPA</t>
  </si>
  <si>
    <t>EN MAMA DERECHA, ASIMETRÍA FOCAL EN EL CUADRANTE SUPERO-INTERNO</t>
  </si>
  <si>
    <t>COLLANTES GARCIA BERTHA CONCEPCION</t>
  </si>
  <si>
    <t xml:space="preserve">CALLE INDEPENDENCIA S/N </t>
  </si>
  <si>
    <t>MAMOGRAFIA BILATERAL SIN HALLAZGOS QUE SUGIERAN MALIGNIDAD. (CATEGORÍA BI-RADS 1*).</t>
  </si>
  <si>
    <t>VARGAS SANCHEZ ELIZABETH YOLANDA</t>
  </si>
  <si>
    <t>CALLE LAS FLORES 184 INT7</t>
  </si>
  <si>
    <t>Mamas con sectores dispersos de densidad fibroglandular (ACR tipo B)
Asimetría de densidad retroareolar en mama derecha
Categoría BIRADS 3 .</t>
  </si>
  <si>
    <t>TRUJILLO HUERTA IRMA GIOVANA</t>
  </si>
  <si>
    <t>AV LAS BEGONIAS A-12</t>
  </si>
  <si>
    <t>Mamas heterogéneamente densas. Patrón ACR - C.
Patrón tubular y micronodular que pudiera corresponder a proceso fibroquístico (antecedente de quistes)
Categoría BIRADS 0</t>
  </si>
  <si>
    <t>ARDIAN FERNANDEZ ROSARIO DEL PILAR</t>
  </si>
  <si>
    <t>CALLE ANCASH A 14 LA ESPERANZA</t>
  </si>
  <si>
    <t xml:space="preserve">El estudio realizado muestra mamas heterogéneamente densas sin evidenciar signos sospechosos de NM.
Calcificaciones vasculares típicamente benignas en mamas
Categoría BIRADS 2.
</t>
  </si>
  <si>
    <t>GIORDANO  PAJUELO  MAGALY</t>
  </si>
  <si>
    <t>URB LAS BRISAS AV UNION A-2</t>
  </si>
  <si>
    <t>ARROYO  HUANCAS JESSICA MILAGROS</t>
  </si>
  <si>
    <t>AV RTUPAC AMARU 299</t>
  </si>
  <si>
    <t>TADEO SORIANO DE LINDO IRIS</t>
  </si>
  <si>
    <t>URB LOS CIPRECES MZ H LOT3</t>
  </si>
  <si>
    <t>Mamas heterogéneamente densas. Patrón ACR - C.
Patrón tubular y micro nodular asocia asimetría de densidad en CSE de mama derecha que podría corresponder a
proceso fibroquístico
Categoría BIRADS 0</t>
  </si>
  <si>
    <t>ABRIOJO  PALLEZA SILVIA</t>
  </si>
  <si>
    <t>URB MANZNARES MZ H LOT 1</t>
  </si>
  <si>
    <t>CHAVEZ AGURTO MIELA VICTORIA</t>
  </si>
  <si>
    <t>URB LOS CIPRECES MZ 8 LOT 5</t>
  </si>
  <si>
    <t>ALIGA MARTEL HELEN EMPERATRIZ</t>
  </si>
  <si>
    <t>CP SAN JOSE SN</t>
  </si>
  <si>
    <t>Mamas heterogéneamente densas. Patrón ACR - C.
Mamas accesorias en región axilar bilateral
Categoría BIRADS 0</t>
  </si>
  <si>
    <t>ROQUE SALAZAR ELENITA TEODORA</t>
  </si>
  <si>
    <t>LA VILLA MZ H LOT 1</t>
  </si>
  <si>
    <t>VARGAS MARGARITO FANNI MARISOL</t>
  </si>
  <si>
    <t>CHACRA Y MAR MZ E-B LOT 10  C.P. PASAMAYO</t>
  </si>
  <si>
    <t>956 801 180</t>
  </si>
  <si>
    <t>GARAY  SANTOS NOEMI ROSARIO</t>
  </si>
  <si>
    <t>CHACRA Y MAR LT.144</t>
  </si>
  <si>
    <t>LEYVA GARCIA ROSARIO  DLE PILAR</t>
  </si>
  <si>
    <t>NVA ESPERANZA CHACRA Y MAR MZ D LOT 9</t>
  </si>
  <si>
    <t>920 349 739</t>
  </si>
  <si>
    <t>CABALLERO  SANTILLAN ELVA ESPERANZA</t>
  </si>
  <si>
    <t>ASENT. H. NUEVA ESPERANZA MZ D - LT 4 CHACRA Y MAR</t>
  </si>
  <si>
    <t>Mamas heterogéneamente densas. Patrón ACR - C.
Patrón micro nodular y tubular que podría corresponder a proceso fibroquístico (antecedente de quistes)
Categoría BIRADS 0</t>
  </si>
  <si>
    <t xml:space="preserve">CHAVEZ DIAZ AMELIA </t>
  </si>
  <si>
    <t>ANDAHUASI  SECTO 1-A2</t>
  </si>
  <si>
    <t>GRIMALDO CUEVA FERMINA</t>
  </si>
  <si>
    <t>URB BEGONIAS MZ G LOT 4</t>
  </si>
  <si>
    <t>MAMOGRAFIA COMPARATIVA ANUAL</t>
  </si>
  <si>
    <t>LA CRUZ JARA CARMEN YOVANA</t>
  </si>
  <si>
    <t>JR.LIMA 529</t>
  </si>
  <si>
    <t>993 326 708</t>
  </si>
  <si>
    <t>ESPINOZA ANTAURCO  PATRICIA MAGALY</t>
  </si>
  <si>
    <t>ATALAYA PACHACAMILLA B-25</t>
  </si>
  <si>
    <t>HAUACHO</t>
  </si>
  <si>
    <t>923 360 137</t>
  </si>
  <si>
    <t>ECOGRAFIAS DE MAMAS+ MAMOGRAFIA ANUAL</t>
  </si>
  <si>
    <t>CHANGANAQUI  RUIZ IRIS SELENE</t>
  </si>
  <si>
    <t>LOS LAURELES MZ A LOT 4 HUACHO</t>
  </si>
  <si>
    <t>BENETRE BENEL  KAREN LEYLA</t>
  </si>
  <si>
    <t>LAS AZUCENAS 262 URB. RESIDENCIAL HUARAL</t>
  </si>
  <si>
    <t>ANGELES NORABUENA KELLY MARIBEL</t>
  </si>
  <si>
    <t>AV ECHENIQUE 360</t>
  </si>
  <si>
    <t>TELEFONO 1</t>
  </si>
  <si>
    <t>FECHA DE ENTREGA A PCT</t>
  </si>
  <si>
    <t>ROSALES CALDERON DAMARIS</t>
  </si>
  <si>
    <t>ASC SAN MARCOS MZ E-1 LOT  7</t>
  </si>
  <si>
    <t>CAMBIOS POST-QUIRURGICOS DE LA MAMA IZQUIERDA, SIN SIGNOS DE RECURRENCIA LOCORREGIONAL AMBAS MAMAS HETEROGÉNEAMENTE DENSAS, SE SUGIERE COMPLEMENTAR CON ECOGRAFÍA POR DENSIDAD MAMARIA</t>
  </si>
  <si>
    <t>BI-RADS: 2</t>
  </si>
  <si>
    <t>ECOGRAFIA DE MAMAS+ MAMOGRAFIA ANUAL</t>
  </si>
  <si>
    <t xml:space="preserve">ENCARNACION MATOS AQUILINA </t>
  </si>
  <si>
    <t>RAMON CASTILLA 240 PRIMAVERA</t>
  </si>
  <si>
    <t>966 369 169</t>
  </si>
  <si>
    <t>QUISPE ARQUINIO  VILMA</t>
  </si>
  <si>
    <t>CALEL 28 DE 180 - A AA HH EL CARMEN HUAURA</t>
  </si>
  <si>
    <t>BI-RADS: 1</t>
  </si>
  <si>
    <t>FALCON PEÑA TEOFILA ROSA</t>
  </si>
  <si>
    <t>SAN BARTOLOME II ETAPA CALLE LOS OLIVOS MZ G -6</t>
  </si>
  <si>
    <t>LIC. ROCIO ALTUNAS</t>
  </si>
  <si>
    <t>RODAS MENDOZA MELIDA</t>
  </si>
  <si>
    <t>PUEBLO JOVEN 28 D EJULIO  MZ A LOT 6</t>
  </si>
  <si>
    <t>CALERO SENDA ENEIDA</t>
  </si>
  <si>
    <t>CP BUENA VISTA MZ B LOT 21</t>
  </si>
  <si>
    <t>HERNANDEZ SILVA ROSARIO</t>
  </si>
  <si>
    <t>HUSARES DE JUNIN 723 SAN BARTOLOME I ETAPA</t>
  </si>
  <si>
    <t>OPACIDAD NODULAR EN MAMA IZQUIERDA, SE SUGIERE ESTUDIO ECOGRAFICO PARA MEJOR CARACTERIZACION CALCIFICACIONES DE ASPECTO BENIGNO. RESTO DE LA MAMOGRAFÍA BILATERAL DENTRO DE LÍMITES NORMALES</t>
  </si>
  <si>
    <t>BI-RADS: 3</t>
  </si>
  <si>
    <t>PACORA PANANA ROSA VERONICA</t>
  </si>
  <si>
    <t>AGUA DULCE MZ B-9 LOT 9</t>
  </si>
  <si>
    <t>OBST YOVANA LIZZETI  WASSAP</t>
  </si>
  <si>
    <t>ATOCHE CACERES DE HIGA VERONICA GUILLERMINA</t>
  </si>
  <si>
    <t xml:space="preserve">CALLE LOS ANGELES 473 </t>
  </si>
  <si>
    <t>933 667 444</t>
  </si>
  <si>
    <t>ATOCHE CACERES VDA DE SALGUERO  CARMEN ESTHER</t>
  </si>
  <si>
    <t>SAENZ CELESTINO  DELIA</t>
  </si>
  <si>
    <t>AV LAS MALVINAS 716 INT 5</t>
  </si>
  <si>
    <t>996 806 062</t>
  </si>
  <si>
    <t>BORJA ATENCO DILMA LUZ</t>
  </si>
  <si>
    <t>PSJ LOS HUACOS 133</t>
  </si>
  <si>
    <t>OBST LENNIS URBISAGASTEGUI  WASSAP</t>
  </si>
  <si>
    <t>BORJA ATENCIO DORA YODINA</t>
  </si>
  <si>
    <t>O9237796</t>
  </si>
  <si>
    <t>CLAROS DIEGO  AQUILA LUZ</t>
  </si>
  <si>
    <t>AV HIPOLITO UNANUE  179</t>
  </si>
  <si>
    <t>NATIVIDAD CORDOVA CARMEN ANGELICA</t>
  </si>
  <si>
    <t>TOMA Y CALLA  IRENE SLAVADOR S/N</t>
  </si>
  <si>
    <t>OBST ESTHER FLORES</t>
  </si>
  <si>
    <t>VILLAFANA ALEJANDRO  ISELA SIDNEY</t>
  </si>
  <si>
    <t>SAN BARTOLOME II ETAPA MZ D LO T 1</t>
  </si>
  <si>
    <t>MUGURUZA BERNAL  ISELA LINDA</t>
  </si>
  <si>
    <t>FCO  ROSAS 584</t>
  </si>
  <si>
    <t>PX 13/03/2027</t>
  </si>
  <si>
    <t>CARREÑO  SAMANAMUD ROSA BEATRIZ</t>
  </si>
  <si>
    <t xml:space="preserve">AV FELIX B CARDENAS 166 </t>
  </si>
  <si>
    <t>ARMAS HUARCA NELLY MARIA</t>
  </si>
  <si>
    <t>P.JOVEN TUPAC AMARU MZ.O LT.13 CALLE JORGE CHAVEZ</t>
  </si>
  <si>
    <t>Mamas heterogéneamente densas. Patrón ACR - C.
Asimetría global asocia a retracción del pezón y engrosamiento cutáneo en mama izquierda
Ganglios axilares de lado izquierdo anormales
Categoría BIRADS 4A</t>
  </si>
  <si>
    <t>ECOGRAFIA MAMAS + BX</t>
  </si>
  <si>
    <t>06/03/206 WATHSSAP</t>
  </si>
  <si>
    <t>O9861289</t>
  </si>
  <si>
    <t>LLUEN GONZALES NOCLASA</t>
  </si>
  <si>
    <t>CALLE BELLAVISTA 373 PEDREGAL HUALMAY</t>
  </si>
  <si>
    <t>FLORES ORTEGA ALBINA MAGDALENA</t>
  </si>
  <si>
    <t>AV CRUZ BLANCA 885</t>
  </si>
  <si>
    <t>PCT. 30/03/2026</t>
  </si>
  <si>
    <t>BISSO ALBARRACIN BLANCA RUBY</t>
  </si>
  <si>
    <t>AV. LAS AMERICAS 667</t>
  </si>
  <si>
    <t>BAUTISTA MAGUIÑA MARIA NELI</t>
  </si>
  <si>
    <t>PREDIO RUSTICO LORETILLO S/N</t>
  </si>
  <si>
    <t>Mamas heterogéneamente densas
Calcificación de aspecto benigno en unión de cuadrantes superiores de mama derecha</t>
  </si>
  <si>
    <t>RAMIREZ DE CHINGA FLOR ETELVINA</t>
  </si>
  <si>
    <t>SAN MARTIN Nº 268</t>
  </si>
  <si>
    <t>CARQUN</t>
  </si>
  <si>
    <t>995 343 332</t>
  </si>
  <si>
    <t>Mamas heterogéneamente densas
Calcificaciones de aspecto benigno en ambas mamas
Impresiona imagen nodular a nivel de plano medio de region retroareolar derecha</t>
  </si>
  <si>
    <t xml:space="preserve">OBST. CAMPOS </t>
  </si>
  <si>
    <t>TOLEDO CHAFALOTE OLGA RUBELINDA</t>
  </si>
  <si>
    <t>JR. LAMPA S/N SANTA MARIA</t>
  </si>
  <si>
    <t>SATA MARIA</t>
  </si>
  <si>
    <t xml:space="preserve">Mamas heterogéneamente densas
Calcificación de aspecto benigno en mama izquierda
</t>
  </si>
  <si>
    <t>TORRES CHINGA JULIA MARIBEL</t>
  </si>
  <si>
    <t>JOSE CARLOS MARIATEGUI 148</t>
  </si>
  <si>
    <t>914 104 641</t>
  </si>
  <si>
    <t>BRONCANO HUAMAN MELIDA SUSANA</t>
  </si>
  <si>
    <t xml:space="preserve">BUENA VISTA MZ M LOT 6 </t>
  </si>
  <si>
    <t>Mamas heterogéneamente densas
Calcificación de aspecto benigno en plano medio de región retroareolar de mama derecha</t>
  </si>
  <si>
    <t xml:space="preserve">MASGO  HUERTA TEODOLINDA </t>
  </si>
  <si>
    <t>EXP URBANA SANTA CRUZ MZ 121 LOT 23 TRES PIEDRAS</t>
  </si>
  <si>
    <t>913 661 074</t>
  </si>
  <si>
    <t xml:space="preserve">GONZALE BELLO MARIA </t>
  </si>
  <si>
    <t>PROLOG MIGUEL GRAU  S/N</t>
  </si>
  <si>
    <t>09/03/22026</t>
  </si>
  <si>
    <t>BARZOLA GUERRERO  JENNY  MARLENY</t>
  </si>
  <si>
    <t>PSJ SANTA ISABEL  137</t>
  </si>
  <si>
    <t>931 979 996</t>
  </si>
  <si>
    <t>PX 12/03/2027</t>
  </si>
  <si>
    <t>RAMOS ABAD RUDEL  PAULA</t>
  </si>
  <si>
    <t>LA MANCHURRIA MZ.A LT.5</t>
  </si>
  <si>
    <t xml:space="preserve">Mamas heterogéneamente densas
Calcificaciones de aspecto benigno en mama derecha
</t>
  </si>
  <si>
    <t>PX 17/03/2027</t>
  </si>
  <si>
    <t>BARRETO  NUÑEZ GLADYS</t>
  </si>
  <si>
    <t>CIRO ALEGRIA 174 AMAY</t>
  </si>
  <si>
    <t>Mamografía bilateral sin signos que sugieran malignidad
Calcificación de aspecto benigno en region retroareolar de mama derecha</t>
  </si>
  <si>
    <t>PX 11-3-27</t>
  </si>
  <si>
    <t>SIFUENTES DE HUERTAS  JUSTINA HILDA</t>
  </si>
  <si>
    <t>SANTA ELVIRA NVA CHAMBARA</t>
  </si>
  <si>
    <t>P.S. CHAMBARA</t>
  </si>
  <si>
    <t>OBT Kassandra RAMIREZ WASSAP</t>
  </si>
  <si>
    <t xml:space="preserve">PARRA SALCEDO HINDAURA </t>
  </si>
  <si>
    <t xml:space="preserve">SANTA CRUZ  MZ 53 LOT  TRES PIEDRAS MEDIO MUNDO </t>
  </si>
  <si>
    <t>O1188554</t>
  </si>
  <si>
    <t>PASCACIO  RODRIGUEZ CLAUDIA</t>
  </si>
  <si>
    <t xml:space="preserve">MEDIO MUNDO SAN MARTIN DE PORRES   MZ K LOT 5 LA CAPILLA </t>
  </si>
  <si>
    <t>RODRIGUEZ BLAS ADELAIDA</t>
  </si>
  <si>
    <t>AA HH ALBERTO  FUJIMORI  SEC SAN JUDAS TADEO  MZ J-2 LOT 5</t>
  </si>
  <si>
    <t>GOMEZ NAVARRO LILIANA ARACELLY</t>
  </si>
  <si>
    <t>LAURIAMA PSJ.3 NRO.103</t>
  </si>
  <si>
    <t xml:space="preserve">Mamas heterogéneamente densas. Patrón ACR - C.
Nódulo de márgenes </t>
  </si>
  <si>
    <t>ECOGRAFIA MAMAS + MAMOGRAFIA ANUAL</t>
  </si>
  <si>
    <t>O9779338</t>
  </si>
  <si>
    <t>TRINIAD ROSALES ELVA</t>
  </si>
  <si>
    <t xml:space="preserve">PAN NORTE PSJ 2312  </t>
  </si>
  <si>
    <t>953 013 051</t>
  </si>
  <si>
    <t>CHIRITO REYES DORIS MARIBEL</t>
  </si>
  <si>
    <t xml:space="preserve">PSJ PEDRO  REYES S/N </t>
  </si>
  <si>
    <t>OBST CAROLINA TELLO  DIGOY  WASSAP</t>
  </si>
  <si>
    <t>ARGUEDAS REAÑO MARIA MARGARITA</t>
  </si>
  <si>
    <t>LAS CANARIAS 174-PUERTO</t>
  </si>
  <si>
    <t>O4221100</t>
  </si>
  <si>
    <t>MANZANEDO OSORIO MARY BEL</t>
  </si>
  <si>
    <t>ASOC. VIVIENDA ALFEDO ESPINOZA CHAVEZ MZ.A LT.17</t>
  </si>
  <si>
    <t>ATALAYA</t>
  </si>
  <si>
    <t>VALENCIA PEREZ EVANGELIST</t>
  </si>
  <si>
    <t>HUANDO CAMPO GRANDE S/N</t>
  </si>
  <si>
    <t>902 728 374</t>
  </si>
  <si>
    <t>AVILA VEGA CEFERINA</t>
  </si>
  <si>
    <t>FUNDOA TICO S/N</t>
  </si>
  <si>
    <t>PARAISO</t>
  </si>
  <si>
    <t>Mamas heterogéneamente densas. Patrón ACR - C.
Asimetría focal en CSE de mama derecha
Categoría BIRADS 3.</t>
  </si>
  <si>
    <t>MEJIA ESTUPIÑAN SILVIA RAQUEL</t>
  </si>
  <si>
    <t>ELIAS IPINCE Nª165 INT B</t>
  </si>
  <si>
    <t>Mamas con sectores dispersos de densidad fibroglandular (ACR tipo B)
Calcificaciones típicamente benignas en mama derecha
Categoría BIRADS 2.</t>
  </si>
  <si>
    <t>ARIAS VALVERDE YOLANDA LUISA</t>
  </si>
  <si>
    <t>PSJ GERTRUDIS S/N</t>
  </si>
  <si>
    <t>Mamas heterogéneamente densas. Patrón ACR - C.
Linfonodos hiperdensos con pérdida de la morfología bilateral
Categoría BIRADS 0</t>
  </si>
  <si>
    <t>TINOCO ESPINOZA SARITA ERIKA</t>
  </si>
  <si>
    <t xml:space="preserve">CALLE GALIANO LA BALANZA </t>
  </si>
  <si>
    <t>MARTINEZ DEMUTTI YANINA INES</t>
  </si>
  <si>
    <t>PSJ PUQUIO CANO 400 INT 9</t>
  </si>
  <si>
    <t>973 331 995</t>
  </si>
  <si>
    <t>Mamas heterogéneamente densas
Calcificaciones puntiformes redondeadas dispersas en mama derecha</t>
  </si>
  <si>
    <t xml:space="preserve">ECOGRAFIA MAMAS </t>
  </si>
  <si>
    <t>SALAS HUERTA EDUV IJIS MAXIMA</t>
  </si>
  <si>
    <t>CALLE MATA MZ C LOTE 12</t>
  </si>
  <si>
    <t>918 997 625</t>
  </si>
  <si>
    <t>SILVA PURIZACA DEL CARMEN</t>
  </si>
  <si>
    <t>VICTORIA BAJA JIRON CUZCO MZ E LOTE 5</t>
  </si>
  <si>
    <t>ECOGRAFIA  DE MAMAS</t>
  </si>
  <si>
    <t>13/03/2026 whatsapp</t>
  </si>
  <si>
    <t>QUICHIZ SAMANAMUD MARIA ISABEL</t>
  </si>
  <si>
    <t>URB. EL OLIVAR E 25 ESPINAR</t>
  </si>
  <si>
    <t>ROMERO SUAREZ ELIZABETH</t>
  </si>
  <si>
    <t>JIR FLORES DIAZ 223</t>
  </si>
  <si>
    <t>OBST MILAGROS BEDIA WASSAP</t>
  </si>
  <si>
    <t>RAMOS MILLA LILIANA EMPERATRIZ</t>
  </si>
  <si>
    <t>PSAJE OLAYA 111</t>
  </si>
  <si>
    <t>SAMANAMUD GRADOS MIRIAM CAROL</t>
  </si>
  <si>
    <t>SAN MARTIN DE HUALMAY S/N</t>
  </si>
  <si>
    <t>OBST LENIS URBIZAGASTEGUI WASSAP</t>
  </si>
  <si>
    <t>TELLO BUSTAMANTE ERICA ELIZABETH</t>
  </si>
  <si>
    <t>MICAELA BASTIDAS 261</t>
  </si>
  <si>
    <t>HUAMAN PACHECO HAYDEE REYNA</t>
  </si>
  <si>
    <t>QUILCA S/N</t>
  </si>
  <si>
    <t>Mamas heterogéneamente densas
Microcalcificaciones puntiformes agrupadas de distribución segmentaria en cuadrante superior externo de mama
derecha a nivel tercio medio-posterior
Calcificaciones de aspecto benigno en cuadrante superior externo de mama izquierda</t>
  </si>
  <si>
    <t>ECOGRAFIA DE MAMAS + BX ESTEREOTAXIA</t>
  </si>
  <si>
    <t>OBST  JENIFER VALDEZ</t>
  </si>
  <si>
    <t>QUISPE ARQUINO ANA MARIA</t>
  </si>
  <si>
    <t>28 DE JULIO S/N VIRGEN DEL CARMEN</t>
  </si>
  <si>
    <t>HUAUARA</t>
  </si>
  <si>
    <t>RAMOS TRUJILLO ELBERTA</t>
  </si>
  <si>
    <t>PROLOG MARISCAL CASTILLA 180 HUALMAY</t>
  </si>
  <si>
    <t>977 211 103</t>
  </si>
  <si>
    <t>BAUTISTA CADENAS FERMINA GAVINA</t>
  </si>
  <si>
    <t>CALLE COLON 130 EL CARMEN</t>
  </si>
  <si>
    <t>FELICIANO HIDLAGO  VIVIAN JESUS</t>
  </si>
  <si>
    <t>VICTORIA LATA CALLE SALAVERRY 209</t>
  </si>
  <si>
    <t>OLIVARES DOLORES CARMEN NANCY</t>
  </si>
  <si>
    <t>QUILCA S/N - COLCAPAMPA</t>
  </si>
  <si>
    <t>Mamas con sectores dispersos de densidad fibroglandular (ACR tipo B)
Calcificación típicamente benigna en mama derecha
Categoría BIRADS 2.</t>
  </si>
  <si>
    <t>MELGAREJO  VALENZUELA MARIA CONSUELO</t>
  </si>
  <si>
    <t>CALLE VISTA ALEGRE S/N VILVAHUAURA</t>
  </si>
  <si>
    <t>Mamas heterogéneamente densas. Patrón ACR - C.
Calcificación típicamente benigna en mama derecha
Categoría BIRADS 0</t>
  </si>
  <si>
    <t>OBST YAJAIRA  whatsapp</t>
  </si>
  <si>
    <t>AGUILAR CHACON JENNY SONIA</t>
  </si>
  <si>
    <t>EL PALMO 101</t>
  </si>
  <si>
    <t>Mamas heterogéneamente densas. Patrón ACR - C.
Calcificaciones típicamente benignas en mamas
Categoría BIRADS 0</t>
  </si>
  <si>
    <t>GASPAR VILLAR ZENOBIA GENOVEVA</t>
  </si>
  <si>
    <t>AV JORGE CHAVEZ 250</t>
  </si>
  <si>
    <t>Mamas heterogéneamente densas. Patrón ACR - C.
Nódulos de márgenes circunscritos y parcialmente oscurecidos en mamas
Categoría BIRADS 0</t>
  </si>
  <si>
    <t>PX 16/03/2027</t>
  </si>
  <si>
    <t>GODOY POMASONCCO DE  QUISPE FLOILANA CLORINDA</t>
  </si>
  <si>
    <t>COP SAN GRACIANOMZ C LO T 8  AUCALLAMA</t>
  </si>
  <si>
    <t>BLAS GARCIA JUANA ISABEL</t>
  </si>
  <si>
    <t>CP  SAN GRACIANO MZ A LOT 5 AUCALLAMA</t>
  </si>
  <si>
    <t>VEGA OLORTEGUI  FLORENCIA FLORIDA</t>
  </si>
  <si>
    <t>CP  SAN GRACIANO MZ E LOT 13 AUCALLAMA</t>
  </si>
  <si>
    <t>960 572 529</t>
  </si>
  <si>
    <t xml:space="preserve">LAZO TELLO RUTH ANGELICA </t>
  </si>
  <si>
    <t>LAS FLORES MZ.N LT 7</t>
  </si>
  <si>
    <t>Mamas heterogéneamente densas. Patrón ACR - C.
Asimetría de densidad en CSE de mama izquierda
Categoría BIRADS 3</t>
  </si>
  <si>
    <t>CARRANZA REYES NORMA</t>
  </si>
  <si>
    <t>AV. BARTILOME PEREZ 256 - CHONTA</t>
  </si>
  <si>
    <t>934 404 852</t>
  </si>
  <si>
    <t>Mamas con sectores dispersos de densidad fibroglandular (ACR tipo B)
Calcificaciones típicamente benignas en ambas mamas,
Asimetría de densidad en CSI de mama izquierda
Categoría BIRADS 3.</t>
  </si>
  <si>
    <t>SANCHEZ NEYRA MILICA DIANA</t>
  </si>
  <si>
    <t>23 DE ABRIL MZ 10 LT B</t>
  </si>
  <si>
    <t>BUSTAMANTE TIBURCIO EMILIANA</t>
  </si>
  <si>
    <t>JR LAS FLORES S2-15</t>
  </si>
  <si>
    <t>PANANA OYOLA JENNY</t>
  </si>
  <si>
    <t>ASENT H ELBA MEZA BRANDAN MZ D LT 6 ATALAYA</t>
  </si>
  <si>
    <t>MANZANARTES</t>
  </si>
  <si>
    <t>904 017 758</t>
  </si>
  <si>
    <t>Mamas heterogéneamente densas. Patrón ACR - C.
Masa hiperdensa en axila derecha (anormal)
Categoría BIRADS 0</t>
  </si>
  <si>
    <t>MONTALVO VEGA ADELINA</t>
  </si>
  <si>
    <t>AV. ANDRES LLARES Nª226  MZB LT 7</t>
  </si>
  <si>
    <t>ALVAREZ ZAGARRA LITA OFELIA</t>
  </si>
  <si>
    <t xml:space="preserve">CALLE JOSE CARLOS AMRIATEGUI 128 </t>
  </si>
  <si>
    <t>BRAVO PRADA JENNY FANNI</t>
  </si>
  <si>
    <t>PAMPA DE ANIMAS ALTA</t>
  </si>
  <si>
    <t>PALHUA MORALES SONIA</t>
  </si>
  <si>
    <t xml:space="preserve">SAN JUAN DE DIOS MZ. A LT 33 </t>
  </si>
  <si>
    <t>El estudio realizado muestra mamas densas sin evidenciar signos sospechosos de NM.
Categoría BIRADS 0</t>
  </si>
  <si>
    <t>HUAMAN DE PAZ PERCELINA ROSALIA</t>
  </si>
  <si>
    <t>CURVA ZAPATA - QUEPEPAMPA</t>
  </si>
  <si>
    <t>27/03/2026 WHATSAPP</t>
  </si>
  <si>
    <t xml:space="preserve">INGA LIVIAS FELICITAS </t>
  </si>
  <si>
    <t>EL CARMEN CALLE RECUAY MZ N LOT 4</t>
  </si>
  <si>
    <t>970 191 405</t>
  </si>
  <si>
    <t>LA ROSA PANANA MARGARITA EMPERATRIZ</t>
  </si>
  <si>
    <t>PSJ NVA VICTORIA 23</t>
  </si>
  <si>
    <t>990 912 800</t>
  </si>
  <si>
    <t>QUEVEDO  CARREÑO  YOBANA ANGELICA</t>
  </si>
  <si>
    <t xml:space="preserve">18 DE OCTUBRE E-30 </t>
  </si>
  <si>
    <t>PX. 24/03/2026</t>
  </si>
  <si>
    <t>MIO PUPUCHE MAURA</t>
  </si>
  <si>
    <t>FLORENCIO DIAZ MZ 27 LT 05 LA PERLA</t>
  </si>
  <si>
    <t>Mamas heterogéneamente densas
Calcificación de aspecto benigno en región axilar derecha</t>
  </si>
  <si>
    <t>PX 16/03/2026 WASSAP</t>
  </si>
  <si>
    <t xml:space="preserve">PEREZ MILLONES YOLANDA GLADYS </t>
  </si>
  <si>
    <t>CALLE ASENCION S/N BARRIO  AMAY</t>
  </si>
  <si>
    <t>ROA AYME MARIA TERESA</t>
  </si>
  <si>
    <t>CP VIRGEN DEL CARMEN S/N SANTA ROSALIA</t>
  </si>
  <si>
    <t>PX 26/03/20206</t>
  </si>
  <si>
    <t>VALDIVIA ALZAMORA PELAGIA</t>
  </si>
  <si>
    <t>AA HH EL AMNANTIAL  MZ L-4 LOT 9 MANZANARES</t>
  </si>
  <si>
    <t>O9919658</t>
  </si>
  <si>
    <t>TOCTO  CORDOVA ROSA AMANDA</t>
  </si>
  <si>
    <t>ASENT H FUJIMORI 2DA ETAPA MZ V LOTE 2</t>
  </si>
  <si>
    <t>SANTOS GARCES YENNY MIRIAM</t>
  </si>
  <si>
    <t>FCO.BOLOGNESI 595</t>
  </si>
  <si>
    <t xml:space="preserve">DIAZ DE LAZAMORA CARMEN ROSA </t>
  </si>
  <si>
    <t>AV.FLORAL 603</t>
  </si>
  <si>
    <t>Mamas heterogéneamente densas
Impresiona distorsión del tejido fibroglandular a nivel de plano posterior de cuadrante inferior externo de mama
derecha asociado a cambios postquirúrgicos con cinco clips de marcaje
Calcificaciones de aspecto benigno en mama derecha</t>
  </si>
  <si>
    <t>PX 31/03/2026</t>
  </si>
  <si>
    <t>CELIS  TADEO  CARMEN SARA</t>
  </si>
  <si>
    <t>URB SAN ANTONIO  MZ E LOT 4 HUANDO HUARAL</t>
  </si>
  <si>
    <t>Mamas heterogéneamente densas
Calcificaciones redondeadas de aspecto benigno dispersas en ambas mamas</t>
  </si>
  <si>
    <t>PX 30/03/2026</t>
  </si>
  <si>
    <t>MAYORGA BALCAZAR  MARIA  DEL  CARMEN</t>
  </si>
  <si>
    <t>CL SANTA MARIANA SN MZ H 15 LT 13</t>
  </si>
  <si>
    <t xml:space="preserve"> 995 854 604</t>
  </si>
  <si>
    <t>NOREÑA VALLES GERALDINE</t>
  </si>
  <si>
    <t xml:space="preserve">AA HH LOS PINOS MZ N LOT 16  EX FUJIMORI  </t>
  </si>
  <si>
    <t>Mamas heterogéneamente densas. Patrón ACR - C.
Nodulos de margnes circinscritos en ambas mamas que podra corresponder a proceso fiborquistico
Categoría BIRADS 0</t>
  </si>
  <si>
    <t>ECOGRAFIA  DE MAMAS + MAMOGRAFIA ANUAL</t>
  </si>
  <si>
    <t>OBST EVLYN GALLARDO WASAP</t>
  </si>
  <si>
    <t>PX31/03/2026</t>
  </si>
  <si>
    <t xml:space="preserve">RAMOS CABALLERO MARILUD </t>
  </si>
  <si>
    <t xml:space="preserve">KM 164 PAN NORTE  MIRAMAR </t>
  </si>
  <si>
    <t xml:space="preserve">PANASPAICO  DELGADO  ROSA </t>
  </si>
  <si>
    <t>AV MARIA PARADO  DE BELLIDO  MZ A LOT 2</t>
  </si>
  <si>
    <t>PEREZ REDONDO JULIA ALICIA</t>
  </si>
  <si>
    <t>AV MERCEDES INDACOCHEA 605 INT 425</t>
  </si>
  <si>
    <t>PX</t>
  </si>
  <si>
    <t>ROJAS RMIREZ ESMILA LUZ</t>
  </si>
  <si>
    <t>CASERIO TAMBON S/N</t>
  </si>
  <si>
    <t>PADILLA FRANCISCO SILVERIA FELICITA</t>
  </si>
  <si>
    <t>GUAYABAL S/N</t>
  </si>
  <si>
    <t>CAMONES LAGUNA LUZMILA ADELA</t>
  </si>
  <si>
    <t>ASC DE VV LAS GARDENIAS N-18</t>
  </si>
  <si>
    <t>DURAND GONZALES ISABEL  TERESA</t>
  </si>
  <si>
    <t>AV MERCEDES INDACOCHEA 429</t>
  </si>
  <si>
    <t>992 856 545</t>
  </si>
  <si>
    <t>Mamas heterogéneamente densas
Impresiona formación ovalada radiodensa de márgenes circunscritos a nivel de plano posterior de cuadrante
inferior externo de mama derecha</t>
  </si>
  <si>
    <t>MIRANDA SUAREZ ROSLAIA FLORA</t>
  </si>
  <si>
    <t>CALLE HJ¡JUAN VELAZCO  ALVARADO  649</t>
  </si>
  <si>
    <t>HUASUPIMA CABRACANCHA MARISELA</t>
  </si>
  <si>
    <t>LAS FLORES DE VISPAN MZ C LOT 4  CERRO VISPAN - SANTA MARIA</t>
  </si>
  <si>
    <t>PX 15/03/2026 WASSAP</t>
  </si>
  <si>
    <t xml:space="preserve">SOLIS MALPARTIDA MARIBEL </t>
  </si>
  <si>
    <t>AUGUSTO  B LEGIA 228</t>
  </si>
  <si>
    <t>ESPINOZA LLASHAG MARTHA EUGENIA</t>
  </si>
  <si>
    <t>PUEBLO JOBEN 28 DE JULIO  MZ P  LOT12</t>
  </si>
  <si>
    <t xml:space="preserve">1.	LA MAMOGRAFIA BILATERAL SIN HALLAZGOS DE IMÁGENES SOSPECHOSAS DE MALIGNIDAD.
2.	CATEGORIA BI-RADS: 1 (RESULTADO NEGATIVO).
</t>
  </si>
  <si>
    <t>24/03/2026 WHATSAPP</t>
  </si>
  <si>
    <t>EVANGELISTA  CRUZ INDULGENCIA ALFONCIA</t>
  </si>
  <si>
    <t xml:space="preserve">SAN FELIPE MZ V LOT 10 MEDIO MUNDO </t>
  </si>
  <si>
    <t>VEGIETA</t>
  </si>
  <si>
    <t>ECOGRAFIA  DE MAMAS + MAMOGRAFIA  ANUAL</t>
  </si>
  <si>
    <t>OBST FLOR LABINO  WASSAP</t>
  </si>
  <si>
    <t xml:space="preserve">BERROCAL OBREGÒN FLOR MARIA </t>
  </si>
  <si>
    <t xml:space="preserve"> URB VIÑA DELMAR A12 EL SOCORRO  </t>
  </si>
  <si>
    <t>Mamografía bilateral sin signos que sugieran malignidad
Calcificación de aspecto benigno en unión de cuadrantes externos de mama derecha</t>
  </si>
  <si>
    <t>OBST. NORMA WHATSAPP</t>
  </si>
  <si>
    <t xml:space="preserve">SUAREZ YOCLLA MARIA JUDITH </t>
  </si>
  <si>
    <t xml:space="preserve">URB DON JOSE DE SAN MARTIN 161 </t>
  </si>
  <si>
    <t>Mamas heterogéneamente densas
Calcificación de aspecto benigno en cuadrante superior externo de mama derecha</t>
  </si>
  <si>
    <t>BELTRAN LAZARO ANA LUISA</t>
  </si>
  <si>
    <t xml:space="preserve">TUPAC AMARU  297 </t>
  </si>
  <si>
    <t>Impresiona imagen nodular a nivel de plano medio-posterior de cuadrante superior interno de mama izquierda</t>
  </si>
  <si>
    <t>CAVERO OYOLA ROSSASNA ZUNITH</t>
  </si>
  <si>
    <t>SAN MARTIN 472</t>
  </si>
  <si>
    <t>902 627 158</t>
  </si>
  <si>
    <t>CARRERA OLIVARES JUANA CARMEN</t>
  </si>
  <si>
    <t>28 DE JULIO  - QUILCA S/N - COLCAPAMPA</t>
  </si>
  <si>
    <t>OBST  JENIFER WASSAP</t>
  </si>
  <si>
    <t>O9676231</t>
  </si>
  <si>
    <t>ESPADA LUCAS MARIA LUISA</t>
  </si>
  <si>
    <t xml:space="preserve">PEDRO P  HERRERRA SEC COMPAC S/N </t>
  </si>
  <si>
    <t>MAMOGRAFIA BILATERAL SIN SIGNOS QUE SUGIERAN MALIGNIDAD.  2.-  CALCICFICAIONES DE ASPECTO  BENIGNO  EN AMBAS MAMAS</t>
  </si>
  <si>
    <t>TORRES SELIS ELIZABETH</t>
  </si>
  <si>
    <t>PSJ TUPAC AMARU  125</t>
  </si>
  <si>
    <t>O9251220</t>
  </si>
  <si>
    <t>PACHECO  HERHUAY ROSA</t>
  </si>
  <si>
    <t>JR SANTA ROSA 629</t>
  </si>
  <si>
    <t>961 358 758</t>
  </si>
  <si>
    <t>MARTEL PIMENTEL LUZ AMANDA</t>
  </si>
  <si>
    <t>ASOC.LAS AMERICAS CALLE LOS PROCERES MZ.D LT.19</t>
  </si>
  <si>
    <t>YANAC CELIZ MERCELINDA LUCY</t>
  </si>
  <si>
    <t>DOMINGO MANDAMIENTO 1073 BA. CRUZ BLANCA</t>
  </si>
  <si>
    <t xml:space="preserve">MARTINEZ OLAYA MARIBEL </t>
  </si>
  <si>
    <t>PSJ SAN PEDRO  199</t>
  </si>
  <si>
    <t>Mamografía bilateral sin signos que sugieran malignidad
Calcificación aislada de aspecto benigno en mama izquierda</t>
  </si>
  <si>
    <t>PORTOCARRERO HUAMAN LIZ</t>
  </si>
  <si>
    <t>ASOC. EL INPE MZ D LT 11 HORNILLOS</t>
  </si>
  <si>
    <t>PX 18/03/2026</t>
  </si>
  <si>
    <t>VALQUI FERNANDEZ MARIA BELARMINA</t>
  </si>
  <si>
    <t>Mamografía bilateral sin signos que sugieran malignidad
Calcificación de aspecto benigno en cuadrante superior externo de mama izquierda</t>
  </si>
  <si>
    <t>NUERA 18/03/2026</t>
  </si>
  <si>
    <t>O8586618</t>
  </si>
  <si>
    <t>HUAMAN MATOS HERMALINDA</t>
  </si>
  <si>
    <t>II ETAPA SAN BARTOLOME MZ.I LT.12</t>
  </si>
  <si>
    <t>21/03/2026 WHATSAPP</t>
  </si>
  <si>
    <t>C.E:006313591</t>
  </si>
  <si>
    <t>ALASTRE GOMEZ DILIANA DILIGREY</t>
  </si>
  <si>
    <t>AV. FRANCISCO BOLOGNESI Nª571</t>
  </si>
  <si>
    <t>AREVALO MEZA VERONICA ISABEL</t>
  </si>
  <si>
    <t>AV. LA MANCHURRIA BAJA LT27</t>
  </si>
  <si>
    <t>GOMEZ CRISOSTOMO ANA MARIA</t>
  </si>
  <si>
    <t>CP. AMIRALLA SN- SAN FELIPE</t>
  </si>
  <si>
    <t>972 224 143</t>
  </si>
  <si>
    <t>REYMUNDO DE LOS SANTOS ELSA</t>
  </si>
  <si>
    <t>CALLE BELLA VISTA Nª276</t>
  </si>
  <si>
    <t>MANRIQUE TORRES KETY MILLYN</t>
  </si>
  <si>
    <t>PSJ DOMINOG MANDAMIENTO 201</t>
  </si>
  <si>
    <t>992 086 121</t>
  </si>
  <si>
    <t>Mamas heterogéneamente densas
Calcificaciones puntiformes redondeadas de aspecto benigno en mama derecha</t>
  </si>
  <si>
    <t>FERNANDEZ LOPEZ PATRICIA</t>
  </si>
  <si>
    <t>URB. LOS CIPRESES MZ M LT 3</t>
  </si>
  <si>
    <t>Mamas heterogéneamente densas. Patrón ACR - C.
Asimetria focal en CSE de mama izquierda
Calcificaciones tipicamente benignas
Categoría BIRADS 0</t>
  </si>
  <si>
    <t>COMPRENSION CSE MAMA IZQUIERDA + ECOGRAFIA  DE MAMAS</t>
  </si>
  <si>
    <t>PCT 18/03 WHATSP</t>
  </si>
  <si>
    <t>VALLADARES SOLIS LADY JACQUELINE</t>
  </si>
  <si>
    <t xml:space="preserve">AV. FELIZ B CARDENAS 567 </t>
  </si>
  <si>
    <t>QUISPE PAREDES JESSICA</t>
  </si>
  <si>
    <t>CALLE LA LPALMA TERCERA CUADRA 326</t>
  </si>
  <si>
    <t>QUISPE PAREDES SANDRA</t>
  </si>
  <si>
    <t>18 DE OCTUBRE F-25A</t>
  </si>
  <si>
    <t>COCA FARROMEQUE TOMASA PILAR</t>
  </si>
  <si>
    <t>CALLE AMAZONAD K2 LT8</t>
  </si>
  <si>
    <t>938 150 062</t>
  </si>
  <si>
    <t>ESPINOZA CAURINO ANA MARIA</t>
  </si>
  <si>
    <t>CP SANTA ROSA</t>
  </si>
  <si>
    <t>El estudio realizado muestra mamas densas sin evidenciar signos sospechosos de NM.
Categoría BIRADS 1</t>
  </si>
  <si>
    <t>ULLOA BARRENECHEA SANDRA</t>
  </si>
  <si>
    <t>C.P CHACACA</t>
  </si>
  <si>
    <t>MEJIA AQUINO AUSTRALIA MAURA</t>
  </si>
  <si>
    <t>AV. BENJAMIN VIZQUERRA 281 INTERIOR 5</t>
  </si>
  <si>
    <t>REYES ROBLES DIANA MELISSA</t>
  </si>
  <si>
    <t>PROLONGACION COLOMA 588</t>
  </si>
  <si>
    <t xml:space="preserve">Mamas heterogéneamente densas
Impresiona imagen nodular ovalada de aspecto benigno a nivel de plano anterior de cuadrante inferior interno de
mama derecha </t>
  </si>
  <si>
    <t xml:space="preserve">ECOGRAFIA  DE MAMAS </t>
  </si>
  <si>
    <t>OBST ESTEFANY CAVERO WASSAP</t>
  </si>
  <si>
    <t>SILVERIO RAMOS YDALIA</t>
  </si>
  <si>
    <t>CALLE PEDRO CUENCA S/N</t>
  </si>
  <si>
    <t>JESUS LEON HERMINA VIDALINA</t>
  </si>
  <si>
    <t>ALFARO PINAZO YOLANDA JENNY</t>
  </si>
  <si>
    <t>AAHH 3 PALMERAS MZ D LOTE 8</t>
  </si>
  <si>
    <t>Mamas heterogéneamente densas. Patrón ACR - C.
Nódulos de márgenes circunscritos no palpables asocia gruesas calcificaciones (típicamente benignas) en ambas
mamas
Categoría BIRADS 3</t>
  </si>
  <si>
    <t>ESPINOZA FERNANDEZ YESSICA MARIZA</t>
  </si>
  <si>
    <t>CALLE 1ERA DE MAYO MZ D LOTE 10</t>
  </si>
  <si>
    <t>Mamas heterogéneamente densas
Impresiona asimetria global en mama derecha asociado a probable interposición de mayor tejido fibroglandular</t>
  </si>
  <si>
    <t>TRINIDAD OROSCO FLORISA</t>
  </si>
  <si>
    <t>C.P CENTINELA MZ H LOTE 4</t>
  </si>
  <si>
    <t xml:space="preserve">VILLON ZAMBRANO ROXANA MARGARITA </t>
  </si>
  <si>
    <t>CALLE JESUS DEL VALLE LOS TRES FALORES S/N</t>
  </si>
  <si>
    <t>BAZAN HUAYTA BETZABE RODE</t>
  </si>
  <si>
    <t>PROLONGACION BUENOS AIRES MZ I LOTE 16</t>
  </si>
  <si>
    <t>ESPINOZA ESTRADA NORMA LUZ</t>
  </si>
  <si>
    <t>CALLE SUCRE S/N</t>
  </si>
  <si>
    <t>FARRO LA CRUZ MONICA MILAGROS</t>
  </si>
  <si>
    <t>AV . CENTENARIO 1101</t>
  </si>
  <si>
    <t>FARRO LA CRUZ ROCIO</t>
  </si>
  <si>
    <t>JIRON LAMPA LADO NORTE S/N</t>
  </si>
  <si>
    <t>MENDOZA CHUNQUE ELSA NATIVIDAD</t>
  </si>
  <si>
    <t>SECTOR ST MARTA LA HOYADA S/N</t>
  </si>
  <si>
    <t>ROMAN ROMERO FLORESMILA DOMINICA</t>
  </si>
  <si>
    <t>PLAYA HERMOSA B 1</t>
  </si>
  <si>
    <t>RIVERA RIVAS KARINA YANET</t>
  </si>
  <si>
    <t>URB. SAN MARTIN MZ F LOTE 38</t>
  </si>
  <si>
    <t>11/03/20265</t>
  </si>
  <si>
    <t>CHUPICA RAMOS VDA DE HIRANO JENNY</t>
  </si>
  <si>
    <t>PSJE B LEGUIA SN</t>
  </si>
  <si>
    <t>Mamas heterogéneamente densas
Impresiona asimetría focal a nivel de plano posterior de cuadrante superior externo de mama izquierda asociado a
probable interposición de tejido fibroglandular</t>
  </si>
  <si>
    <t>BENITES RODRIGUEZ GLICERIA</t>
  </si>
  <si>
    <t>PSJE TUPAC AMARU 403 INTER 112</t>
  </si>
  <si>
    <t>Mamografía bilateral sin signos que sugieran malignidad
Calcificaciones puntiformes redondeadas de aspecto benigno dispersas en ambas mamas</t>
  </si>
  <si>
    <t>HNA MARGARITA BENITES 23/03/2026+</t>
  </si>
  <si>
    <t>ARIAS CHILENO JESSICA MAGALY</t>
  </si>
  <si>
    <t>ALCIDES PACHECO S/N</t>
  </si>
  <si>
    <t xml:space="preserve">Mama derecha heterogéneamente densa
</t>
  </si>
  <si>
    <t>CANALES RAMIREZ MONICA MARINA</t>
  </si>
  <si>
    <t>TAMBO BLANCO 1421</t>
  </si>
  <si>
    <t>Mamas heterogéneamente densas
Calcificación redondeada puntiforme de aspecto benigno en unión de cuadrantes externos de mama izquierda</t>
  </si>
  <si>
    <t>RAMIREZ MIRANDA LIDIA OLGA</t>
  </si>
  <si>
    <t>Mamografía bilateral sin signos que sugieran malignidad
Calcifiaciones de aspecto benigno en ambas mamas</t>
  </si>
  <si>
    <t>OBST YAJAIRA MANRIQUE WASSAP</t>
  </si>
  <si>
    <t>LORENZO MINAYA VANESSA AIMY</t>
  </si>
  <si>
    <t xml:space="preserve">AV. LAS FLORES B 13 </t>
  </si>
  <si>
    <t>RIMAN GABINA VICTORIANA TEODORA</t>
  </si>
  <si>
    <t>AHH LA MERCED D LOTE 7</t>
  </si>
  <si>
    <t>CORONADO SOLORZANO MARIBEL</t>
  </si>
  <si>
    <t>CPM SAN MARTIN DE MANI COLCAPAMPA S/N</t>
  </si>
  <si>
    <t xml:space="preserve">Mamas heterogéneamente densas
Impresiona imagen nodular a nivel de plano medio-posterior de unión de cuadrantes superiores de mama
derecha
Calcificaciones puntiformes redondeadas agrupadas a nivel de plano medio de cuadrante superior interno de
mama derecha </t>
  </si>
  <si>
    <t>FERNANDEZ PEÑA SANTA</t>
  </si>
  <si>
    <t xml:space="preserve">SANTA ROSALIA CP VIRGEN DEL CARMEN </t>
  </si>
  <si>
    <t>Mamografía bilateral sin signos que sugieran malignidad
Impresiona imagen nodular de aspecto benigno a nivel de plano posterior de cuadrante superior externo de
mama izquierda</t>
  </si>
  <si>
    <t>MAYO  TRUJILLO  SORAYDA</t>
  </si>
  <si>
    <t>PAMPAS DE ANIMAS ALTA S/N</t>
  </si>
  <si>
    <t>O6168762</t>
  </si>
  <si>
    <t>JESUS MOLINA MARIA YNES</t>
  </si>
  <si>
    <t>JR LAS MERCEDES 134 MIRONES BAJO</t>
  </si>
  <si>
    <t>999 359 215</t>
  </si>
  <si>
    <t>Mamografía bilateral sin signos que sugieran malignidad
Impresiona imágenes nodulares de aspecto benigno dispersas en plano medio de cuadrante superior externo de
mama derecha</t>
  </si>
  <si>
    <t xml:space="preserve">MONTES DE ARELLANO  ELIZABETH </t>
  </si>
  <si>
    <t>CALLE PUMACAHUA MZ.A LT.12 LOTIZADORA SANTA ROSA</t>
  </si>
  <si>
    <t>HURAL</t>
  </si>
  <si>
    <t>996 181 849</t>
  </si>
  <si>
    <t xml:space="preserve">DE LA CRUZ OLIVO  ELIZABETH </t>
  </si>
  <si>
    <t xml:space="preserve">C. P. SAN GRACIANO MZ. L LT. 4 </t>
  </si>
  <si>
    <t>CE 007227423</t>
  </si>
  <si>
    <t>IBARRA HERRERA LUREYS ALEJANDRA</t>
  </si>
  <si>
    <t>PASAJE COLAN 1RA ENTRADA 0   URBANIZACIÓN HUARAL</t>
  </si>
  <si>
    <t>20/03/2026 whatsapp</t>
  </si>
  <si>
    <t>NAZARIO  POMA EDITH ROCIO</t>
  </si>
  <si>
    <t xml:space="preserve">PSJ HURTADO  S/N LA HUAQUILLA </t>
  </si>
  <si>
    <t>984 733 780</t>
  </si>
  <si>
    <t>Mamas extremadamente densas
Calcificaciones puntiformes redondeadas de aspecto benigno dispersas en ambas mamas</t>
  </si>
  <si>
    <t>AYALA  DE SESAREGO  MAXIMINA MAGDALENA</t>
  </si>
  <si>
    <t>LAS PALMERAS 284 - EL TREBOL</t>
  </si>
  <si>
    <t>997 057 998</t>
  </si>
  <si>
    <t>Mamografía bilateral sin signos que sugieran malignidad
Calcificaciones de aspecto benigno en mama derecha</t>
  </si>
  <si>
    <t>CASTILLO  PLASECNCIA MIRIAM MARIBEL</t>
  </si>
  <si>
    <t>AV SNA MARTIN S/N HUAMAYA</t>
  </si>
  <si>
    <t xml:space="preserve">Mamas heterogéneamente densas
Calcificaciones redondeadas de aspecto benigno a nivel de cuadrante superior externo de mama izquierda
</t>
  </si>
  <si>
    <t>PX 21/03/2026</t>
  </si>
  <si>
    <t xml:space="preserve">APOLINAR SILVA SANTA </t>
  </si>
  <si>
    <t xml:space="preserve">PSJ SANTA ROSA 138 </t>
  </si>
  <si>
    <t>982 885 676</t>
  </si>
  <si>
    <t>APELAYO  ARTEAGA MARITZA OFELIA</t>
  </si>
  <si>
    <t>912 476 189</t>
  </si>
  <si>
    <t>LOPEZ MAZA GLADYS NERIDA</t>
  </si>
  <si>
    <t>ASOC. FONAVI MZ. C LT. 23</t>
  </si>
  <si>
    <t>958 197 577</t>
  </si>
  <si>
    <t>ESPIRITU   BAUTISTA YENY  DALILA</t>
  </si>
  <si>
    <t>JR. TUPAC AMARU  302</t>
  </si>
  <si>
    <t>CHAVEZ NATIVIDAD, CARMEN</t>
  </si>
  <si>
    <t>AV LAS ALBUFERAS MZ P  LOT 5 MEDIO MUNDO</t>
  </si>
  <si>
    <t>989 448 698</t>
  </si>
  <si>
    <t>FLORES PISCONTE  MARI A VICTORIA</t>
  </si>
  <si>
    <t xml:space="preserve">AA HH FUJIMORI  MZ J-10 II ETAPA </t>
  </si>
  <si>
    <t>El estudio realizado muestra mamas heterogéneamente densas, sin evidenciar signos sospechosos de NM.
Categoría BIRADS 1.</t>
  </si>
  <si>
    <t>27/03/2026 whatsapp</t>
  </si>
  <si>
    <t>VELASQUEZ COLLANTES GLORIA HAYDEE</t>
  </si>
  <si>
    <t>AV HIPOLITO OYOLA 214</t>
  </si>
  <si>
    <t>Mamografía bilateral sin signos que sugieran malignidad
Impresiona asimetria focal a nivel de plano medio de cuadrante inferior externo de mama izquierda</t>
  </si>
  <si>
    <t>OBST GLORIA WASSAP</t>
  </si>
  <si>
    <t>DIAZ TORRES YANINE</t>
  </si>
  <si>
    <t>CALLE BELLAVISTA 291</t>
  </si>
  <si>
    <t>CURIOSO ESPEJO KARLA YESENIA</t>
  </si>
  <si>
    <t>MANUEL HUBALDE Nª294</t>
  </si>
  <si>
    <t>BRIOSO ESPINOZA HERLINDA</t>
  </si>
  <si>
    <t>QUINTA LAS PALMERAS MAZO S/N</t>
  </si>
  <si>
    <t>20/03/20206</t>
  </si>
  <si>
    <t>OB NOEMI  WASSAP</t>
  </si>
  <si>
    <t>LINO FARRO MARIA DEL ROSARIO</t>
  </si>
  <si>
    <t>AV.CEFERINO RAMIREZ 450</t>
  </si>
  <si>
    <t>ALCANTARA JARA LUISA KARIN</t>
  </si>
  <si>
    <t xml:space="preserve">ASC BRISA MARINA MZ C LOT 5 </t>
  </si>
  <si>
    <t>997 189 623</t>
  </si>
  <si>
    <t>OBST THEYSI CARPIO WASSAP</t>
  </si>
  <si>
    <t>UCULMANA QUIÑONES ENMA</t>
  </si>
  <si>
    <t>AV. ANTONIO RAYMONDI MZ.C LT.11 LOS PINOS</t>
  </si>
  <si>
    <t>991 358 848</t>
  </si>
  <si>
    <t>OBST  BRENDA ROMERO WASSAP</t>
  </si>
  <si>
    <t>BUITRON ROJAS SILVIA VERONICA</t>
  </si>
  <si>
    <t>AV.MORALES BERMUDEZ 229</t>
  </si>
  <si>
    <t>995 338 626</t>
  </si>
  <si>
    <t>Mamografía bilateral sin signos que sugieran malignidad
Impresiona imágenes nodulares de aspecto benigno dispersas en ambas mamas</t>
  </si>
  <si>
    <t>ALCANTARA MATSUSAKA GUISELA ASTERIA</t>
  </si>
  <si>
    <t>CALLE UNION 314</t>
  </si>
  <si>
    <t>948 712 290</t>
  </si>
  <si>
    <t>SANCHEZ PACORA MARIA VANESSA</t>
  </si>
  <si>
    <t>AA HH 23 DE ABRIL MZ D LOT 5 PTO HUACHO</t>
  </si>
  <si>
    <t>O6919787</t>
  </si>
  <si>
    <t xml:space="preserve">DELGADO  TEMOCHE GUMERCINDA </t>
  </si>
  <si>
    <t>CALLE JUAN VELAZCO MZ ER LOT 24 CP  LOS LAURELES</t>
  </si>
  <si>
    <t>COLONIA GRAZA ALICIA DINA</t>
  </si>
  <si>
    <t>LOS JASMINES LOT E -7</t>
  </si>
  <si>
    <t>LAGUNA ALEJO  CECILIA OLINDA</t>
  </si>
  <si>
    <t>HUAYAN S/N</t>
  </si>
  <si>
    <t>DEL RIO VILLARREAL, ANGELA LUZ</t>
  </si>
  <si>
    <t>AV JUAN BARRETO 409</t>
  </si>
  <si>
    <t>980 589 127</t>
  </si>
  <si>
    <t>COLLANTES PALOMINO  RUTH</t>
  </si>
  <si>
    <t>ASOC. AGRUPACION FAMILIAR LOS PINOS II ETAPA MZ J LOR 11</t>
  </si>
  <si>
    <t>OBST EVLYN GALLARDO WASSP</t>
  </si>
  <si>
    <t>CABELLO  BRONCANO  DE LOPEZ PAOLA ESMERALDA</t>
  </si>
  <si>
    <t>AV.PROGRESO 240 CERRO LA TRINIDAD</t>
  </si>
  <si>
    <t>975 631 812</t>
  </si>
  <si>
    <t>Mamas heterogéneamente densas
Impresiona imagen nodular ovalada de aspecto benigno a nivel de plano anterior de cuadrante superior externo
de mama izquierda
Calcificaciones de aspecto benigno en mama derecha</t>
  </si>
  <si>
    <t>CHANGANAQUI MORALES, CARMEN CECILIA</t>
  </si>
  <si>
    <t>JR. LA PALMA 383</t>
  </si>
  <si>
    <t>923 551 507</t>
  </si>
  <si>
    <t>Mamas heterogéneamente densas
Calcificaciones de aspecto benigno en cuadrante superior externo de mama derecha</t>
  </si>
  <si>
    <t>RAMOS CHINGA, NATALIA YSABEL</t>
  </si>
  <si>
    <t>JOSE CARLOS MARIATEGUI 113</t>
  </si>
  <si>
    <t>970 801 985</t>
  </si>
  <si>
    <t>FERNANDEZ LOPEZ SOFIA MAXIMINA</t>
  </si>
  <si>
    <t>PSJ SNA AMRTIN 17 INT 7</t>
  </si>
  <si>
    <t>CHANGANA BERNAL  ROSA DEL ROSARIO</t>
  </si>
  <si>
    <t xml:space="preserve">AV JORGE CHAVEZ 201 PSJ BERNAL </t>
  </si>
  <si>
    <t>Mamas heterogéneamente densas
Impresiona imagen nodular de aspecto benigno a nivel de plano posterior de cuadrante superior externo de
mama izquierda</t>
  </si>
  <si>
    <t>OBST KAREN  CARREÑO  WASSAP</t>
  </si>
  <si>
    <t>PEREZ RIOS CLOTILDE ANTONIA</t>
  </si>
  <si>
    <t xml:space="preserve">ASC CORONEL PORTILLO SILVA MZ C LOT 12 </t>
  </si>
  <si>
    <t>984 224 715</t>
  </si>
  <si>
    <t>Impresiona imágenes nodulares ovaladas radiodensas a nivel de plano medio de cuadrante superior externo de
mama derecha,
Calcificaciones de aspecto benigno dispersas en cuadrante superior externo de mama izquierda</t>
  </si>
  <si>
    <t xml:space="preserve">LINO  DELGADO  TOMASA </t>
  </si>
  <si>
    <t>JESUS DEL VALLE - PARCELA 9 - ESPALDA AMAUTA</t>
  </si>
  <si>
    <t xml:space="preserve">OLORTIGA MONCADA RUTH NELLY </t>
  </si>
  <si>
    <t>ESPINAR 120 EX CAMAL</t>
  </si>
  <si>
    <t>916 904 436</t>
  </si>
  <si>
    <t>Mamas heterogéneamente densas
Calcificación aislada de aspecto benigno en mama izquierda</t>
  </si>
  <si>
    <t xml:space="preserve">NUÑEZ GUARDAMINO  GRACIELA </t>
  </si>
  <si>
    <t>PROLONG UBALDE MZ A LT 11</t>
  </si>
  <si>
    <t>936 361 079</t>
  </si>
  <si>
    <t>REYES SANCHEZ DE GERMANY NOEMI DEL PILAR</t>
  </si>
  <si>
    <t>MANUEL UBALDE 148</t>
  </si>
  <si>
    <t>BERNAL LINDO, ROXANA ELIZABETH</t>
  </si>
  <si>
    <t>AV BARTOLOME PEREZ 589</t>
  </si>
  <si>
    <t>OBT ELIZABETH WASSAP</t>
  </si>
  <si>
    <t xml:space="preserve">MENDOZA DE LOS SANTOS MILAGROS </t>
  </si>
  <si>
    <t>LEONCIO PRADO 386</t>
  </si>
  <si>
    <t>GRUPO  WASSAP</t>
  </si>
  <si>
    <t>ROBES ESPINOZA DORA ELIZABETH</t>
  </si>
  <si>
    <t xml:space="preserve">PSJ LAS FLORES 130 </t>
  </si>
  <si>
    <t>ARIAS LUIS JULISSA IVET</t>
  </si>
  <si>
    <t>JR.TUPAC AMARU 312 URB.EL SOCORRO</t>
  </si>
  <si>
    <t>El estudio realizado muestra mamas con predomnio del componente graso ,sin evidenciar signos sospechosos de
NM.. Patron ACR Tipo A
Categoría BIRADS 1.</t>
  </si>
  <si>
    <t>DEXTRE MAGUIÑA SONIA LIDA</t>
  </si>
  <si>
    <t>SAN JUAN DE DIOS G.5</t>
  </si>
  <si>
    <t>COTRINA VELA VIOLETA ESTHER</t>
  </si>
  <si>
    <t>PAMPA LIBRE MZ M LT 2</t>
  </si>
  <si>
    <t>Mamas con sectores dispersos de densidad fibroglandular (ACR tipo B)
Asimetría en CSE e n mama derecha
Categoría BIRADS 3</t>
  </si>
  <si>
    <t>CHANGANAQUI ROMERO ANGELITA LEIDYS</t>
  </si>
  <si>
    <t>PSJ HUERTADO INT 10 LA HUAQUILLA</t>
  </si>
  <si>
    <t>BRAVO SAAVEDRA MIRLA AURORA</t>
  </si>
  <si>
    <t>RANCHERIA BAJO HUANDO 202</t>
  </si>
  <si>
    <t>El estudio realizado muestra mamas densas sin evidenciar signos sospechosos de NM.
Asimetria en CSE de mama izquierda
Categoría BIRADS 3</t>
  </si>
  <si>
    <t xml:space="preserve">ESPINOZA GARCIA PAOLA VANESSA
</t>
  </si>
  <si>
    <t>LOS CLAVELES MZ F LTE1</t>
  </si>
  <si>
    <t>Mamas heterogéneamente densas
Impresiona imagen nodular asociado a calcificaciones superpuestas a nivel de plano posterior de cuadrante
inferior interno de mama izquierda</t>
  </si>
  <si>
    <t>DE LOS SANTOS MENESE CHARITO ELENI</t>
  </si>
  <si>
    <t>URB.SAN JUAN MZ.E LT.13</t>
  </si>
  <si>
    <t>960 598 285</t>
  </si>
  <si>
    <t>APOLINARIO DE RIVERA DOMINGA DOMITILA</t>
  </si>
  <si>
    <t>CALLE DERECHA 698</t>
  </si>
  <si>
    <t xml:space="preserve">HENOSTROZA ZUÑIGA ELVIRA </t>
  </si>
  <si>
    <t>U.P. LAS GARDENIAS MZ H LOT 5</t>
  </si>
  <si>
    <t>ROMERO MARTINEZ NELLY ROSANNA</t>
  </si>
  <si>
    <t>AV SAN MARTIN DE PORRES 1459</t>
  </si>
  <si>
    <t>Mamas heterogéneamente densas
Impresiona imagen nodular a nivel de plano posterior de unión de cuadrantes superiores de mama izquierda</t>
  </si>
  <si>
    <t>CHINGA OYOLA CYNTIA LISSETI</t>
  </si>
  <si>
    <t>AV INDUSTRIAL 143</t>
  </si>
  <si>
    <t xml:space="preserve">CARWUIN </t>
  </si>
  <si>
    <t>SALAZAR  TORRES DIANA</t>
  </si>
  <si>
    <t>QUINTAY S/N</t>
  </si>
  <si>
    <t>Mamas extremadamente densas
Calcificaciones de aspecto benigno dispersas en ambas mamas</t>
  </si>
  <si>
    <t xml:space="preserve">BARRERA BONILLA MARI A ELSA </t>
  </si>
  <si>
    <t>PSJ LOPEZ MARTINEZ S/N LURIAMA</t>
  </si>
  <si>
    <t>O7104811</t>
  </si>
  <si>
    <t>DIAZ ORIHUELA MARIA ELIZABETH</t>
  </si>
  <si>
    <t>C.P. SAN JERONIMO BAJO LT. 10</t>
  </si>
  <si>
    <t>986 853 216</t>
  </si>
  <si>
    <t>PACHECO TORRES RUTH</t>
  </si>
  <si>
    <t>JR. IRENE SALVADOR 138</t>
  </si>
  <si>
    <t>NAVARRO MORALES MAYRA</t>
  </si>
  <si>
    <t>RICARDO PALMA 880 SAN BARTOLOME</t>
  </si>
  <si>
    <t>LOZADA RIOS VILMA NELIDA</t>
  </si>
  <si>
    <t>SACACHISPA MZ H LOT 4</t>
  </si>
  <si>
    <t>O8953795</t>
  </si>
  <si>
    <t>MARTINEZ SANTANDER WILDA JUDITH</t>
  </si>
  <si>
    <t>CALLE LOS GIRASOLES MZF LT22</t>
  </si>
  <si>
    <t>FLORES CONDOR INES ELIZABETH</t>
  </si>
  <si>
    <t>LACSAURA S/N- CHURIN</t>
  </si>
  <si>
    <t>OBST YOVANA CUEVA WASSAP</t>
  </si>
  <si>
    <t>COZ GONZALES BERTHA</t>
  </si>
  <si>
    <t>COMUNIDAD DE LA CHIMBA</t>
  </si>
  <si>
    <t>ANDAJES</t>
  </si>
  <si>
    <t>969 501 652</t>
  </si>
  <si>
    <t>CHIRRE PIZARRO DIANA MARLENE</t>
  </si>
  <si>
    <t>AV. DOMINGO MANDAMIENTO 190</t>
  </si>
  <si>
    <t>El estudio realizado muestra mamas densas , patrón ACR Tipo C
Calcificación típicamente benigna
Categoría BIRADS 0</t>
  </si>
  <si>
    <t>OBST KAREN CARREÑO WASSAP</t>
  </si>
  <si>
    <t>LOYOLA SARMEINTO  TRIBULINDA</t>
  </si>
  <si>
    <t>PEDRO P.  HERRERA S/N COMPAC BAJO</t>
  </si>
  <si>
    <t>TOLEDO CHANGANA ALICIA LORENA</t>
  </si>
  <si>
    <t>ATAHUALAPA S/N</t>
  </si>
  <si>
    <t>ROSALES VALERIO ROSA AMERICA</t>
  </si>
  <si>
    <t xml:space="preserve">PACHANGARA. AV SIMON BOLIVAR S/N </t>
  </si>
  <si>
    <t>BEDON MUÑOZ MARICRIS AURORA</t>
  </si>
  <si>
    <t xml:space="preserve">LOS PINOS MZB LT 6 ERA ETAPA </t>
  </si>
  <si>
    <t>Mamas heterogéneamente densas. Patrón ACR - C.
Asimetría en CSE de mama izquierda
Categoría BIRADS 3</t>
  </si>
  <si>
    <t>COLLANTES ROMERO NANCY MEDALIT</t>
  </si>
  <si>
    <t xml:space="preserve">AV. TAMBO BLANCO 2522 </t>
  </si>
  <si>
    <t>CALCIFICACIONES DE ASPECTO BENIGNO EN AMBAS MAMAS. AMBAS MAMAS HETEROGÉNEAMENTE DENSAS, SE SUGIERE COMPLEMENTAR CON ECOGRAFÍA POR DENSIDAD MAMARIA. BI-RADS: 2</t>
  </si>
  <si>
    <t>COLLANTES ROMERO GIOVANA MIRELLA</t>
  </si>
  <si>
    <t>AV.TAMBO BLANCO 2522</t>
  </si>
  <si>
    <t>ROJAS PADILLA DORIS JANNET</t>
  </si>
  <si>
    <t xml:space="preserve">PROL. SANTA ROSA 319 </t>
  </si>
  <si>
    <t>953 408 092</t>
  </si>
  <si>
    <t>REGALADO  PACHECO  VERONICA JANET</t>
  </si>
  <si>
    <t>PROLONG SANTA ROSA 629</t>
  </si>
  <si>
    <t>CAMELOAGA BARRON ROSA</t>
  </si>
  <si>
    <t>MLA VILLA MZ A LT 12</t>
  </si>
  <si>
    <t>COMPRENSION  MAMA IZQUIERDA+ ECOGRAFIA DE MAMAS</t>
  </si>
  <si>
    <t>PICHILINGUE SALVO LIZ VERONICA</t>
  </si>
  <si>
    <t>AA.HH. Bellavista - Végueta.</t>
  </si>
  <si>
    <t>EGUES GUERRA MARY ELEN</t>
  </si>
  <si>
    <t>PUMACAHUA 105 SOCORRO</t>
  </si>
  <si>
    <t>PRUDENCIO CALZADO NOEMI</t>
  </si>
  <si>
    <t>LOS PINOS MZ C LOT 5 HUAUARA</t>
  </si>
  <si>
    <t>LAOS CERVANTES MARTHA LUZ</t>
  </si>
  <si>
    <t>JR.M.ASPIAZU 120  EL SOCORRO</t>
  </si>
  <si>
    <t>VILLEGAS CHERO AGRIPINA</t>
  </si>
  <si>
    <t xml:space="preserve">AA HH SEÑOR  D ELOS  MILAGROS S/N </t>
  </si>
  <si>
    <t>VARGAS MARCHENA MARIA NATIVIDAD</t>
  </si>
  <si>
    <t>AA HH EL CARMEN 112</t>
  </si>
  <si>
    <t>SOLIS SAENZ ZAIDA ZORAIDA</t>
  </si>
  <si>
    <t>SAN JERONIMO MZ N LO T 20 LA GRANJA</t>
  </si>
  <si>
    <t>989 308 598</t>
  </si>
  <si>
    <t>OPACIDAD NODULAR EN MAMA DERECHA, SE SUGIERE ESTUDIO ECOGRAFICO PARA MEJOR CARACTERIZACION.
RESTO DE AMBAS MAMAS HETEROGÉNEAMENTE DENSAS, SE SUGIERE COMPLEMENTAR CON ECOGRAFÍA POR
DENSIDAD MAMARIA.
BI-RADS: 3</t>
  </si>
  <si>
    <t>OBT ENEIDA BARBOZA</t>
  </si>
  <si>
    <t>RIVERA OBISPO SABINA</t>
  </si>
  <si>
    <t>JUAN JOSE CRESPO 108</t>
  </si>
  <si>
    <t>OPACIDAD NODULAR EN MAMA IZQUIERDA, SE SUGIERE ESTUDIO ECOGRAFICO PARA MEJOR CARACTERIZACION.
RESTO DE LA MAMOGRAFÍA BILATERAL DENTRO DE LÍMITES NORMALES.
BI-RADS: 3</t>
  </si>
  <si>
    <t>BAUSTISTA ASCENCIOS LUZMILA MERLI</t>
  </si>
  <si>
    <t>CASERIO SANTA ROSA MZ Q LOT  15</t>
  </si>
  <si>
    <t>EUSTAQUIO DURAND ESPERANZA</t>
  </si>
  <si>
    <t>BENJAMIN DOIG LOSSIO 332 INT S/N</t>
  </si>
  <si>
    <t>OPACIDAD NODULAR EN MAMA DERECHA, SE SUGIERE ESTUDIO ECOGRAFICO PARA MEJOR CARACTERIZACION
CALCIFICACION DE ASPECTO BENIGNO EN MAMA DERECHA.
RESTO DE LA MAMOGRAFÍA BILATERAL DENTRO DE LÍMITES NORMALES.
BI-RADS: 3</t>
  </si>
  <si>
    <t>AYCA QUISPE HERLINDA GENARA</t>
  </si>
  <si>
    <t>SAN IGNACIO LOT 21-HUANDO</t>
  </si>
  <si>
    <t>OPACIDAD NODULAR EN MAMA DERECHA, SE SUGIERE ESTUDIO ECOGRAFICO PARA MEJOR CARACTERIZACION
RESTO DE AMBAS MAMAS HETEROGÉNEAMENTE DENSAS, SE SUGIERE COMPLEMENTAR CON ECOGRAFÍA POR
DENSIDAD MAMARIA.
BI-RADS: 3</t>
  </si>
  <si>
    <t>AMBAS MAMA SIN HALALZGOS PATOLOGICO</t>
  </si>
  <si>
    <t>Ø CALCIFICACIONES REDONDEADAS AGRUPADAS EN ZONA RETROAREOLAR MAMA DERECHA.
Ø RECOMENDACIÓN: CONTROL MAMOGRÁFICO ANUAL.</t>
  </si>
  <si>
    <t>VICTORIO TORIBIO  CARMEN MERCEDES</t>
  </si>
  <si>
    <t>PSJ SNATA ROSA 345 HUACHO</t>
  </si>
  <si>
    <t>RIQUELME LOPEZ DOLORES</t>
  </si>
  <si>
    <t>AA HH ALBERTO  FUJIMORI  MZ T LOT 14 LOS PINOS</t>
  </si>
  <si>
    <t>PALOMINO  RIQUELME SENAIDA BEATRIZ</t>
  </si>
  <si>
    <t>AA HH LOS PINO S MZ V LOT  3</t>
  </si>
  <si>
    <t>OPACIDAD NODULAR IRREGULAR, DE CONTORNOS MAL DEFINIDOS, EN MAMA IZQUIERDA, SE SUGIERE ESTUDIO
ECOGRAFICO PARA MEJOR CARACTERIZACION.
AMBAS MAMAS EXTREMADAMENTE DENSAS, SE SUGIERE COMPLEMENTAR CON ECOGRAFÍA POR DENSIDAD
MAMARIA.
BI-RADS: 0</t>
  </si>
  <si>
    <t>TUMORACION EN MAMA IZQUIERDA. BI-RADS 3</t>
  </si>
  <si>
    <t>BX MAMA</t>
  </si>
  <si>
    <t>GUARDALES FLORIA SILVIA  KARIN</t>
  </si>
  <si>
    <t>SAN JUDAS TADEO  D-3 LOT 14 JR LAS PONCIANAS</t>
  </si>
  <si>
    <t>OBT MIRELLA ROSADO  WASSAP</t>
  </si>
  <si>
    <t>TAPIA JULCA VICTORI ROSALINA</t>
  </si>
  <si>
    <t xml:space="preserve">PSJ BELLA VISTA 133 </t>
  </si>
  <si>
    <t>PX 06/04/2026</t>
  </si>
  <si>
    <t>BAZALAR TAMARIZ, INGRID MINNELLY</t>
  </si>
  <si>
    <t>PSJ AUSEJO  PINTADOAMZ A LOT 4 AMAY</t>
  </si>
  <si>
    <t>937 598 974</t>
  </si>
  <si>
    <t>CALCIFICACION DE ASPECTO BENIGNO EN MAMA IZQUIERDA,
RESTO DE LA MAMOGRAFÍA BILATERAL DENTRO DE LÍMITES NORMALES.
BI-RADS: 2</t>
  </si>
  <si>
    <t>BUSTAMANTE CHIRRE SANTA</t>
  </si>
  <si>
    <t>ESTEBAN PICHILINGUE 685</t>
  </si>
  <si>
    <t>CANALES CHAFALOTE JUANA MARIA</t>
  </si>
  <si>
    <t>AV EL MILAGRO  580  INT S/N</t>
  </si>
  <si>
    <t>QUISPE RAMOS ELISA</t>
  </si>
  <si>
    <t>AV MILAGRO  660</t>
  </si>
  <si>
    <t>CALVO NIÑO NENNETTI RUTH</t>
  </si>
  <si>
    <t xml:space="preserve"> URB. HUACHO MZ.F LT.05</t>
  </si>
  <si>
    <t>LA ROSA JARA MIRIAM MARLENE</t>
  </si>
  <si>
    <t>PSJ SAN MARTIN 295 1</t>
  </si>
  <si>
    <t>IZQUIERDO PRINCIPE MARIA</t>
  </si>
  <si>
    <t>AV. DOMINGO MANDAMIENTO 376</t>
  </si>
  <si>
    <t>OPACIDADES NODULARES EN MAMA IZQUIERDA, SE SUGIERE ESTUDIO ECOGRAFICO PARA MEJOR
CARACTERIZACION
RESTO DE LA MAMOGRAFÍA BILATERAL DENTRO DE LÍMITES NORMALES.
BI-RADS: 3</t>
  </si>
  <si>
    <t>GONZALES IZQUIERDO MARICELA MARGOT</t>
  </si>
  <si>
    <t>973 504 168</t>
  </si>
  <si>
    <t>OSORIO  EVALNGELIOSTA DE MONTANO  MARTA ZORAIDA</t>
  </si>
  <si>
    <t>URB.LOS CIPRECES LT.M 27</t>
  </si>
  <si>
    <t>SOSA ESTUPIÑAN LILIA DEL CARMEN</t>
  </si>
  <si>
    <t>URB HUACHO  S/N LOS DEPORTES</t>
  </si>
  <si>
    <t>HUAHCO</t>
  </si>
  <si>
    <t>CALCIFICAICONES DE ASPECTO BENIGNO.
RESTO DE LA MAMOGRAFÍA BILATERAL DENTRO DE LÍMITES NORMALES.
BI-RADS: 2</t>
  </si>
  <si>
    <t>AZABACHE BUSTAMANTE ROCIO VANESA</t>
  </si>
  <si>
    <t>CALLE PESCADORES 152</t>
  </si>
  <si>
    <t>ROSELL SANCHEZ DE OCHOA CARMEN  SILENE</t>
  </si>
  <si>
    <t>SECTOR COSTA AZUL  MZ N-7 LOT  5</t>
  </si>
  <si>
    <t>OPACIDAD NODULAR EN MAMA DERECHA, SE SUGIERE ESTUDIO ECOGRAFICO PARA MEJOR CARACTERIZACION.
CALCIFICACIONES DE ASPECTO BENIGNO EN AMBAS MAMAS
RESTO DE LA MAMOGRAFÍA BILATERAL DENTRO DE LÍMITES NORMALES.
BI-RADS: 3</t>
  </si>
  <si>
    <t>ANDRADE MELENDEZ YESENIA</t>
  </si>
  <si>
    <t>CALLE MIGUEL GRAU 141</t>
  </si>
  <si>
    <t>SACRAMENTO CAPUÑAY MILAGROS SOLEDAD</t>
  </si>
  <si>
    <t>alfonso ugarte 235</t>
  </si>
  <si>
    <t>manzanares</t>
  </si>
  <si>
    <t>PAUCAR CCENCHO ERNESTINA</t>
  </si>
  <si>
    <t>IRRIG SANTA ROSA</t>
  </si>
  <si>
    <t>OBST DANIVIA CASTAÑEDA WASSAP</t>
  </si>
  <si>
    <t>DE LA CRUZ DE JARA MIRYAN</t>
  </si>
  <si>
    <t>CALLE CENTRAL LINO CAHUAS E-6</t>
  </si>
  <si>
    <t>SUAREZ TOLEDO MARIA CRISTINA</t>
  </si>
  <si>
    <t>Av Leoncio prado mz D int 11- Huacho</t>
  </si>
  <si>
    <t>PEÑA POVIS MARIA</t>
  </si>
  <si>
    <t>ASENT.H.EL CARMEN MZ.A2</t>
  </si>
  <si>
    <t>SILVANO MURAYARI LALI MARILU</t>
  </si>
  <si>
    <t>AV CINCUENTENARIO 971</t>
  </si>
  <si>
    <t>LA ROSA GRADOS JESUS</t>
  </si>
  <si>
    <t>AV CENTENARIO 1332</t>
  </si>
  <si>
    <t>URBANO MONTES FELICITA FLORENCIA</t>
  </si>
  <si>
    <t>AV SAN MARTIN  1435</t>
  </si>
  <si>
    <t>GRUESA CALCIFICACION DE APECTO BENIGNO EN MAMA IZQUIERDA.
RESTO DE AMBAS MAMAS HETEROGÉNEAMENTE DENSAS, SE SUGIERE COMPLEMENTAR CON ECOGRAFÍA POR
DENSIDAD MAMARIA.
BI-RADS: 2</t>
  </si>
  <si>
    <t>SILVA LOZAYSA IRENE</t>
  </si>
  <si>
    <t xml:space="preserve">LOS JARDINES DE SANTA MARIA </t>
  </si>
  <si>
    <t>PEREZ NUÑEZ HUMNELINA</t>
  </si>
  <si>
    <t>CALLE MILAGROS</t>
  </si>
  <si>
    <t>994 448 709</t>
  </si>
  <si>
    <t>LAURA QUISPE JEMA ROSALI</t>
  </si>
  <si>
    <t>AA. HH LOS ALAMOS O-12</t>
  </si>
  <si>
    <t>ASCANOVA VELASQUEZ ANSY</t>
  </si>
  <si>
    <t>c.p 9 de octubre f-2</t>
  </si>
  <si>
    <t>ACUÑA VILLANUEVA JUDITH</t>
  </si>
  <si>
    <t>CARRETERA PANAMERICA NORTE KM162 PRIMAVERA</t>
  </si>
  <si>
    <t>PONGO ORTEGA MARILU</t>
  </si>
  <si>
    <t>LAS LOMAS DE SANTA MARIA LOT 1 MZ E</t>
  </si>
  <si>
    <t>OBST EVLYN GALLARDO WASSAP</t>
  </si>
  <si>
    <t>DIAZ BERNAL YULY</t>
  </si>
  <si>
    <t>AA.HH. 3 PUENTES ZAPATA</t>
  </si>
  <si>
    <t>ORTEGA VILLARREAL  MARIA</t>
  </si>
  <si>
    <t>ASOC. DE VIV. SAN ATONIO FUJIMORI 2ETAPA</t>
  </si>
  <si>
    <t>LA ROSA PARADA SARA VELIZABETH</t>
  </si>
  <si>
    <t>av tupac amaru 133 int 8</t>
  </si>
  <si>
    <t>TALANCHA ESPINOZA MARIA TERESA</t>
  </si>
  <si>
    <t>PROL SALAVERRE 152</t>
  </si>
  <si>
    <t>CALCIFICACIONES DE ASPECTO BENIGNO.
RESTO DE AMBAS MAMAS HETEROGÉNEAMENTE DENSAS, SE SUGIERE COMPLEMENTAR CON ECOGRAFÍA POR
DENSIDAD MAMARIA.
BI-RADS: 2</t>
  </si>
  <si>
    <t>CHANGANA CHINGA VICTORIA</t>
  </si>
  <si>
    <t>PSJ POPULAR S/N</t>
  </si>
  <si>
    <t>STA MARIA</t>
  </si>
  <si>
    <t>NR</t>
  </si>
  <si>
    <t>MORALES SALVADOR ISABEL</t>
  </si>
  <si>
    <t>AV LAS ROSAS 258</t>
  </si>
  <si>
    <t>MELGAREJO SALAS NILDA NORMA</t>
  </si>
  <si>
    <t>CALLE FERROCARRIL S/N</t>
  </si>
  <si>
    <t>CALCIFICACIONES DE ASPECTO BENIGNO EN MAMA DERECHA.
RESTO DE AMBAS MAMAS HETEROGÉNEAMENTE DENSAS, SE SUGIERE COMPLEMENTAR CON ECOGRAFÍA POR
DENSIDAD MAMARIA.
BI-RADS: 2</t>
  </si>
  <si>
    <t>ROSALES CHAVARRIA CARMEN</t>
  </si>
  <si>
    <t>JARDINES SANTA MARIA S/N</t>
  </si>
  <si>
    <t>GUIZADA VETOCILLA KARINA</t>
  </si>
  <si>
    <t xml:space="preserve"> CALLE TERTRAZAS DE HORNILLOS MZ A LT 4</t>
  </si>
  <si>
    <t>HUAMAN QUILLAY CUSY LUCINA</t>
  </si>
  <si>
    <t>PSJ COLAN Nª25</t>
  </si>
  <si>
    <t>C.E: 006314094</t>
  </si>
  <si>
    <t>FERRER DE VALERA CARMEN ELENA</t>
  </si>
  <si>
    <t>EL MILAGRO</t>
  </si>
  <si>
    <t xml:space="preserve">1.	LA MAMOGRAFIA BILATERAL SIN HALLAZGOS DE IMÁGENES SOSPECHOSAS DE MALIGNIDAD. MAMAS CON PREDOMINANTE COMPONENTE ADIPOSO.
2.	CATEGORIA BI-RADS: 1 (RESULTADO NEGATIVO).
</t>
  </si>
  <si>
    <t>PX:27/03/2026</t>
  </si>
  <si>
    <t>DNI:03862885</t>
  </si>
  <si>
    <t>DE LA CRUZ CARRASCO MARIA ELENA</t>
  </si>
  <si>
    <t>PROL LEONCIO PRADO 152</t>
  </si>
  <si>
    <t>MICROCALCIFICACIONES AGRUPADAS EN MAMA IZQUIERDA, SE SUGIERE CONTROL POSTERIOR.
OPACIDAD NODULAR EN MAMA DERECHA, SE SUGIERE ESTUDIO ECOGRAFICO PARA MEJOR CARACTERIZACION
RESTO DE AMBAS MAMAS EXTREMADAMENTE DENSAS, SE SUGIERE COMPLEMENTAR CON ECOGRAFÍA POR
DENSIDAD MAMARIA.
BI-RADS: 0</t>
  </si>
  <si>
    <t>MALDONADO ROJAS EVELINA</t>
  </si>
  <si>
    <t>CALLE HUSARES DE JUNIN 845</t>
  </si>
  <si>
    <t>ALBORNOZ ALVARADO ROSA</t>
  </si>
  <si>
    <t>AV. CENTENARIO AAHH VIRGEN DEL CARMEN MZD LT 11</t>
  </si>
  <si>
    <t>SAN LORENZO</t>
  </si>
  <si>
    <t xml:space="preserve">MAMAS HETEROGÉNEAMENTE DENSAS, SE SUGIERE COMPLEMENTAR CON ECOGRAFÍA POR DENSIDAD MAMARIA.
BI-RADS: </t>
  </si>
  <si>
    <t>RICAPPA MENDOZA MARLENE SILVIA</t>
  </si>
  <si>
    <t>AV. LA PAZ 518 INT 3</t>
  </si>
  <si>
    <t>OPACIDAD NODULAR EN MAMA DERECHA, SE SUGIERE ESTUDIO ECOGRAFICO PARA MEJOR CARACTERIZACION
RESTO DE LA MAMOGRAFÍA BILATERAL DENTRO DE LÍMITES NORMALES.
BI-RADS: 0</t>
  </si>
  <si>
    <t>PALOMINO RAMIREZ NORMA CRISTINA</t>
  </si>
  <si>
    <t>JR ALFONSO UGARTE 290</t>
  </si>
  <si>
    <t>FALCON INGA CARMEN</t>
  </si>
  <si>
    <t>CP  SANTA FE CALLE LAS AZUCENAS MZ F LO T 8</t>
  </si>
  <si>
    <t xml:space="preserve"> 1.	AMBAS MAMAS SON HETEROGÉNEAMENTE DENSAS, QUE PODRÍAN OCULTAR NÓDULOS PEQUEÑOS; AMERITA EVALUAR CON ECOGRAFIA.
2.	CALCIFICACIONES TÍPICAMENTE BENIGNAS EN AMBAS MAMAS. 
3.	CATEGORIA BI-RADS: 0.
</t>
  </si>
  <si>
    <t xml:space="preserve"> whatsapp</t>
  </si>
  <si>
    <t>MORALES ROJAS DANIELA</t>
  </si>
  <si>
    <t>CALLE TUPAC AMARU 145 SOCORRO</t>
  </si>
  <si>
    <t xml:space="preserve"> HUAURA</t>
  </si>
  <si>
    <r>
      <rPr>
        <sz val="9"/>
        <color rgb="FF000000"/>
        <rFont val="Times New Roman"/>
      </rPr>
      <t xml:space="preserve"> </t>
    </r>
    <r>
      <rPr>
        <sz val="9"/>
        <color rgb="FF000000"/>
        <rFont val="Calibri"/>
      </rPr>
      <t>MAMOGRAFIA BILATERAL SIN HALLAZGOS DE IMÁGENES SOSPECHOSAS DE MALIGNIDAD.</t>
    </r>
  </si>
  <si>
    <t>OBST BRENDA  whatsapp</t>
  </si>
  <si>
    <t>NUÑEZ VALVERDE DE GUILLEN MAGDALENA CARMEN</t>
  </si>
  <si>
    <t>SECTOR CENTRAL  135 CHANCAYLLO</t>
  </si>
  <si>
    <t xml:space="preserve">NÓDULOS EN MAMA IZQUIERDA. D/C FIBROADENOMA INVOLUTIVO. 2.	CALCIFICACIONES TÍPICAMENTE BENIGNAS EN AMBAS MAMAS. </t>
  </si>
  <si>
    <t>ARREDONDO LEON ANA ELIZABETH</t>
  </si>
  <si>
    <t xml:space="preserve">PSJ ALCIVIADES PACHECO S/N </t>
  </si>
  <si>
    <t xml:space="preserve"> 1.	ASIMETRÍA MAMA DERECHA.
2.	CATEGORIA BI-RADS: 0.
</t>
  </si>
  <si>
    <t>LEZAMETA VILLADEZA LIDIA  NORMA</t>
  </si>
  <si>
    <t>AA HH EL CARMEN R-5</t>
  </si>
  <si>
    <t>ALVARO  TRUJILLO  DORA MARIA</t>
  </si>
  <si>
    <t>LOS PINOS CALLE LIMA MZ E LOT 1</t>
  </si>
  <si>
    <t>928 808 696</t>
  </si>
  <si>
    <t xml:space="preserve"> 1.	AMBAS MAMAS SON HETEROGÉNEAMENTE DENSAS, QUE PODRÍAN OCULTAR NÓDULOS PEQUEÑOS; AMERITA EVALUAR CON ECOGRAFIA.
2.	CALCIFICACIONES REDONDEADAS TÍPICAMENTE BENIGNAS EN AMBAS MAMAS. 
3.	CATEGORIA BI-RADS: 0.
</t>
  </si>
  <si>
    <t xml:space="preserve">ROJAS MARENGO  SANDRA ROCIO  </t>
  </si>
  <si>
    <t xml:space="preserve">AV CINCUNETNARIO  S/N </t>
  </si>
  <si>
    <t>AMBAS MAMAS SON HETEROGÉNEAMENTE DENSAS, QUE PODRÍAN OCULTAR NÓDULOS PEQUEÑOS; AMERITA EVALUAR CON ECOGRAFIA.</t>
  </si>
  <si>
    <t>ECHEGARAY  CHILENO  MERCEDES LUCY</t>
  </si>
  <si>
    <t xml:space="preserve">PSJ LA POPULAR 110 </t>
  </si>
  <si>
    <t xml:space="preserve"> 1.	ASIMETRÍA FOCAL MAMA IZQUIERDA.
2.	CATEGORIA BI-RADS: 0.
</t>
  </si>
  <si>
    <t>MANTILLA FLORES IRMA</t>
  </si>
  <si>
    <t>PSJ LOS OLIVOS C-8 DGO MANDMAIENTO</t>
  </si>
  <si>
    <t xml:space="preserve"> 1.	NÓDULO EN MAMA IZQUIERDA.
2.	RETRACCIÓN DEL PEZÓN DERECHO
3.	CALCIFICACIONES TÍPICAMENTE BENIGNAS EN AMBAS MAMAS. 
4.	CATEGORIA BI-RADS: 0.
</t>
  </si>
  <si>
    <t>MUNDO  QUICHE ROXANAN ELIZABETH</t>
  </si>
  <si>
    <t xml:space="preserve"> CALLE LOS OLIVOS DE AMAY 306</t>
  </si>
  <si>
    <r>
      <rPr>
        <sz val="9"/>
        <color rgb="FF000000"/>
        <rFont val="Times New Roman"/>
      </rPr>
      <t xml:space="preserve"> </t>
    </r>
    <r>
      <rPr>
        <sz val="9"/>
        <color rgb="FF000000"/>
        <rFont val="Calibri"/>
      </rPr>
      <t>AMBAS MAMAS SON HETEROGÉNEAMENTE DENSAS, QUE PODRÍAN OCULTAR NÓDULOS PEQUEÑOS; AMERITA EVALUAR CON ECOGRAFIA.</t>
    </r>
  </si>
  <si>
    <t xml:space="preserve">MATA ROJAS LUZMILA ANA </t>
  </si>
  <si>
    <t>AA HH TIERRA PRMETIDA MZ B LOT 7</t>
  </si>
  <si>
    <t xml:space="preserve">1.	 MAMOGRAFIA BILATERAL SIN HALLAZGOS DE IMÁGENES SOSPECHOSAS DE MALIGNIDAD. 
2.	CATEGORIA BI-RADS: 1(RESULTADO NEGATIVO).
</t>
  </si>
  <si>
    <t xml:space="preserve">BI-RADS 1	</t>
  </si>
  <si>
    <t>RIVERA  CARLOS ELIZABETH BETY</t>
  </si>
  <si>
    <t>LOS ROBLES MZ 7 LOT 6 MANZANARES</t>
  </si>
  <si>
    <t xml:space="preserve">NÓDULO EN MAMA IZQUIERDA EAD. / RETRACCION DE AMBOS PEZONES/ CALCIFICACIONES TÍPICAMENTE BENIGNAS EN AMBAS MAMAS. </t>
  </si>
  <si>
    <t>SUSAN MARXTON WHATSAPP</t>
  </si>
  <si>
    <t>GAITAAN CALERO  JULIA</t>
  </si>
  <si>
    <t>AUGUSTO  B LEGIO  205</t>
  </si>
  <si>
    <t xml:space="preserve">1.	AMBAS MAMAS SON HETEROGÉNEAMENTE DENSAS, QUE PODRÍAN OCULTAR NÓDULOS PEQUEÑOS; AMERITA EVALUAR CON ECOGRAFIA. 
2.	CALCIFICACIONES REDONDEADAS TÍPICAMENTE BENIGNAS EN AMBAS MAMAS. 
3.	CATEGORIA BI-RADS: 0.
</t>
  </si>
  <si>
    <t>RODRIGUEZ CALDERON MIRLA YULISA</t>
  </si>
  <si>
    <t>JR PAMPA D ELARA 472 -474</t>
  </si>
  <si>
    <t>TORIBIO SAMAR DE VICTORIO  CRECENCIANA</t>
  </si>
  <si>
    <t xml:space="preserve">AV GARCILAZO D ELA VEGA 142 </t>
  </si>
  <si>
    <t xml:space="preserve">NODULO EN CSE MAMA IZQUIERDA EAD /CALCIFICACIONES VASCULARES TÍPICAMENTE BENIGNAS EN AMBAS MAMAS. </t>
  </si>
  <si>
    <t>RAMOS LANDA MARIA LIDIA</t>
  </si>
  <si>
    <t xml:space="preserve">PSJ SUCRE 101 </t>
  </si>
  <si>
    <t xml:space="preserve">1.	AMBAS MAMAS SON HETEROGÉNEAMENTE DENSAS, QUE PODRÍAN OCULTAR NÓDULOS PEQUEÑOS; AMERITA EVALUAR CON ECOGRAFIA. 
2.	CATEGORIA BI-RADS: 0.
</t>
  </si>
  <si>
    <t>BAZO  LA ROSA MARIA PAULINA</t>
  </si>
  <si>
    <t>CIRO ALEGRIA  740 SAN BARTOLOME I ETAPA</t>
  </si>
  <si>
    <t xml:space="preserve"> 1.	ASIMETRIA FOCAL RETROAREOLAR IZQUIERDA EAD.
2.	BI-RADS: 0
</t>
  </si>
  <si>
    <t>OBST  ELIZABETH  whatsapp</t>
  </si>
  <si>
    <t>O6778619</t>
  </si>
  <si>
    <t xml:space="preserve">GARRO  CULQUI MANUELA </t>
  </si>
  <si>
    <t xml:space="preserve">TUPAC AMARU  MZ I-1 LOT9 </t>
  </si>
  <si>
    <t xml:space="preserve"> 1.	NÓDULO CON FOCO DE CALCIFICAION EN CSI DE MAMA IZQUIERDA. PROBABLE FIBROADENOMA.
2.	CATEGORIA BI-RADS: 0.
</t>
  </si>
  <si>
    <t>ENVIAR RS AL WASSAP</t>
  </si>
  <si>
    <t>CRUZ CORTEZ BRIGIDA ZENAIDA</t>
  </si>
  <si>
    <t>CASERIO  SOQUE - CALPA</t>
  </si>
  <si>
    <t xml:space="preserve">	AMBAS MAMAS SON HETEROGÉNEAMENTE DENSAS, QUE PODRÍAN OCULTAR NÓDULOS PEQUEÑOS; AMERITA EVALUAR CON ECOGRAFIA.
2.	CATEGORIA BI-RADS: 0.
</t>
  </si>
  <si>
    <t>PX 30/03/2026 WHATSAPP</t>
  </si>
  <si>
    <t>SERNAQUE VALVERDE MARIA DEL PILAR</t>
  </si>
  <si>
    <t>SAN MARTIN 123</t>
  </si>
  <si>
    <t>GARCIA  REY  DORANK ADRIELL</t>
  </si>
  <si>
    <t>URB EL OLOVAR MZ D LOT 5</t>
  </si>
  <si>
    <t xml:space="preserve">1.	AMBAS MAMAS SON HETEROGÉNEAMENTE DENSAS, QUE PODRÍAN OCULTAR NÓDULOS PEQUEÑOS; AMERITA EVALUAR CON ECOGRAFIA.
2.	CATEGORIA BI-RADS: 0.
</t>
  </si>
  <si>
    <t>19/03/2026 TARDE</t>
  </si>
  <si>
    <t>GUERRERO LANDA KETTY VERÒNICA</t>
  </si>
  <si>
    <t>AV. INDUSTRIAL 419</t>
  </si>
  <si>
    <t>VERAMENDI ROJAS ALICIA</t>
  </si>
  <si>
    <t>CHACRAS S/N</t>
  </si>
  <si>
    <t>El estudio realizado muestra mamas densas sin evidenciar signos sospechosos de NM.
Calcificaciones vasculares en ambas mamas, típicamente benignas
Categoría BIRADS 2</t>
  </si>
  <si>
    <t>VALDIVIA ALARCON ROSA MARIA</t>
  </si>
  <si>
    <t>PASJE CALLAO 144</t>
  </si>
  <si>
    <t>Mamas heterogéneamente densas. Patrón ACR - C.
Asimetría de densidad en CSI de mama derecha
Categoría BIRADS 0</t>
  </si>
  <si>
    <t>20/03/2026 YULI VERGARA WASSAP</t>
  </si>
  <si>
    <t>SULLON VILLEGAS MARIA ANGELA</t>
  </si>
  <si>
    <t>CALLE LEONCIO PRADO 228</t>
  </si>
  <si>
    <t>TAHUA CARRANZA SANTA FRANCISCA</t>
  </si>
  <si>
    <t>NUEVE DE DICIEMBR. UBN SÑR DE LOS MILAGROS MZD LOTE 3</t>
  </si>
  <si>
    <t>VALDIVIA LLASHAC MARIA ANGELICA</t>
  </si>
  <si>
    <t>AV. LAS FLORES MZ N LOTE 29</t>
  </si>
  <si>
    <t>MARTEL ARQUINIGO FLORMIRA</t>
  </si>
  <si>
    <t>AHH EL JARDIN DE STA MARIA MZ D LOTE3</t>
  </si>
  <si>
    <t>HIDALGO PICHILINGUE ROSE MARY</t>
  </si>
  <si>
    <t>CALLE AZUCENA 123</t>
  </si>
  <si>
    <t>SUPE PUERTO</t>
  </si>
  <si>
    <t>CALCIFICACION DE ASPECTO BENIGNO EN MAMA DERECHA.
RESTO DE LA MAMOGRAFÍA BILATERAL DENTRO DE LÍMITES NORMALES.
BI-RADS: 2</t>
  </si>
  <si>
    <t>23/03/2026 OBST YULI VERGARA WASSAP</t>
  </si>
  <si>
    <t>CHILON VILLENA MARIA YSABEL</t>
  </si>
  <si>
    <t>CALLE SAN PEDRO 357</t>
  </si>
  <si>
    <t xml:space="preserve">MARIN GARCIA MARUJA </t>
  </si>
  <si>
    <t>ASOC. DE POBLADORES CHACRA RIOS MZ LOTE 9</t>
  </si>
  <si>
    <t xml:space="preserve">ARELLANO LUNA CLARITA LIBERATA </t>
  </si>
  <si>
    <t>URB FCO MZA LOTE 1</t>
  </si>
  <si>
    <t>OBST  YOVANA CUEVA WASSAP</t>
  </si>
  <si>
    <t>ZAMORA GALLARDO IMELDA</t>
  </si>
  <si>
    <t>AV LIBERTAD 1129</t>
  </si>
  <si>
    <t>GALLARDO GAMONAL BREMILDA</t>
  </si>
  <si>
    <t>URB. LA VILLA 617</t>
  </si>
  <si>
    <t>LICITO AYALA OLGA</t>
  </si>
  <si>
    <t>AV. 28 JULIO 900</t>
  </si>
  <si>
    <t>ALVARADO ALPISTE ERICA OLGA</t>
  </si>
  <si>
    <t>AV IRENE SALVADOR 745</t>
  </si>
  <si>
    <t>MICROCALCIFICACIONES PUNTIFORMES AGRUPADAS EN AMBAS MAMAS, SE SUGIERE CONTROL POSTERIOR CON
MAGNIFICACION Y ESTUDIO ECOGRAFICO COMPLEMENTARIO.
RESTO DE AMBAS MAMAS EXTREMADAMENTE DENSAS, SE SUGIERE COMPLEMENTAR CON ECOGRAFÍA POR
DENSIDAD MAMARIA.
BI-RADS: 3</t>
  </si>
  <si>
    <t>ALBORNOZ RODRIGUEZ MARBEL</t>
  </si>
  <si>
    <t>JARDIN DE STA MARIA MA Z LOTE 3</t>
  </si>
  <si>
    <t>ESPINOZA SIFUENTES LILY MAGDA</t>
  </si>
  <si>
    <t>URB BARBARA DE LOTE 19</t>
  </si>
  <si>
    <t>RIVERA JUSTINIANO RUTH ESTER</t>
  </si>
  <si>
    <t>RURB.HUACHO S/N</t>
  </si>
  <si>
    <t>OCAÑA ROMERO JUANA HERMELINDA</t>
  </si>
  <si>
    <t>CALLE. LAURIMA S/N</t>
  </si>
  <si>
    <t>CARRION YTA VILMA YANETH</t>
  </si>
  <si>
    <t>LAS PALMERAS UNIDAS MZ F LOTE 11</t>
  </si>
  <si>
    <t>DELGADO VALLADARES MIRTHA JAQUELIN</t>
  </si>
  <si>
    <t>AV. AVIACION MZ C LOTE 10</t>
  </si>
  <si>
    <t xml:space="preserve">ALVARO  OLIVAS GREGORIA </t>
  </si>
  <si>
    <t>AA.HH. EL JARDIN DE SANTA MARIA MZ. H LT. 02</t>
  </si>
  <si>
    <t>BOCANEGRA APONTE DE ORBEGOSO OTILIA ELIZABETH</t>
  </si>
  <si>
    <t>LEONCIO  PRADO PSJ  MARTINEZ 395 INT 5  - LOS NATURALES</t>
  </si>
  <si>
    <t>978 873 112</t>
  </si>
  <si>
    <t>PIJO  CRUZ ALVINA ESPERANZA</t>
  </si>
  <si>
    <t xml:space="preserve">COMUNIDAD LA CHIMBA </t>
  </si>
  <si>
    <t>YANAC ASENCIO SONIA AKIKO</t>
  </si>
  <si>
    <t>AV SOLAR 508</t>
  </si>
  <si>
    <t>FIGUEROA DIAZ NANCY  AMELIA</t>
  </si>
  <si>
    <t xml:space="preserve">CALLE LAS MARGARTAS 135 URB VOCTRIA BAJA </t>
  </si>
  <si>
    <t>CHAVEZ JACOME SHEYLA ESMERALDA</t>
  </si>
  <si>
    <t>PAMPA DE LARA INT. 316</t>
  </si>
  <si>
    <t>P.S LAURIAMA</t>
  </si>
  <si>
    <t>ECOGRAFIA DE MAMAS + MAMOGARFIA ANUAL</t>
  </si>
  <si>
    <t>RAMOS GUTIERREZ VDA VELASQUEZ  LETICIA YULISSA</t>
  </si>
  <si>
    <t xml:space="preserve">AV PERU S/N </t>
  </si>
  <si>
    <t>Mamas heterogéneamente densas. Patrón ACR - C.
Asimetrtia de densidad en CSE de mama derecha
Categoría BIRADS 3</t>
  </si>
  <si>
    <t>QUICHE QUICHIZ NANCY EMPERATRIZ</t>
  </si>
  <si>
    <t>ASOC ALFA Y OMEGA MZ A LT 5</t>
  </si>
  <si>
    <t>ARANDA ZAMBRANO HENADINA</t>
  </si>
  <si>
    <t>ASCO. SAN SEBASTIAM MZ C S/N</t>
  </si>
  <si>
    <t>OBST ELIZANETH ZAMORA WASSAP</t>
  </si>
  <si>
    <t>ESPINOZA GAMARA ELIADISA</t>
  </si>
  <si>
    <t>URB. SAN JUAN L.24</t>
  </si>
  <si>
    <t>Mamas con sectores dispersos de densidad fibroglandular (ACR tipo B)
Asiemtria de densidad en CSE de mama derecha
Categoría BIRADS 3.</t>
  </si>
  <si>
    <t>CHILENO TRUJILLO CARMEN</t>
  </si>
  <si>
    <t>AAHH 1 DE JUNIO MZ B LT 16</t>
  </si>
  <si>
    <t>ZAPATA</t>
  </si>
  <si>
    <t>OBST ELIZANETH WASSAP</t>
  </si>
  <si>
    <t>CUADRA CARBAJAL YOLANDA CARMEN</t>
  </si>
  <si>
    <t>PSJE. PRIMERO DE MAYO 232</t>
  </si>
  <si>
    <t>GONZALES ECHEGARAY CARMEN</t>
  </si>
  <si>
    <t>JUAN VELASCO ALVARADO M,Z A LT23</t>
  </si>
  <si>
    <t>Mamas con sectores dispersos de densidad fibroglandular (ACR tipo B)
Calcificaciones típicamente benignas en mama izquierda
Categoría BIRADS 2.</t>
  </si>
  <si>
    <t xml:space="preserve">GUEVARA LA TORRE MARIANELA </t>
  </si>
  <si>
    <t>CALLE BENJAMIN VIZQUERRA S/N</t>
  </si>
  <si>
    <t>Mamas heterogéneamente densas. Patrón ACR - C.
Calcifcaciones tipicamente benignas en ambas mamas
Categoría BIRADS 0</t>
  </si>
  <si>
    <t>RAMOS CONDORI MELINA ROSARIO</t>
  </si>
  <si>
    <t>OVALO CHACRA Y MAR KM. 75</t>
  </si>
  <si>
    <t>El estudio realizado muestra mamas heterogeneamente densas,sin evidenciar signos sospechosos de NM.
Categoría BIRADS 1.</t>
  </si>
  <si>
    <t>ROSALES CARBAJAL HAIDEE</t>
  </si>
  <si>
    <t>AV CINCUENTENARIO A9</t>
  </si>
  <si>
    <t>Mamas con sectores dispersos de densidad fibroglandular (ACR tipo B)
Nodulo de margenes circunscritos en CIE mama izquierda
Categoría BIRADS 3</t>
  </si>
  <si>
    <t>RIMAC ROSALES EVELYN DENISSE</t>
  </si>
  <si>
    <t>El estudio realizado muestra mamas heterogeneamente densas sin evidenciar signos sospechosos de NM.
Categoría BIRADS 1.</t>
  </si>
  <si>
    <t>MUÑOZ TIRADO MARIA</t>
  </si>
  <si>
    <t>SAN MARTIN LA CRUZ S/N PARAISO</t>
  </si>
  <si>
    <t>GOMERO ARAUJO FLOR ARACELI</t>
  </si>
  <si>
    <t>CALLE ESTEBAN PICHILINGUE G18</t>
  </si>
  <si>
    <t xml:space="preserve">OBST KAREN CAVERO WASSAP  </t>
  </si>
  <si>
    <t>CARRERA GOMEZ MILAGROS</t>
  </si>
  <si>
    <t xml:space="preserve">CHIU CHIU </t>
  </si>
  <si>
    <t>ESCOBEDO  VILLALVA MARIA</t>
  </si>
  <si>
    <t>AV. PERALVILLO 2268</t>
  </si>
  <si>
    <t>El estudio realizado muestra mamas constituidas por tejido adiposo en casi totalidad , sin evidenciar signos
sospechosos de NM.
Categoría BIRADS 1.</t>
  </si>
  <si>
    <t xml:space="preserve"> MAMOGARFIA ANUAL</t>
  </si>
  <si>
    <t>DNI:08600935</t>
  </si>
  <si>
    <t>JIMENEZ JORGES EDELMIRA</t>
  </si>
  <si>
    <t>MARISCAL LUZURIAGA 222 ICTORIA BAJA</t>
  </si>
  <si>
    <t>El estudio realizado muestra mamas heterogeneamente densas , sin evidenciar signos sospechosos de NM.
Calcificaciones típicamente benignas en ambas mamas
Categoría BIRADS 2.</t>
  </si>
  <si>
    <t>APARICIO  ALMEYDA YESENIA  ESTHER</t>
  </si>
  <si>
    <t>MANZANARES MZ F LT 2</t>
  </si>
  <si>
    <t>HUAMAN LICETA YADIRA MELINDA</t>
  </si>
  <si>
    <t>AV TUPAC AMARU LT 11 MZ B SAN JUAN 1</t>
  </si>
  <si>
    <t>BOTIN PAUCAR HERLINDA NOEMI</t>
  </si>
  <si>
    <t>PAMPA AFUERA ACARAY</t>
  </si>
  <si>
    <t>Mamas con sectores dispersos de densidad fibroglandular (ACR tipo B)
Nodulo de margenes parcialmente oscurecidos en region retroareolar en mama izquierda
Calcificaciones típicamente benignas en ambas mamas
Categoría BIRADS 0</t>
  </si>
  <si>
    <t xml:space="preserve">VASQUEZ COTAQUISPE GISSELLA </t>
  </si>
  <si>
    <t xml:space="preserve">CALLE UNION 71 CHANCAYLLO </t>
  </si>
  <si>
    <t>LUNA COCHACHI JULIA MARISOL</t>
  </si>
  <si>
    <t>PUEBLO JOVEN JUAN VELASCO ALVARDO MZ A LT 7 CALL E HUARAZ</t>
  </si>
  <si>
    <t>PUERTO CHANCAY</t>
  </si>
  <si>
    <t>Mamas heterogéneamente densas. Patrón ACR - C.
Calcifcacion tipicamente benigna en mama derecha
Categoría BIRADS 0</t>
  </si>
  <si>
    <t>ESPINOZA TARAZONA NELLY</t>
  </si>
  <si>
    <t>SAN ISIDRO MZ 58 LT3</t>
  </si>
  <si>
    <t>REGALADO CASIANO DELIA NORMA</t>
  </si>
  <si>
    <t>LOS JASMINES MZ E LOT 14 SOCORRO</t>
  </si>
  <si>
    <t>GRUPO  WHATSAPP</t>
  </si>
  <si>
    <t>CALDERON PAREDES NADIA ELIZABETH</t>
  </si>
  <si>
    <t>PSJ JOSE FAUSTINO SANCHEZ CARRION 299</t>
  </si>
  <si>
    <t>959 771 932</t>
  </si>
  <si>
    <t>GARCIA HUAYANAY GIOVANNA</t>
  </si>
  <si>
    <t>M B - L 11 A.H. SAN JOSE DE MANZANARES ETP II</t>
  </si>
  <si>
    <t>PRIMO FABIAN NELIDA</t>
  </si>
  <si>
    <t>CP PUENTE ROJO H1 L 7 PUEBLO  LIBRE</t>
  </si>
  <si>
    <t>MAGUIÑA SANTA CRUZ MIRYAN</t>
  </si>
  <si>
    <t>AV. ROOSVELT 546</t>
  </si>
  <si>
    <t>QUISPE  CRUZ MARIA ELENA</t>
  </si>
  <si>
    <t>FUNDO SAN JOSE S/N</t>
  </si>
  <si>
    <t>989 167 758</t>
  </si>
  <si>
    <t>INDICACIONES MEDICAS+ MAMOGRAFIA ANUAL</t>
  </si>
  <si>
    <t>OBST CAROLINA TELLO WHATSAPP</t>
  </si>
  <si>
    <t>DIAZ MARTINEZ DE SALINAS FLOR  MILAGRO</t>
  </si>
  <si>
    <t>AV LIBERTAD 1171</t>
  </si>
  <si>
    <t>996 720 929</t>
  </si>
  <si>
    <t>Mama izquierda con sectores dispersos de densidad . Patrón ACR - B.
Categoría BIRADS 2</t>
  </si>
  <si>
    <t>MORALES CHINCHAY  RUTH  KARINA</t>
  </si>
  <si>
    <t>ASENT.H.JOSE OLAYA MZ.B LT.02</t>
  </si>
  <si>
    <t>902 965 017</t>
  </si>
  <si>
    <t>VASQUEZ RODRIGUEZ SANTOS ELISA</t>
  </si>
  <si>
    <t>AV JORGE CHAVEZ 135</t>
  </si>
  <si>
    <t>907 836 503</t>
  </si>
  <si>
    <t>GRUPO WHATSAPP</t>
  </si>
  <si>
    <t>BONIFACIO QUISPE GUILLERMINA</t>
  </si>
  <si>
    <t>AGUA DULCA MZ H-5 LOT 12</t>
  </si>
  <si>
    <t>COTRINA ANAYA AIDE LELLIS</t>
  </si>
  <si>
    <t>ESTEBAN PICHILINGUE S/N</t>
  </si>
  <si>
    <t>ESTEFANY  CAVERO WHATSAPP</t>
  </si>
  <si>
    <t xml:space="preserve">VELAZCO ROJAS LUZ MARIA </t>
  </si>
  <si>
    <t>PSJ.LOS LAURELES 102 MZ.Ñ LT.3 URB.RESIDENCIAL</t>
  </si>
  <si>
    <t>Mamas heterogéneamente densas. Patrón ACR - C.
Calcificaciones benignas en mamas
Categoría BIRADS 0</t>
  </si>
  <si>
    <t>GRADOS HUARNIZ DE CHAVEZ GLADYS</t>
  </si>
  <si>
    <t xml:space="preserve">LOS ALAMOS 247 </t>
  </si>
  <si>
    <t>Mamas con sectores dispersos de densidad fibroglandular (ACR tipo B)
Nódulo de márgenes parcialmente oscurecido en CSE de mama derecha según descripción
Categoría BIRADS 0</t>
  </si>
  <si>
    <t xml:space="preserve">SOSA LEON ELIS MARIBEL  </t>
  </si>
  <si>
    <t>AV LIBERTAD 1700 ZAPATA</t>
  </si>
  <si>
    <t>OBST ELIZABETH  WATHSSAP</t>
  </si>
  <si>
    <t>MEDIZABAL APOLINARIO  DE SANTOS LUZMILA NORA</t>
  </si>
  <si>
    <t>CALLE LEONCIO PRADO 238</t>
  </si>
  <si>
    <t>994 892 150</t>
  </si>
  <si>
    <t>VALDEZ CHAVEZ MERCEDES</t>
  </si>
  <si>
    <t>URB.EL CARMEN CALLE BUENOS AIRES 180</t>
  </si>
  <si>
    <t>El estudio realizado muestra mamas heterogéneamente densas sin evidenciar signos sospechosos de NM.
Calcificaciones típicamente benignas en mamas
Categoría BIRADS 1.</t>
  </si>
  <si>
    <t>OBST BRENDA WHATSAPP</t>
  </si>
  <si>
    <t>HUARANGA CASIMIRO  YUDIT SALOME</t>
  </si>
  <si>
    <t>CALLE LOS  LAURELES MZ B LOT 15 CIUDAD SATELITE</t>
  </si>
  <si>
    <t>962 210 807</t>
  </si>
  <si>
    <t>1. ECOGRAFIA  DE MAMAS DENTRO  D ELIMITES NORMALES. 2.- ADENOPATIA INFLAMATORIA EN LA REGION AXILAR IZQUIERDA. 3. BI-RADS 3</t>
  </si>
  <si>
    <t>Ø MICROCALCIFICACIONES FINAS PLEOMORFAS DE DISTRIBUCIÓN SEGMENTARIA EN CSE DE MAMA DERECHA, CON INCREMENTO DE LA DENSIDAD MAMARIA A ESTE NIVEL
Ø RECOMENDACIÓN: AMERITA ESTUDIO HISTOPATOLOGICO DE LAS MICROCALCIFICAIONES DEL CSE DE MAMA DERECHA.
o ECOGRAFIA DE MAMAS.</t>
  </si>
  <si>
    <t>BX +ECOGRAFIA DE MAMAS</t>
  </si>
  <si>
    <t>SACARA CITA</t>
  </si>
  <si>
    <t>SIMETRÍA FOCAL DEL CSE DE MAMA IZQUIERDA, SIN IMÁGENES NODULARES.
Ø RECOMENDACIÓN: SE SUGIERE ECOGRAFÍA DE MAMAS.</t>
  </si>
  <si>
    <t xml:space="preserve">GARRO  RMAIREZ CINTHYA </t>
  </si>
  <si>
    <t>RUFINO AZPIAZU 250 EL MILAGRO</t>
  </si>
  <si>
    <t>983 701 485</t>
  </si>
  <si>
    <t>CALCIFICACION DE ASPECTO BENIGNO EN MAMA DERECHA.
RESTO DE AMBAS MAMAS EXTREMADAMENTE DENSAS, SE SUGIERE COMPLEMENTAR CON ECOGRAFÍA POR
DENSIDAD MAMARIA.
BI-RADS: 2</t>
  </si>
  <si>
    <t>PX 09/04/2026</t>
  </si>
  <si>
    <t>Ø MICROCALCIFICACIONES FINAS PLEOMORFAS Y REDONDAS DE DISTRIBUCIÓN SEGMENTARIA EN CSE DE MAMA IZQUIERDA.
Ø RECOMENDACIÓN: AMERITA ESTUDIO HISTOPATOLÓGICO DE MICROCALCIFICACIONES DEL CSE DE MAMA IZQUIERDA</t>
  </si>
  <si>
    <t>BX</t>
  </si>
  <si>
    <t>31/03/2026 REF AL CAYETANO PARA BX</t>
  </si>
  <si>
    <t>NONATO  DE NICHO  ANA MELVA</t>
  </si>
  <si>
    <t>C.A.P. LA CANDELARIA LA HUACA S/N</t>
  </si>
  <si>
    <t>RODRIGUEZ JIMENEZ MARIA MAGDALENA</t>
  </si>
  <si>
    <t>JR. LIMA 111 HUMAYA</t>
  </si>
  <si>
    <t>Mamas con sectores dispersos de densidad fibroglandular (ACR tipo B)
Asimetría de densidad en CSE de mama derecha
Categoría BIRADS 3</t>
  </si>
  <si>
    <t>OBST PATRICIA WHATSAPP</t>
  </si>
  <si>
    <t>PASCUAL ORTIZ MAURA ISABEL</t>
  </si>
  <si>
    <t>LAS FLORES MZ A LOT 17 HUMAYA</t>
  </si>
  <si>
    <t>MONDRAGON CHUMPITAZ MARIA ELENA</t>
  </si>
  <si>
    <t>PSJ SANTA ROSA SN LOS  JARDINES  HUMAYA</t>
  </si>
  <si>
    <t>947 291 538</t>
  </si>
  <si>
    <t>Mamas constituidas por tejido adiposo en casi su totalidad (ACR tipo A), sin evidencia de signos sospechosos de
NM.
Calcificaciones típicamente benignas en mamas
Categoría BIRADS 2.</t>
  </si>
  <si>
    <t>MAMA DERECHA NORMAL. 2. MAMA IZQUIERDA FIBROADENOMA + QUISTE. 3. ADENOPATIA EN MAMA IZQUIERDA. BI-RASD 2</t>
  </si>
  <si>
    <t>Ø NO PRESENTA NÓDULOS NI DISTORSIONES ARQUITECTURALES EN EL CSE DE LA MAMA DERECHA
Ø RECOMENDACIÓN: CONTROL MAMOGRAFICO ANUAL.</t>
  </si>
  <si>
    <t>AQUINO JAIME YEIMMY</t>
  </si>
  <si>
    <t>INMACULADA CONCEPCION S/N HUMAYA</t>
  </si>
  <si>
    <t>971 491 395</t>
  </si>
  <si>
    <t>MARTINEZ ROJAS JACKELINE</t>
  </si>
  <si>
    <t>SANTO DOMINGO HUMAYA</t>
  </si>
  <si>
    <t>HUAMAYA</t>
  </si>
  <si>
    <t>Mamas heterogéneamente densas. Patrón ACR - C.
Calcificaciones típicamente benignas en mama derecha
Categoría BIRADS 0</t>
  </si>
  <si>
    <t>TRINIDAD CRUZ MAXIMILIANA</t>
  </si>
  <si>
    <t>LAS PALMERAS MZ M -14 LOT 13 AGUA DULCE</t>
  </si>
  <si>
    <t>991 469 637</t>
  </si>
  <si>
    <t>RUBINA VENTOCILLA EVELIN</t>
  </si>
  <si>
    <t xml:space="preserve">AV EL MILAGRO 540 </t>
  </si>
  <si>
    <t>OPACIDADES NODULARES EN MAMA DERECHA, SE SUGIERE ESTUDIO ECOGRAFICO PARA MEJOR CARACTERIZACION
RESTO DE AMBAS MAMAS HETEROGÉNEAMENTE DENSAS, SE SUGIERE COMPLEMENTAR CON ECOGRAFÍA POR
DENSIDAD MAMARIA.
BI-RADS: 3</t>
  </si>
  <si>
    <t>30/03/20206</t>
  </si>
  <si>
    <t>LIC. MARY  PATRICIO</t>
  </si>
  <si>
    <t>JARA TRUJILLO  GUISELA SOLEDAD</t>
  </si>
  <si>
    <t>BELLAVISTA N 202 LETRA I</t>
  </si>
  <si>
    <t>949 262 931</t>
  </si>
  <si>
    <t>RAMOS TOLEDO  LORENA JACQUELINE</t>
  </si>
  <si>
    <t xml:space="preserve">JR FCO  BOLOGNESI  184 </t>
  </si>
  <si>
    <t>ALCANTARA ROMAN JESENIA</t>
  </si>
  <si>
    <t>EX FUJIMORI  PALMERAS UNIDAD MZ B LOT 10</t>
  </si>
  <si>
    <t>OPACIDADES NODULARES EN MAMA DERECHA, CON GRUESAS CALCIFICACIONES EN SU INTERIOR, SUGESTIVO DE
PROBABLE FIBROADENONA, SE SUGIERE ESTUDIO ECOGRAFICO PARA MEJOR CARACTERIZACION
RESTO DE AMBAS MAMAS HETEROGÉNEAMENTE DENSAS, SE SUGIERE COMPLEMENTAR CON ECOGRAFÍA POR
DENSIDAD MAMARIA.
BI-RADS: 2</t>
  </si>
  <si>
    <t>PX 07/04/2026</t>
  </si>
  <si>
    <t>ALBINAGORTA CHANG SANDRA CECILIA</t>
  </si>
  <si>
    <t>CP  HUMILDAD Y BPACIENCIA B-7</t>
  </si>
  <si>
    <t>OPACIDAD NODULAR EN MAMA IZQUIERDA, DE PROBABLE ASPECTO BENIGNO, SE SUGIERE ESTUDIO ECOGRAFICO
PARA MEJOR CARACTERIZACION
RESTO DE LA MAMOGRAFÍA BILATERAL DENTRO DE LÍMITES NORMALES.
BI-RADS: 3</t>
  </si>
  <si>
    <t>INDICACIONES MEDICAS</t>
  </si>
  <si>
    <t>VELASQUEZ MARCOS EXILDA ROSARIO</t>
  </si>
  <si>
    <t>AV. FUMAGALI A-9</t>
  </si>
  <si>
    <t>VILLANUEVA OBISPO ROSA</t>
  </si>
  <si>
    <t>CALLE RAMON CASTILLA 460</t>
  </si>
  <si>
    <t>968 387 788</t>
  </si>
  <si>
    <t>OPACIDADES NODULARES EN MAMA DERECHA/IZQUIERDA, DE PROBABLE ASPECTO BENIGNO, SE SUGIERE
ESTUDIO ECOGRAFICO PARA MEJOR CARACTERIZACION
RESTO DE AMBAS MAMAS HETEROGÉNEAMENTE DENSAS, SE SUGIERE COMPLEMENTAR CON ECOGRAFÍA POR
DENSIDAD MAMARIA.
BI-RADS: 3</t>
  </si>
  <si>
    <t>VILLARREAL  ROMAN MARILU</t>
  </si>
  <si>
    <t xml:space="preserve">ESTEBAN PICHILINGUE S/N </t>
  </si>
  <si>
    <t>MOSCOSO PIMENTEL DOMITILA</t>
  </si>
  <si>
    <t>A.H. ALBERTO FUJIMORI SEC SAN JUDAS TADEO I-4 LOT 6</t>
  </si>
  <si>
    <t>ASIMETRÍA FOCAL EN MAMA DERECHA. SE SUGIERE ECOGRAFÍA.
CALCIFICACIONES DE ASPECTO BENIGNO EN AMBAS MAMAS.
RESTO DE LA MAMOGRAFÍA BILATERAL DENTRO DE LÍMITES NORMALES.
BI-RADS: 3</t>
  </si>
  <si>
    <t>LEIVA ALBORNOZ FIDENCIA</t>
  </si>
  <si>
    <t>URB.BUENOS AIRES CALLE 5 DE SETIEMBRE LOT 11  S/N</t>
  </si>
  <si>
    <t xml:space="preserve">SOLORZANO CRUZ JUVINA MARIA </t>
  </si>
  <si>
    <t>ASV SAN JUDAS TADEO  MZ I LOT 6 AGUA DULCE</t>
  </si>
  <si>
    <t>VENTOCILLA LUCAS GLORIA DELFINA</t>
  </si>
  <si>
    <t>CASERIO  CHOQUES</t>
  </si>
  <si>
    <t>OBST  JENIFER COLCAPAMPA</t>
  </si>
  <si>
    <t>ARELLANO  ALVARADO  MARIBEL  MARCELA</t>
  </si>
  <si>
    <t>ASOVICEN S/N</t>
  </si>
  <si>
    <t>932 388 873</t>
  </si>
  <si>
    <t>CAMBIOS POST-QUIRURGICOS DE LA MAMA DERECHA SIN SIGNOS DE RECURRENCIA LOCORREGIONAL
CALCIFICACIONES BENIGNAS EN MAMA IZQUIERDA.
RESTO DE AMBAS MAMAS HETEROGÉNEAMENTE DENSAS, SE SUGIERE COMPLEMENTAR CON ECOGRAFÍA POR
DENSIDAD MAMARIA.
BI-RADS: 2</t>
  </si>
  <si>
    <t>VALLADARES BAZALAR CINYA JEANETTE</t>
  </si>
  <si>
    <t>JR IRENE SALVADOR  136</t>
  </si>
  <si>
    <t>902 531 511</t>
  </si>
  <si>
    <t>OBT MILAGROS BEDIA WASSAP</t>
  </si>
  <si>
    <t>ALCANTARA GOMEZ CAERMEN MARIA</t>
  </si>
  <si>
    <t>DOMINGO  TORERO  207</t>
  </si>
  <si>
    <t>ASIMETRÍA FOCAL EN MAMA DERECHA. SE SUGIERE ECOGRAFÍA.
OPACIDADES NODULARES EN REGION AXILAR DERECHA, SUGESTIVOS DE PROBABLES ADENOPATIAS, SE SUGIERE
ESTUDIO ECOGRAFICO PARA MEJOR CARACTERIZACION.
RESTO DE AMBAS MAMAS HETEROGÉNEAMENTE DENSAS, SE SUGIERE COMPLEMENTAR CON ECOGRAFÍA POR
DENSIDAD MAMARIA.
BI-RADS: 0</t>
  </si>
  <si>
    <t>MENDOZA FERNANDEZ RITA  FAUSTUINA</t>
  </si>
  <si>
    <t>C. POBLADO NUEVA UNION S/N - LOS NATURALES</t>
  </si>
  <si>
    <t>MENDOZA FERNANDEZ FORTUNATA VIRGNIA</t>
  </si>
  <si>
    <t>ASOC.DE VIV.LOS CLAVELES MZ.I LT.15</t>
  </si>
  <si>
    <t>CALIXTO  HERRERA ESTELA</t>
  </si>
  <si>
    <t>CALLE DERECHA 836 INT 3</t>
  </si>
  <si>
    <t>CASTILLEJO GOMEZ, YOVANA</t>
  </si>
  <si>
    <t>AV.LA PAZ 300</t>
  </si>
  <si>
    <t>968 863 148</t>
  </si>
  <si>
    <t>RAMOS VELASQUEZ GIOVANA  MERCEDES</t>
  </si>
  <si>
    <t xml:space="preserve">9 DE OCTUBRE S/N </t>
  </si>
  <si>
    <t>932 152 728</t>
  </si>
  <si>
    <t>OPACIDAD NODULAR EN MAMA IZQUIERDA, SE SUGIERE ESTUDIO ECOGRAFICO PARA MEJOR CARACTERIZACION
RESTO DE LA MAMOGRAFÍA BILATERAL DENTRO DE LÍMITES NORMALES.
BI-RADS: 3</t>
  </si>
  <si>
    <t>HUAYANAY PICHARDO ROMALDA</t>
  </si>
  <si>
    <t>EL AHORCADO TIHUINSA</t>
  </si>
  <si>
    <t>MAMAS HETEROGEAMENTE DENSAS . PATRON ACR- C. CALCIFICACIONES TIPICAMENTE BENIGNAS EN AMBAS MAMAS</t>
  </si>
  <si>
    <t>OB . ROSA PEÑA</t>
  </si>
  <si>
    <t xml:space="preserve">CARBAJAL ROMERO CARMEN </t>
  </si>
  <si>
    <t>CALLE AUSEJO PINTADO  614 AMAYA</t>
  </si>
  <si>
    <t>991 253 536</t>
  </si>
  <si>
    <t xml:space="preserve">Mamografía bilateral sin signos que sugieran malignidad
Calcificación de aspecto benigno en cuadrante inferior externo de mama izquierda
Impresiona tejido fibroglandular accesorio en región axilar derecha
</t>
  </si>
  <si>
    <t>HERRERA LUCERO ROSA ISABEL</t>
  </si>
  <si>
    <t>CALLE ANCASH 13 EL CARMEN</t>
  </si>
  <si>
    <t>BERROSPI CORNELIO DINA ELVIRA</t>
  </si>
  <si>
    <t>C. P ALCANTARILLA</t>
  </si>
  <si>
    <t>ALCANTARILLA HUAURA</t>
  </si>
  <si>
    <t>TAPIA ALVARO VILMA LUZMILA</t>
  </si>
  <si>
    <t>FUJIMORI  I  ETAPA AA HH SAN ANTONIO  MZ S MOT 7</t>
  </si>
  <si>
    <t>BARRERA MATOS LIZ DEL ROSARIO</t>
  </si>
  <si>
    <t>CP HUANAGUI</t>
  </si>
  <si>
    <t>HUANANGUI</t>
  </si>
  <si>
    <t>P.S. HUANANGUI</t>
  </si>
  <si>
    <t>MAMOGRADFIA ANUAL</t>
  </si>
  <si>
    <t>OBST  SHIRLEY  WHATSAPP</t>
  </si>
  <si>
    <t>CONCHUCOS NARVASTA EULALIA</t>
  </si>
  <si>
    <t>CP HUAMAGUI</t>
  </si>
  <si>
    <t>PALOMARES CHUMBES RITA ISABEL</t>
  </si>
  <si>
    <t>LA MANCHURRIA ALTA 413</t>
  </si>
  <si>
    <t>CASTILLO DE SAMANAMUD NOEMI GENOVEVA</t>
  </si>
  <si>
    <t>18 de octubre e 26</t>
  </si>
  <si>
    <t>RIOFRIO MIO FLORESMILDA</t>
  </si>
  <si>
    <t>NVA GENERACION A27</t>
  </si>
  <si>
    <t>ASIMETRÍA FOCAL EN MAMA DERECHA. SE SUGIERE ECOGRAFÍA.
RESTO DE AMBAS MAMAS HETEROGÉNEAMENTE DENSAS, SE SUGIERE COMPLEMENTAR CON ECOGRAFÍA POR
DENSIDAD MAMARIA.
BI-RADS: 3</t>
  </si>
  <si>
    <t>ROMERO DAMIAN ANA MARGARITA</t>
  </si>
  <si>
    <t>PSJ GAVINO  NAVARRRO  197</t>
  </si>
  <si>
    <t>OBST  ELIZABET ZAMORA ESTEFANY  CAVERO WHATSAPP</t>
  </si>
  <si>
    <t>CARRASCO FERNANDEZ PAOLA</t>
  </si>
  <si>
    <t>PROL LOS ANGELES 809</t>
  </si>
  <si>
    <t>COLLANTES MEDINA CARMEN</t>
  </si>
  <si>
    <t>AAHH. JOSE OLAYA MAZ Ñ LT 7</t>
  </si>
  <si>
    <t>OPACIDAD NODULAR EN MAMA DERECHA, SE SUGIERE ESTUDIO ECOGRAFICO PARA MEJOR CARACTERIZACION
MAMAS HETEROGÉNEAMENTE DENSAS, SE SUGIERE COMPLEMENTAR CON ECOGRAFÍA POR DENSIDAD MAMARIA.
BI-RADS: 3</t>
  </si>
  <si>
    <t>VIDAL LAGUA GLADYS</t>
  </si>
  <si>
    <t>CALLE MARIANO MELGAR 304</t>
  </si>
  <si>
    <t>27/03/2026 OBST YULI VERGARA WASSAP</t>
  </si>
  <si>
    <t>LLANOS GARCIA KARINA CELIA</t>
  </si>
  <si>
    <t>PSJ ANGEL URIBE 161</t>
  </si>
  <si>
    <t>GUILLEN AGURTO KETY</t>
  </si>
  <si>
    <t>SAN JUDAS TADEO LOS ALISOS MZ I LT 7</t>
  </si>
  <si>
    <t>FALERO CARRION CARMEN</t>
  </si>
  <si>
    <t>SAN BARTOLOME II ETAPA LAS CASUARINAS B-5</t>
  </si>
  <si>
    <t>ROMERO MALLQUI  JENNY</t>
  </si>
  <si>
    <t>SAN ABRTIOLOME II ETAPA JR LOS LIRIOS E-5</t>
  </si>
  <si>
    <t>GOMEZ MATOS FRANCISCA DOLORA</t>
  </si>
  <si>
    <t>AV LA PAZ 300</t>
  </si>
  <si>
    <t>CASTILLEJO GOMEZ DIANA</t>
  </si>
  <si>
    <t>OPACIDAD NODULAR EN MAMA DERECHA, SE SUGIERE ESTUDIO ECOGRAFICO PARA MEJOR CARACTERIZACION
RESTO DE LA MAMOGRAFÍA BILATERAL DENTRO DE LÍMITES NORMALES.
BI-RADS: 3</t>
  </si>
  <si>
    <t xml:space="preserve">AGUILAR YANAC ALEJANDRA </t>
  </si>
  <si>
    <t>ANEXO TUNAN S/N</t>
  </si>
  <si>
    <t>PARAMONGA</t>
  </si>
  <si>
    <t>P.S TUNAN</t>
  </si>
  <si>
    <t>27/03/2026 OBST ANGELICA ESPINOZA WATHSSAP</t>
  </si>
  <si>
    <t>BARRENECHEA ROMERO CASTURVINA</t>
  </si>
  <si>
    <t>PS. TUNAN</t>
  </si>
  <si>
    <t>BARRENECHEA ROMERO BLANCA</t>
  </si>
  <si>
    <t>FELIX GLORIA ZAIRA</t>
  </si>
  <si>
    <t>Mamas heterogéneamente densas
Calcificación de aspecto benigno en región retroareolar de mama izquierda</t>
  </si>
  <si>
    <t>BARRETO FLORES ROSA</t>
  </si>
  <si>
    <t>NORABUENA ROJAS EPIFANIA</t>
  </si>
  <si>
    <t xml:space="preserve">Mamas heterogéneamente densas
Imagen sugerente de elemento de marcaje en cuadrante superior externo de mama izquierda
</t>
  </si>
  <si>
    <t>PELAEZ NORABUENA CELIA</t>
  </si>
  <si>
    <t>MINAYA TORRES ROSA</t>
  </si>
  <si>
    <t>ESPINOZA NORABUENA ANGELICA</t>
  </si>
  <si>
    <t>ESPINOZA NORABUENA LORENA</t>
  </si>
  <si>
    <t>MADERA GUARDAPUCLLA VILMA</t>
  </si>
  <si>
    <t>976 319 348</t>
  </si>
  <si>
    <t>Mamas heterogéneamente densas.
Impresiona formación irregular radiodensa de márgenes espiculados de aspecto sospechoso en plano anterior
medio de cuadrante superior externo de mama izquierda asociado a calcificaciones superpuestas y retracción de
pezón y piel ipsilateral.
Adenomegalia en región axilar izquierda</t>
  </si>
  <si>
    <t>BI-RADS 5</t>
  </si>
  <si>
    <t>ECOGRAFIA DE MAMAS + BX DE MAMA</t>
  </si>
  <si>
    <t>FLORES ROMERO GENOVEVA</t>
  </si>
  <si>
    <t>BARRENECHEA DE QUEVEDO VICTORINA</t>
  </si>
  <si>
    <t>958 151 033</t>
  </si>
  <si>
    <t>RODRIGUEZ VERMENDI BLANDINA</t>
  </si>
  <si>
    <t>Mamas heterogéneamente densas
Impresiona imagen nodular de aspecto benigno a nivel de plano posterior de cuadrante superior interno de mama
derecha</t>
  </si>
  <si>
    <t>ROCA CATIRE LUZ</t>
  </si>
  <si>
    <t>992 023 161</t>
  </si>
  <si>
    <t>MAMOGRAFIA ANUAL + ECOGRAFIA DE MAMAS</t>
  </si>
  <si>
    <t>LEON NICHO  SILVIA</t>
  </si>
  <si>
    <t>Mamografía bilateral sin signos que sugieran malignidad
Calcificaciones de aspecto benigno en mama izquierda</t>
  </si>
  <si>
    <t>AGUILAR YANAC DELIA</t>
  </si>
  <si>
    <t>Mamografía bilateral sin signos que sugieran malignidad
Calcificación aislada de aspecto benigno en cuadrantes superior externo de mama izquierda</t>
  </si>
  <si>
    <t>ESPINOZA HIDALGO HIDANIA ANGELICA</t>
  </si>
  <si>
    <t xml:space="preserve">Mamas heterogéneamente densas
Impresiona tejido fibroglandular accesorio en región axilar derecha
</t>
  </si>
  <si>
    <t>BAUTISTA RIQUEÑO SILVIA</t>
  </si>
  <si>
    <t>CALLE PRIMAVERA LOTE 8</t>
  </si>
  <si>
    <t>970 646 811</t>
  </si>
  <si>
    <t>27/03/2026  WHATSAPP</t>
  </si>
  <si>
    <t>MORRIS NAVARRO CARMEN</t>
  </si>
  <si>
    <t>JIRON CORDOVA 298</t>
  </si>
  <si>
    <t>OBST CARMEN  MORRIS  WHATSAPP</t>
  </si>
  <si>
    <t>COLAN BUITRON JAKELING LISBET</t>
  </si>
  <si>
    <t>CALLE 28 DE JULIO 612 INT 6</t>
  </si>
  <si>
    <t>Mamas heterogéneamente densas. Patrón ACR - C.
Asimetria focal en tercio posterior del CSE de mama derecha
Categoría BIRADS 0</t>
  </si>
  <si>
    <t>MIRANDA GIRALDO NELLY</t>
  </si>
  <si>
    <t>CP MEDIO MUNDO SEGUNDA ETAPA</t>
  </si>
  <si>
    <t>Mamas extremamdamente densas. Patrón ACR - D
Categoría BIRADS 0</t>
  </si>
  <si>
    <t>OBST SUSAN VALVERDE WHATSAPP</t>
  </si>
  <si>
    <t>CABALLERO HUAMAN SILVIA LILO</t>
  </si>
  <si>
    <t>2 DE MAYO</t>
  </si>
  <si>
    <t>Mamas extremadamente densas .Patrón ACR - D
Categoría BIRADS 0</t>
  </si>
  <si>
    <t>LOPEZ ROJAS LAURA MELISSA</t>
  </si>
  <si>
    <t>CAMAL VIEJO Nª155 INT 101</t>
  </si>
  <si>
    <t>Mamas heterogéneamente densas. Patrón ACR - C.
Asimetria focal en CSI de mama izquierda
Categoría BIRADS 3</t>
  </si>
  <si>
    <t>MINAYA  BAZALAR ROSARIO MARIBEL</t>
  </si>
  <si>
    <t>EL RPOGRESO TERCERA ETAPA</t>
  </si>
  <si>
    <t>WHATSAPP OB. KAREN</t>
  </si>
  <si>
    <t>VEGA SOLANO ERIKA KATHERINE</t>
  </si>
  <si>
    <t>MARIANO MELGAR 330</t>
  </si>
  <si>
    <t>CIRIACO OBREGON ALICIA DORA</t>
  </si>
  <si>
    <t>AAHH VALLEJO MZ. A -LT.12A</t>
  </si>
  <si>
    <t>CANDIA BADAJOS MARTHA</t>
  </si>
  <si>
    <t>SAN JUAN DE DIOS MZ H LT 6</t>
  </si>
  <si>
    <t>Mamas heterogéneamente densas. Patrón ACR - C.
Calcificacion tipicamente benigna en mama izquierda
Categoría BIRADS 0</t>
  </si>
  <si>
    <t>HENRIQUEZ MAUTINO DE URIBE JESSICA KARINA</t>
  </si>
  <si>
    <t>MARISCAL CACERES 654</t>
  </si>
  <si>
    <t>El estudio realizado muestra mamas heterogeneamnete densas, sin evidenciar signos sospechosos de NM.
Categoría BIRADS 1.</t>
  </si>
  <si>
    <t>PAULINO VASQUEZ SABINA ESPERANZA</t>
  </si>
  <si>
    <t>FUJIMORI S/N</t>
  </si>
  <si>
    <t>REA GRADOS DE LA ROSA SORAYA</t>
  </si>
  <si>
    <t>AV 2 D EMAYO  851</t>
  </si>
  <si>
    <t>REA GRADOS MARITZA</t>
  </si>
  <si>
    <t>MIRAMAR MZ B LOT 1</t>
  </si>
  <si>
    <t>QUISPE PADILLA MARIA CRISTINA</t>
  </si>
  <si>
    <t xml:space="preserve">IRRIGACION SNATA ROSA SANTA ANITA MZ 19 </t>
  </si>
  <si>
    <t>CRUZ PALOMINO HERMELINDA</t>
  </si>
  <si>
    <t>M B - L 14 A.H. TOMA Y CALLA CALLE</t>
  </si>
  <si>
    <t>WHATSAPP OB STEFANY</t>
  </si>
  <si>
    <t>NAZARIO CHUMBES DIANA MERCEDES</t>
  </si>
  <si>
    <t>AV MERCEDES INDACOCHEA 1160</t>
  </si>
  <si>
    <t xml:space="preserve">Mamas heterogéneamente densas
Calcificación de aspecto benigno en cuadrantes superior externo de mama derecha
</t>
  </si>
  <si>
    <t>ROMERO  MANDAMIENTO DE PANASPAICO ADA ROSARIO</t>
  </si>
  <si>
    <t>CALLE AUSEJO PINTADO 437  AMAY</t>
  </si>
  <si>
    <t>MARCOS RAMIREZ MARLENE</t>
  </si>
  <si>
    <t>RAMON CASTILLA 391</t>
  </si>
  <si>
    <t>Mamas heterogéneamente densas
Calcificación de aspecto benigno en cuadrante inferior externo de mama derecha</t>
  </si>
  <si>
    <t>JARA GARCIA CARMELITA FLORA</t>
  </si>
  <si>
    <t>ELMER FAUCETT MZ-A-LT10 LA VIÑA, BALANZA</t>
  </si>
  <si>
    <t>LOPEZ OYOLA ANDREA LISBETH</t>
  </si>
  <si>
    <t>JR ANGELA AMAYA PERICHE D-10 CP  OLAYA</t>
  </si>
  <si>
    <t>JARA GARCIA ISAELA</t>
  </si>
  <si>
    <t>ESTRADA DE VEGA ANICETA MARGARITA</t>
  </si>
  <si>
    <t>21 DE ENERO MZ.I LT.7</t>
  </si>
  <si>
    <t>WHATSAPP OB. ELIZABETH ZAMORA</t>
  </si>
  <si>
    <t>SANCHEZ LOYOLA HERMELINDA</t>
  </si>
  <si>
    <t xml:space="preserve">CORONEL PORTILLO  S/N </t>
  </si>
  <si>
    <t>SALVADOR SOLIS JULIA MARGARITA</t>
  </si>
  <si>
    <t>VIA CARRION ORILLA DEL RIO</t>
  </si>
  <si>
    <t>PEÑA TRUJILLO YOVANA SOLEDAD</t>
  </si>
  <si>
    <t>JR. ANCASH 163 - URB. PARQUE DE LOS SUEÑOS</t>
  </si>
  <si>
    <t>ARREDONDO LEON ROCIO SOLEDAD</t>
  </si>
  <si>
    <t>MZ. D4 LT. 9 ASENT. H. ANGAMOS SECTOR I</t>
  </si>
  <si>
    <t>V9941929</t>
  </si>
  <si>
    <t>SANCHEZ SOMOVIL HISLANDIA</t>
  </si>
  <si>
    <t>AV 28 DE JULIO  1787</t>
  </si>
  <si>
    <t>GRUPO WHATSAPP 30/03/2026</t>
  </si>
  <si>
    <t>BUSTAMANTE REYES  CARMEN EPERANZA</t>
  </si>
  <si>
    <t>PESCADORES 105</t>
  </si>
  <si>
    <t>CALCIFICACION DE ASPECTO BENIGNO. RESTO DE LA MAMOGRAFÍA BILATERAL DENTRO DE LÍMITES NORMALES. BI-RADS: 2</t>
  </si>
  <si>
    <t>OBST. ISLA</t>
  </si>
  <si>
    <t>OOO84421</t>
  </si>
  <si>
    <t>AMASIFUEN PAREDES MARNITH</t>
  </si>
  <si>
    <t>CALLE AREQUIPA Nº320- LAURIAMA</t>
  </si>
  <si>
    <t>RAMOS CASAZOLA JOHANNA MELISSA</t>
  </si>
  <si>
    <t xml:space="preserve">AA HH JOSE OLAYA MZ G LOT 5 </t>
  </si>
  <si>
    <t>BAZALAR  MENESES FANY PILAR</t>
  </si>
  <si>
    <t>PSJ ROMERO  A21</t>
  </si>
  <si>
    <t>CORDOVA PAEZ CARMEN ROSA</t>
  </si>
  <si>
    <t>ESPERANZA BAJA SECCION GRANADOS LOT 34</t>
  </si>
  <si>
    <t>SILVA ESPINOZA RUFINA</t>
  </si>
  <si>
    <t>PASAJE AREQUIPA 203</t>
  </si>
  <si>
    <t>AMBAS MAMAS SON HETEROGENEAMENTE DENSAS, QUE PODRIAN OCULTAR NODULOS PEQUEÑOS, AMERITA ECOGRAFIA</t>
  </si>
  <si>
    <t>OBST SUSAN MARXTON WASAP</t>
  </si>
  <si>
    <t xml:space="preserve">PALOMINO  RONCEROS SOLEDAD </t>
  </si>
  <si>
    <t>AV.HUANDO LT.17</t>
  </si>
  <si>
    <t>MICROCALCIFICACIONES HETEROGENEAS EN MAMA IZQUIERDA, SE SUGIERE CONTROL CON MAGNIFICACION Y
ESTUDIO ANATOMOPATOLOGICO CON ESTEROTAXIA.
RESTO DE LA MAMOGRAFÍA BILATERAL DENTRO DE LÍMITES NORMALES.
BI-RADS: 4B</t>
  </si>
  <si>
    <t>MAGNIFICACION MAMA IZQUIERDA + BX</t>
  </si>
  <si>
    <t>SARRIN  CARRILLO  ERICKA YANINA</t>
  </si>
  <si>
    <t>AV.HUANDO LT.102</t>
  </si>
  <si>
    <t>SALVADOR VILCA  NELIDA DORIS</t>
  </si>
  <si>
    <t>AA HH SAN MARTIN DE PORRES  MZ E LO T 10 CALLE SAN ANTONIO LA POZA</t>
  </si>
  <si>
    <t>974 641 429</t>
  </si>
  <si>
    <t>QUISPE LEON DINA LUISA</t>
  </si>
  <si>
    <t>CALLE LA PALMA S/N</t>
  </si>
  <si>
    <t>PATIVILCA</t>
  </si>
  <si>
    <t>P. S HUAYTO</t>
  </si>
  <si>
    <t>LOAYZA MELGAREJO TEODOCIA</t>
  </si>
  <si>
    <t>RANCHO GRANDE SN</t>
  </si>
  <si>
    <t>ANTONIO SANCHEZ ESTELA</t>
  </si>
  <si>
    <t>CALLE LOS ROSALES S/N</t>
  </si>
  <si>
    <t>RAMIREZ CONDOR VERONICA CLARA</t>
  </si>
  <si>
    <t>URB 18/10  F 7</t>
  </si>
  <si>
    <t>REYNA PEÑA ZAIRA VICTORIA</t>
  </si>
  <si>
    <t>JIRON CASTILLO 800</t>
  </si>
  <si>
    <t xml:space="preserve">REYNA PEÑA CYNTHIA MAGALY </t>
  </si>
  <si>
    <t>JIRON CASTILLA 800</t>
  </si>
  <si>
    <t>CASTRO HERRERA VERONICA</t>
  </si>
  <si>
    <t>ASOC. FCO VIDAL 374</t>
  </si>
  <si>
    <t xml:space="preserve">SUPE </t>
  </si>
  <si>
    <t>REYNA PEÑA VERONIKA VANESSA</t>
  </si>
  <si>
    <t>URB JAR DIN MZ B LOTE 23</t>
  </si>
  <si>
    <t>BRAITHWAITE ALVARADO ESMERALDA</t>
  </si>
  <si>
    <t>PROLONGACION SANTA ROSA 227</t>
  </si>
  <si>
    <t>DE LA CRUZ CABREL YURI VICTORIA</t>
  </si>
  <si>
    <t>CALLE HONORATO CHIRITO INTERIOR 6</t>
  </si>
  <si>
    <t>MALVACEDA HUAROTA NANCY</t>
  </si>
  <si>
    <t>LA FLORDA S/N</t>
  </si>
  <si>
    <t>WHASTAPP OBS DIANA REGALADO</t>
  </si>
  <si>
    <t>CARDENAS AVILA MIRIAM CORALI</t>
  </si>
  <si>
    <t>SANTA ELVIRA SN</t>
  </si>
  <si>
    <t>CHAMBARA</t>
  </si>
  <si>
    <t>CALCIFICACIONES DE ASPECTO BENIGNA EN AMBAS MAMAS.
RESTO DE LA MAMOGRAFÍA BILATERAL DENTRO DE LÍMITES NORMALES.
BI-RADS: 2</t>
  </si>
  <si>
    <t>TEC CARMEN MONTES</t>
  </si>
  <si>
    <t>GASPAR ALEJOS JENNY AYME</t>
  </si>
  <si>
    <t>AV. CENTENARIO 206</t>
  </si>
  <si>
    <t>O9757689</t>
  </si>
  <si>
    <t>VERAMENDI ZORRILLA VICTORIA ROSA</t>
  </si>
  <si>
    <t>BALANZA SN</t>
  </si>
  <si>
    <t>CHANCAT</t>
  </si>
  <si>
    <t>SEGUIR INDICACIONES MEDICAS</t>
  </si>
  <si>
    <t>CANALES PANANA DEYDA GUISELA</t>
  </si>
  <si>
    <t>JOSE MARIA ROMERO MZ C LOTE 7</t>
  </si>
  <si>
    <t>GRUPO WHATSAAP</t>
  </si>
  <si>
    <t xml:space="preserve">CELIS ROSAS EVELYN ROSARIO </t>
  </si>
  <si>
    <t>PASJE BENEDICTO 10</t>
  </si>
  <si>
    <t>MARTINEZ CHAFALOTE YULIE MARGOT</t>
  </si>
  <si>
    <t>AV. EL MILAGRO 558</t>
  </si>
  <si>
    <t>MILLA SANTIESTEBAN ERIKA MARIA</t>
  </si>
  <si>
    <t>MEDIO MUNDO AV 2 DE MAYO  MZ X LOT 19</t>
  </si>
  <si>
    <t>MAMOGRAFIA ANUAL +  ECOGRAFIA DE MAMAS</t>
  </si>
  <si>
    <t>SAAVEDRA FLORES CASIANA</t>
  </si>
  <si>
    <t>C P SAN JUAN BAUTISTA MZ.A LT.1</t>
  </si>
  <si>
    <t>SOTO BAZAN ANA JESUSA</t>
  </si>
  <si>
    <t>A.H. EL CARMEN - LOS ANGELES MZ A LOT 7</t>
  </si>
  <si>
    <t>WHATSAPP OBST. BRENDA</t>
  </si>
  <si>
    <t>SILVA GERONIMO  ROSA TARCILA</t>
  </si>
  <si>
    <t>CALLE IQUITOS I-8 LOS PINOS</t>
  </si>
  <si>
    <t>Mamas con sectores dispersos de densidad fibroglandular (ACR tipo B)
Nódulo de márgenes circunscritos en CSE de mama derecha no palpable asocia asimetría de densidad
Categoría BIRADS 3</t>
  </si>
  <si>
    <t>DULANTO ORTIZA ARAVELI  LORENA</t>
  </si>
  <si>
    <t>LOTIZADORA DELGADO MZ.L LT.08</t>
  </si>
  <si>
    <t>Mamas con sectores dispersos de densidad fibroglandular (ACR tipo B)
Calcificaciones típicamente benignas en ambas mamas
Algunos ganglios linfaticos con perdida de la morfologia reniforme .
Categoría BIRADS 0</t>
  </si>
  <si>
    <t>SALAS MIRANDA BRAULIA</t>
  </si>
  <si>
    <t>ASC VIRGEN DEL CARMEN MZ  I</t>
  </si>
  <si>
    <t>MANTILLA CALERO ELVA PATRICIA</t>
  </si>
  <si>
    <t>LURIAMA</t>
  </si>
  <si>
    <t>WHATSAPP OB CAROLINA TELLO</t>
  </si>
  <si>
    <t>PAISIG ORTIZ LUCILA</t>
  </si>
  <si>
    <t>VIRGEN DEL CARMEN H-5 SOCORRO</t>
  </si>
  <si>
    <t>AQUIJES NICHO MARIA</t>
  </si>
  <si>
    <t>28 DE JULIO 1824 - CHONTA</t>
  </si>
  <si>
    <t>Mamas constituidas por tejido adiposo en casi su totalidad (ACR tipo A)
Categoría BIRADS 1</t>
  </si>
  <si>
    <t>SILVA RAYMUNDO  NELLY</t>
  </si>
  <si>
    <t>CERRO EL CARMEN PSJ LAS CASUARINAS S/N</t>
  </si>
  <si>
    <t>ESPINOZA HERMOCILLA LUCIA</t>
  </si>
  <si>
    <t>SANTA MARIA S/N</t>
  </si>
  <si>
    <t>917 442 476</t>
  </si>
  <si>
    <t>Mamas heterogéneamente densas. Patrón ACR - C.
Calcficacion redondeada en region retroareolar de mama derecha , tipicamente benigna
Categoría BIRADS 0</t>
  </si>
  <si>
    <t xml:space="preserve">WHASTAAPP OBST YAJAIRA </t>
  </si>
  <si>
    <t>LAURENTE CHAVEZ LUCILA</t>
  </si>
  <si>
    <t>ASOC. DE VIVIENDA PAMPA DE HORNILLOS 17B</t>
  </si>
  <si>
    <t>Mamas heterogéneamente densas. Patrón ACR - C.
Asimetria de densidad en CSE de mama izqauierda
Tejido fibroglandular accesoria en region axilar derecha
Categoría BIRADS 3</t>
  </si>
  <si>
    <t>OBS. SUSAN MARSTON</t>
  </si>
  <si>
    <t>O7402177</t>
  </si>
  <si>
    <t>ESPINOZA HUAMANI DINDINES</t>
  </si>
  <si>
    <t>ASOC.DE VIVIENDA EL MIRADOR DE SANTA MARIA MZ.H LT.01</t>
  </si>
  <si>
    <t>Mamas heterogéneamente densas. Patrón ACR - C.
Asimetria focal en CSE de mama derecha
Categoría BIRADS 0</t>
  </si>
  <si>
    <t>COMPRENSION MAMA DERECHA + ECOGRAFIA DE MAMAS</t>
  </si>
  <si>
    <t>DULANTO  JAVIER RODE LUZ</t>
  </si>
  <si>
    <t>PSJ RUBEN SUAREZ MZC LOT 12</t>
  </si>
  <si>
    <t xml:space="preserve">LA ROSA MEZA DE RUCANA LUISA </t>
  </si>
  <si>
    <t>PUEBLO  JOVEN SANTA ROSA COMITE  15 MZ O  LOT 8</t>
  </si>
  <si>
    <t>Mamas heterogéneamente densas. Patrón ACR - C.
Asimetría focal en tercio posterior del CSE de mama derecha
Categoría BIRADS 0</t>
  </si>
  <si>
    <t>O7449136</t>
  </si>
  <si>
    <t>ACHON CAJIA CARMEN</t>
  </si>
  <si>
    <t>FLORAL 417 - AUCALLAMA</t>
  </si>
  <si>
    <t>CHINGA DE CARREÑO MERCEDES MARLENE</t>
  </si>
  <si>
    <t>27 DE OCTUBRE 347</t>
  </si>
  <si>
    <t>CARQUIEN</t>
  </si>
  <si>
    <t>974 802 961</t>
  </si>
  <si>
    <t>Mamas heterogéneamente densas. Patrón ACR - C.
Asimetria focal asocia a calcificaciones redondeadas agrupadas en CSE de mama derecha
Categoría BIRADS 0</t>
  </si>
  <si>
    <t>MAGNIFICACION MAMA DERECHA + ECOGRAFIA DE MAMAS</t>
  </si>
  <si>
    <t>LIBERATO VILLANUEVA ISABEL  DENNIS</t>
  </si>
  <si>
    <t xml:space="preserve">CALLE LOS  ANGELES MZ N LOT 24 </t>
  </si>
  <si>
    <t>P.S. NAVAN</t>
  </si>
  <si>
    <t>OBST PILAR ROJAS</t>
  </si>
  <si>
    <t xml:space="preserve">HUERTA REYES DARIA FELICINA </t>
  </si>
  <si>
    <t>TORRE BLANCA ASC VALLE HERMOSA  MZ C LOT 18</t>
  </si>
  <si>
    <t>934 801 068</t>
  </si>
  <si>
    <t>El estudio realizado muestra mamas heterogeneamente densas, sin evidenciar signos sospechosos de NM.
Calcifcaciones vasculares tiipicamente bewnignas en ambas mamas
Categoría BIRADS 2</t>
  </si>
  <si>
    <t>ECOGHRAFIA DE MAMAS</t>
  </si>
  <si>
    <t>MORELLO PORLLES ROCIO ANGELICA</t>
  </si>
  <si>
    <t>CENTRO POBLADO DESAGRAVIO  CALLE EL OLIVAR A-1</t>
  </si>
  <si>
    <t>BI RADS 2</t>
  </si>
  <si>
    <t>ALVAREZ PAJUELO, LUZMILA AUREA</t>
  </si>
  <si>
    <t>5 DE DICIEMBRE LOT 3 AL COSTADO DE COAR</t>
  </si>
  <si>
    <t>991 493 290</t>
  </si>
  <si>
    <t>BI RADS 0</t>
  </si>
  <si>
    <t xml:space="preserve">HONORES DE LA ROSA MADELEINE </t>
  </si>
  <si>
    <t xml:space="preserve">TENIENTE PRICLES 102 </t>
  </si>
  <si>
    <t>Mamas heterogéneamente densas. Patrón ACR - C.
Calcifcaciones agrupadas en CIE de mama derecha
Categoría BIRADS 0</t>
  </si>
  <si>
    <t>MAGNIFICACION MAMA + ECOGRAFIA DE MAMAS</t>
  </si>
  <si>
    <t>AGUERO JAIMES ELVA MARIBEL</t>
  </si>
  <si>
    <t xml:space="preserve">AA HH LA MERCED MZ I LOT 10A </t>
  </si>
  <si>
    <t>Mamas con sectores dispersos de densidad fibroglandular (ACR tipo B) Calcificaciones típicamente benignas en mama izquierda Categoría BIRADS 2</t>
  </si>
  <si>
    <t>OBST. CARLA</t>
  </si>
  <si>
    <t>MARICHI  HUANUIRI OFELIA ALBINA</t>
  </si>
  <si>
    <t>CALLE CNATA 297 MNZ I ETAPA</t>
  </si>
  <si>
    <t>BI RADS 1</t>
  </si>
  <si>
    <t>O08311322</t>
  </si>
  <si>
    <t>TOVAR SAENZ EDELEIN ELENA</t>
  </si>
  <si>
    <t>CALLE TORRES PAZ 279 INT  10 MZ 0 LOT 0</t>
  </si>
  <si>
    <t>CHAMORRO  HUAMAN EDITH BONIFACIA</t>
  </si>
  <si>
    <t>MANUELA DIAZ CHAFLOJO  293</t>
  </si>
  <si>
    <t>QUIROZ NAUPARI VDA DE GARAY  CARITO</t>
  </si>
  <si>
    <t>URB LAS BEGONIAS  OLOT  4 S/N</t>
  </si>
  <si>
    <t>956 703 326</t>
  </si>
  <si>
    <t>El estudio realizado muestra mamas constituida por componente adiposo predominantemente , no evidencia signos sospechosos de NM. Categoría BIRADS: 1</t>
  </si>
  <si>
    <t>ROMEROS PACHECO CARMEN JACQUELYN</t>
  </si>
  <si>
    <t>CARLOS MANRIQUE 230</t>
  </si>
  <si>
    <t>El estudio realizado muestra mamas heterogeneamente densas, sin evidenciar signos sospechosos de NM.
Categoría BIRADS 1.</t>
  </si>
  <si>
    <t>ALBORNOZ RAMIREZ MARISOL</t>
  </si>
  <si>
    <t>NUEVA CHAMBARA MZ I LT 19</t>
  </si>
  <si>
    <t>WHATSAPP OBST. CARMEN</t>
  </si>
  <si>
    <t>ALBORNOZ RAMIREZ MARIA</t>
  </si>
  <si>
    <t>NUEVA CHAMBARA MZ J LT 12</t>
  </si>
  <si>
    <t>CABEZA YENQUE RAQUEL  GRACIELA</t>
  </si>
  <si>
    <t>JR SALAVERRY  715 HUACHO</t>
  </si>
  <si>
    <t>Mamas con sectores dispersos de densidad fibroglandular (ACR tipo B) Asimetria focal en tercio medio de CSE de mama derecha Calcificaciones típicamente benignas en ambas mamas Categoría BIRADS 3.</t>
  </si>
  <si>
    <t>BI RADS3</t>
  </si>
  <si>
    <t>COMPRESION +ECOGRAFIA D EMAMAS + MAMOGRAFIA ANUAL</t>
  </si>
  <si>
    <t>JARA OBESO ROSARIO  DEL MILAGRO</t>
  </si>
  <si>
    <t>AA HH CERRO  ATARRAYA MZ B LOT 7</t>
  </si>
  <si>
    <t>POLO QUICHE NORMA ELIZABETH</t>
  </si>
  <si>
    <t>AVD 5 DE DICIEMBRE 111</t>
  </si>
  <si>
    <t>Mamas con sectores dispersos de densidad fibroglandular (ACR tipo B) Categoría BIRADS 1 .</t>
  </si>
  <si>
    <t>FUENTES CHAUCA GISELA</t>
  </si>
  <si>
    <t>28 DE JULIO 1779 CHONTA</t>
  </si>
  <si>
    <t>Mamas heterogéneamente densas. Patrón ACR - C.
Asimetría focal en CSE de mama derecha
Categoría BIRADS 3</t>
  </si>
  <si>
    <t>WASSAP</t>
  </si>
  <si>
    <t>PABLO BAZAN CRECENCIA</t>
  </si>
  <si>
    <t>STA ELVIRA MZ. A LT. 5 CALLE SAN MARTIN - CHAMBARA</t>
  </si>
  <si>
    <t>Mamas heterogéneamente densas.
Calcificaciones de aspecto benigno en cuadrante superior externo de mama derecha</t>
  </si>
  <si>
    <t>TEC CARMEN MONTES WASSAP</t>
  </si>
  <si>
    <t>EUGENIO DURAND LUCIDORIA</t>
  </si>
  <si>
    <t>AA HH JAVIER DE SANTA MARIA MZ B LOT 5</t>
  </si>
  <si>
    <t>ESPINOZA TRUJILLO  ANGELICA ROXANA</t>
  </si>
  <si>
    <t>ASC VV LAS AMERICAS F -37</t>
  </si>
  <si>
    <t>AGUILAR BACILIO  MARI A ELISA</t>
  </si>
  <si>
    <t>COOP.AGRARIA HUAYAN S/N</t>
  </si>
  <si>
    <t xml:space="preserve">LAZARO  AYALA JESSICA VANESSA </t>
  </si>
  <si>
    <t>URB 18 DE OCTUBVRE MZ E LOT 1</t>
  </si>
  <si>
    <t>Mamas heterogéneamente densas
Calcificaciones de aspecto benigno en amba mamas</t>
  </si>
  <si>
    <t>MATIAS DAVILA LUDOVINA  ESPERANZA</t>
  </si>
  <si>
    <t>CAP.ACARAY S/N</t>
  </si>
  <si>
    <t>OBST  ELIZABETH ZAMORA</t>
  </si>
  <si>
    <t xml:space="preserve">DULANTO MENDOZA YIANINA </t>
  </si>
  <si>
    <t>CALLE MIGUEL GRAU 1414</t>
  </si>
  <si>
    <t>ALCANTAR A NICHO  ERIKA MEDLAID</t>
  </si>
  <si>
    <t>CRNL. PORTILLO 130 INT  03 X PLAZUELA 2 DE MAYO</t>
  </si>
  <si>
    <t>APOLINARIO JESUS PATRICIA MAGALI</t>
  </si>
  <si>
    <t>LA QUERENCIA  S/N MEDIO MUNDO</t>
  </si>
  <si>
    <t>OBST SUSAN VALVERDE WASSAP</t>
  </si>
  <si>
    <t>BERNABE OLIVERA CELIA  MARLENE</t>
  </si>
  <si>
    <t>ASENT.H.18 DE OCTUBRE C-1</t>
  </si>
  <si>
    <t>GUEVARA DIAZ PATRICIA</t>
  </si>
  <si>
    <t>URB. INDEPENDENCIA MZ A-15</t>
  </si>
  <si>
    <t>SAAVEDRA FLORES CINTHIA ALBERTINA</t>
  </si>
  <si>
    <t xml:space="preserve">SAN JUAN LATO  PARCELA 7 MEDIO MUNDO </t>
  </si>
  <si>
    <t>992 977 800</t>
  </si>
  <si>
    <t>RIOS  PATRICIO  FAUSTINA ROSARIO</t>
  </si>
  <si>
    <t>QUEPEPAMPA KM 4 1/2 CHANCAY</t>
  </si>
  <si>
    <t>999 222 875</t>
  </si>
  <si>
    <t>Mamas heterogéneamente densas. Patrón ACR - C.
Calcificaciones redondeadas difusa en mama derecha
Categoría BIRADS 0</t>
  </si>
  <si>
    <t>FLORES VEGA TERESA OCTAVIA</t>
  </si>
  <si>
    <t>MZ.LL LT.18 ASENT.H.SAN JUAN DE DIOS</t>
  </si>
  <si>
    <t>EVANGELISTA HUAMAN EUSTAQUIA OFELIA</t>
  </si>
  <si>
    <t>ASENT.H.ALBERTO FUJIMORI MZ D LOT 12</t>
  </si>
  <si>
    <t>Mamas heterogéneamente densas. Patrón ACR - C.
Asimetría focal asocia a calcificación lineal heterogénea en CSE de mama izquierda
Categoría BIRADS 0</t>
  </si>
  <si>
    <t>O8063070</t>
  </si>
  <si>
    <t>CALDERON REYES MARIA LUISA</t>
  </si>
  <si>
    <t>AA HH SAN JUAN DE DIOS  MZ B LOT  5 AV LA LIBERTAD</t>
  </si>
  <si>
    <t>Mamas con sectores dispersos de densidad fibroglandular (ACR tipo B)
Calcificaciones difusas con centro radiolúcido en mama izquierda
Categoría BIRADS 2</t>
  </si>
  <si>
    <t>PARIONA ASENCIO MARIA MIRTHA</t>
  </si>
  <si>
    <t xml:space="preserve">CAMINO  VIEJO  JESUS DLE  VALLE SAN PEDRO  ALTO  </t>
  </si>
  <si>
    <t>991 756 254</t>
  </si>
  <si>
    <t>Mamas heterogéneamente densas. Patrón ACR - C.
Calcificaciones redondeadas en ambas mamas y con centro radiolúcido en mama izquierda
Categoría BIRADS 0</t>
  </si>
  <si>
    <t>CHAVEZ MARTINEZ ELBA FELICIANA</t>
  </si>
  <si>
    <t xml:space="preserve">MATEO PUMACAHUA 151 </t>
  </si>
  <si>
    <t>999 195 931</t>
  </si>
  <si>
    <t>JARA MELGAREJO MARGARITA</t>
  </si>
  <si>
    <t>LOS ANGELES MZ. A LT. 25</t>
  </si>
  <si>
    <t>JARA GUERRERO MARTHA MICHELG</t>
  </si>
  <si>
    <t>ASENT. H. LA MERCED - FUNDO VIRGEN DEL CARMEN</t>
  </si>
  <si>
    <t>982 879 129</t>
  </si>
  <si>
    <t>Mamas con sectores dispersos de densidad fibroglandular (ACR tipo B), sin evidencia de signos sospechosos de
malignidad
Categoría BIRADS 1</t>
  </si>
  <si>
    <t>OBST ESTEFANY CAVERO  WASSAP</t>
  </si>
  <si>
    <t>LLACCHI MATOS CARMEN SUHAID</t>
  </si>
  <si>
    <t>AV PERALVILLO 2431</t>
  </si>
  <si>
    <t>Mamas heterogéneamente densas. Patrón ACR - C.
Nódulo de márgenes circunscritos en mama izquierda
Categoría BIRADS 0</t>
  </si>
  <si>
    <t>OBT PATRICIA</t>
  </si>
  <si>
    <t>HUAYTA GRADOS JOBITA</t>
  </si>
  <si>
    <t>CENTRO POBLADO DE CLADERA</t>
  </si>
  <si>
    <t>VIDAL FERNANDEZ MILAGROS MERCEDES</t>
  </si>
  <si>
    <t>CALLE CALLAO N°108</t>
  </si>
  <si>
    <t>El estudio realizado muestra mamas heterogéneamente densas ,sin evidenciar signos sospechosos de NM.
Categoría BIRADS 1.</t>
  </si>
  <si>
    <t>FLORES SILVA MILAGROS DEL PILAR</t>
  </si>
  <si>
    <t>CALDERA S/N</t>
  </si>
  <si>
    <t>30/03'2026</t>
  </si>
  <si>
    <t>CASTRO SANTOS MAGALI NOEMI</t>
  </si>
  <si>
    <t>OBST CAROLINA TELLO DIGOY</t>
  </si>
  <si>
    <t>TAFUR SAAVEDRA NOEMIM ISABET</t>
  </si>
  <si>
    <t>PAMPA DE ANIMA S/N</t>
  </si>
  <si>
    <t>MANRIQUE MATURRANO SANDRA INES</t>
  </si>
  <si>
    <t>AV CINCUENTENARIO 1898</t>
  </si>
  <si>
    <t>GONZALES HERRERA EMMA LUZ</t>
  </si>
  <si>
    <t>LAS GARDENIAS MZ L TL 11</t>
  </si>
  <si>
    <t>Mamas con sectores dispersos de densidad fibroglandular (ACR tipo B)
Asimetría y nódulo de mediana densidad en CSE de mama izquierda
Categoría BIRADS 0</t>
  </si>
  <si>
    <t>ALEJOS COCA ROSARIO DEL PILAR</t>
  </si>
  <si>
    <t>AV CENTARIO 206</t>
  </si>
  <si>
    <t>MARILUZ REAÑO MARIA</t>
  </si>
  <si>
    <t>AV CRUZ BLANCA1956</t>
  </si>
  <si>
    <t>Mamas con sectores dispersos de densidad fibroglandular (ACR tipo B), sin evidencia de signos sospechosos de
NM
Calcificaciones típicamente benignas en ambas mamas
Categoría BIRADS 2.</t>
  </si>
  <si>
    <t>DAVILA CHAVARRIA CECILIA MARGARITA</t>
  </si>
  <si>
    <t>JOSE OLAYA 246</t>
  </si>
  <si>
    <t>El estudio realizado muestra mamas con predominante componte graso, sin evidenciar signos sospechosos de NM.
Calcificaciones típicamente benignas en ambas mamas
Categoría BIRADS 2.</t>
  </si>
  <si>
    <t>O6134505</t>
  </si>
  <si>
    <t>ATALAYA SAAVEDRAS CARMEN ROSA</t>
  </si>
  <si>
    <t>AD DGO MANDAMIENTO 1542</t>
  </si>
  <si>
    <t>Mamas heterogéneamente densas. Patrón ACR - C.
Asimetría de densidad en CSE de mama izquierda
Categoría BIRADS 0</t>
  </si>
  <si>
    <t>ROCCA ENRIQUEZ GLORIA BETTY</t>
  </si>
  <si>
    <t>AV NICOLAS DE PIEROLA 248 INT 5</t>
  </si>
  <si>
    <t xml:space="preserve">GARRO RAMIREZ JACQUELINE </t>
  </si>
  <si>
    <t>AV CENTENARIO 427</t>
  </si>
  <si>
    <t>GARCIAS TORRES CARMEN ROSA</t>
  </si>
  <si>
    <t>AV NICOLAS DE PIEROLA 248 INT 4</t>
  </si>
  <si>
    <t xml:space="preserve">WASSAP  GRUPO  </t>
  </si>
  <si>
    <t>QUISPE MEJIA ROSI</t>
  </si>
  <si>
    <t>BARRION UNION OBRERO LT 18</t>
  </si>
  <si>
    <t>Mamas heterogéneamente densas. Patrón ACR - C.
Asimetría en CSE de mama derecha
Calcificaciones agrupadas en CII de mama derecha
Categoría BIRADS 0</t>
  </si>
  <si>
    <t>ZELAYA JAIMES BERTILA CECILIA</t>
  </si>
  <si>
    <t>CALLE AUSEJO SALAS 394</t>
  </si>
  <si>
    <t>Mamas con sectores dispersos de densidad fibroglandular (ACR tipo B)
Nódulos de márgenes circunscritos en ambas mamas, requiere ampliar estudio para mejor caracterización
Categoría BIRADS 0</t>
  </si>
  <si>
    <t>SAAVEDRA ROJAS ROSA</t>
  </si>
  <si>
    <t>MERCEDES INDACOCHEA 227</t>
  </si>
  <si>
    <t>HUACH</t>
  </si>
  <si>
    <t>El estudio realizado muestra mamas , sin evidenciar signos sospechosos de NM.
Categoría BIRADS 1.</t>
  </si>
  <si>
    <t>ZAPATA PARY VIVIANA FLORIANA</t>
  </si>
  <si>
    <t>SANTA CRUZ Nº273</t>
  </si>
  <si>
    <t>BARRIENTOS SUAREZ MIRIAN SOLEDAD</t>
  </si>
  <si>
    <t>PEDRO SAYAN Nº449</t>
  </si>
  <si>
    <t>MORALES MARIN MARGOT</t>
  </si>
  <si>
    <t>LORETO S/N</t>
  </si>
  <si>
    <t>PS. HUAYTO</t>
  </si>
  <si>
    <t>WASSAP GRUPO</t>
  </si>
  <si>
    <t>CANO  LERMO GLORIA</t>
  </si>
  <si>
    <t xml:space="preserve">LA TABLADA KM 3,5 </t>
  </si>
  <si>
    <t>BAJONERO JORGES EDITH</t>
  </si>
  <si>
    <t>AV. PERU 1085</t>
  </si>
  <si>
    <t>RAMOS SILVERIO LITA</t>
  </si>
  <si>
    <t>CALLE PEDRO CUENA S/N CARQUIN</t>
  </si>
  <si>
    <t>Mamas heterogéneamente densas. Patrón ACR - C.
Nódulos de márgenes circunscritos asociados a gruesas calcificaciones redondeadas en ambas mamas que podría
corresponder a fibroadenomas hilianizados , requiere ampliar estudio para mejor caracterización
Categoría BIRADS 0</t>
  </si>
  <si>
    <t>CORONADO SALAZAR DEVORA</t>
  </si>
  <si>
    <t>AV HIPOLITO UNANUE  PSJE CANDELARIA INT.2</t>
  </si>
  <si>
    <t>OPACIDAD NODULAR EN MAMA IZQUIERDA, SE SUGIERE ESTUDIO ECOGRAFICO PARA MEJOR CARACTERIZACION.
CALCIFICACION DE ASPECTO BENIGNO EN MAMA IZQUIERDA
RESTO DE LA MAMOGRAFÍA BILATERAL DENTRO DE LÍMITES NORMALES.
BI-RADS: 3</t>
  </si>
  <si>
    <t>SEGUIR INIDCACIONES MEDICAS</t>
  </si>
  <si>
    <t>ESQUEN DE LA LAMA ELENA GLORIA MARIA</t>
  </si>
  <si>
    <t>CALLE ELIAS AGUIRRE 113 URB. MICAELA BASTIDAS</t>
  </si>
  <si>
    <t>965319257 - 943250568</t>
  </si>
  <si>
    <t>C.S PARAMONGA</t>
  </si>
  <si>
    <t>CAMBIOS POST PROCESO INFLAMATORIO EN AMBAS MAMAS SE SUGIERE ESTUDIO ECOGRAFICO PARA MEJOR
CARACTERIZACION,
RESTO DE AMBAS MAMAS HETEROGÉNEAMENTE DENSAS, SE SUGIERE COMPLEMENTAR CON ECOGRAFÍA POR
DENSIDAD MAMARIA.
BI-RADS: 0</t>
  </si>
  <si>
    <t>RODIRGUEZ GARRO  ALICIA</t>
  </si>
  <si>
    <t>PROLG ESEQUIEL GAGO  MZ 35 LOT 2 MEDIO MUNDO</t>
  </si>
  <si>
    <t>OPACIDAD NODULAR EN MAMA IZQUIERDA, DE PROBABLE ASPECTO BENIGNO, A CONSIDERAR PROBABLE LIPOMA
MAMARIO, SE SUGIERE ESTUDIO ECOGRAFICO PARA MEJOR CARACTERIZACION
RESTO DE AMBAS MAMAS EXTREMADAMENTE DENSAS, SE SUGIERE COMPLEMENTAR CON ECOGRAFÍA POR
DENSIDAD MAMARIA.
BI-RADS: 2</t>
  </si>
  <si>
    <t>WATHSSAP GRUPO</t>
  </si>
  <si>
    <t>SUAREZ BALAREZO JULISSA ARACELY</t>
  </si>
  <si>
    <t>CALLE UNION MZ 75 LT12 SAN ISIDRO</t>
  </si>
  <si>
    <t>VILCA RUIZ ROSA MARISOL</t>
  </si>
  <si>
    <t>VIRGEN DE GUADALUPE MZ A LT2</t>
  </si>
  <si>
    <t>MALLQUI INGA DORIS FORTUNATA</t>
  </si>
  <si>
    <t>CALLE DON GILLERMO SANTA ROSA</t>
  </si>
  <si>
    <t xml:space="preserve">TINOCO DULANTO VILMA MARTHA </t>
  </si>
  <si>
    <t xml:space="preserve">BARRANCA </t>
  </si>
  <si>
    <t xml:space="preserve">ACOSTA BENITEZ OLGA BACILISA </t>
  </si>
  <si>
    <t>CALLE BOLOGNESI 121</t>
  </si>
  <si>
    <t>CALCIFICACION DE ASPECTO BENIGNO EN MAMA DERECHA,
RESTO DE LA MAMOGRAFÍA BILATERAL DENTRO DE LÍMITES NORMALES.
BI-RADS: 2</t>
  </si>
  <si>
    <t xml:space="preserve"> RODRIGUEZ MAZUELOS JENNY DINORA</t>
  </si>
  <si>
    <t>URB. INDEPENDENCIA G-7</t>
  </si>
  <si>
    <t>DNI:07165358</t>
  </si>
  <si>
    <t>CORDERO SALAZAR ENEDINA</t>
  </si>
  <si>
    <t>HORNILLOS MAZ DLT 8</t>
  </si>
  <si>
    <t>MALENA EMPERATRIZ DURAND ALARCON</t>
  </si>
  <si>
    <t>PROLONG. AREQUIPA - 3ER SECTOR</t>
  </si>
  <si>
    <t>DELGADO MONTORO DORA MERCEDES</t>
  </si>
  <si>
    <t>JR ZAVALA 340</t>
  </si>
  <si>
    <t>OPACIDAD DE MARGENES INDISTINTOS CON PRESENCIA DE CALCIFICACION HETEROGENEA A NIVEL DE REGION
RETROAREOLAR, SE SUGIERE ESTUDIO ECOGRAFICO PARA MEJOR CARACTERIZACION.
RESTO DE AMBAS MAMAS HETEROGÉNEAMENTE DENSAS, SE SUGIERE COMPLEMENTAR CON ECOGRAFÍA POR
DENSIDAD MAMARIA.
BI-RADS: 0</t>
  </si>
  <si>
    <t>OBST NORMA WASSAP</t>
  </si>
  <si>
    <t>AGUEDO MORALES IVONNE MARITZA</t>
  </si>
  <si>
    <t>PROL JOSE GALVEZ 2 04 COLEIO DEL CRMEN</t>
  </si>
  <si>
    <t xml:space="preserve"> MIGUEL ARAUJO MARITZA</t>
  </si>
  <si>
    <t>CALLE. CIPRESES 151</t>
  </si>
  <si>
    <t>EL TAMBO</t>
  </si>
  <si>
    <t>BERNAL NICHO DANY MARITZA</t>
  </si>
  <si>
    <t>AV.DOMINGO MANDAMIENTO # 515 HUALMAY</t>
  </si>
  <si>
    <t>CATIRI ASCENCIO MILAGROS INES</t>
  </si>
  <si>
    <t xml:space="preserve">CA GARCILAZO D ELA VEGA PSJ 4 D EMARZO UINT B-7 </t>
  </si>
  <si>
    <t>FUNG SIPAN GIPSY ROCIO</t>
  </si>
  <si>
    <t>NICOLAS DE PIEROLA 292</t>
  </si>
  <si>
    <t xml:space="preserve">INFANTES FLORES MIRYAM GLADYS </t>
  </si>
  <si>
    <t>JR. ZAVALA 349 - INT 2</t>
  </si>
  <si>
    <t>PACORA MELGAREJO ELIZABETH</t>
  </si>
  <si>
    <t>URB HUACHO E9A</t>
  </si>
  <si>
    <t>MELGAREJO SILVA ZONIA</t>
  </si>
  <si>
    <t>L. PRADO Nº250</t>
  </si>
  <si>
    <t>CALCIFICACION DE ASPECTO BENIGNO EN MAMA DERECHA.
RESTO DE AMBAS MAMAS HETEROGÉNEAMENTE DENSAS, SE SUGIERE COMPLEMENTAR CON ECOGRAFÍA POR
DENSIDAD MAMARIA.
BI-RADS: 2</t>
  </si>
  <si>
    <t xml:space="preserve"> PINEDA LOLI SONIA ANTONIA</t>
  </si>
  <si>
    <t>URB. 7 DE JUNIO C-14</t>
  </si>
  <si>
    <t>VEGA OYOLA FLOR</t>
  </si>
  <si>
    <t>BUENOS AIRES 114</t>
  </si>
  <si>
    <t>OBST MILAGROS BEDIA</t>
  </si>
  <si>
    <t>ROMAN BUSTAMANTE NURIA</t>
  </si>
  <si>
    <t>PSJ LAS VEGONIAS 105</t>
  </si>
  <si>
    <t>CAMPOS CORDOVA DE ANDRES MILAGRITO NANCY</t>
  </si>
  <si>
    <t>AV TUPAC AMARU 562</t>
  </si>
  <si>
    <t>CANO FLORES MARGARITA LUCIA</t>
  </si>
  <si>
    <t>PAMPA DE LARA PJE SAN JUAN</t>
  </si>
  <si>
    <t>VERIFICACIÓN</t>
  </si>
  <si>
    <t>COLAN POMACHAGUA ROSA</t>
  </si>
  <si>
    <t>AV. GRAU 395</t>
  </si>
  <si>
    <t>OPACIDADES NODULARES EN AMBAS MAMAS, SE SUGIERE ESTUDIO ECOGRAFICO PARA MEJOR CARACTERIZACION
RESTO DE AMBAS MAMAS HETEROGÉNEAMENTE DENSAS, SE SUGIERE COMPLEMENTAR CON ECOGRAFÍA POR
DENSIDAD MAMARIA.
BI-RADS: 3</t>
  </si>
  <si>
    <t>06/04/2026 WATHSAPP</t>
  </si>
  <si>
    <t>SILVA CHIROQUE AYME ANGELA</t>
  </si>
  <si>
    <t>CALLE LOS PORTALES MZ C LOT 2</t>
  </si>
  <si>
    <t>OBT ENEYDA BARBOZA WATHSAPP</t>
  </si>
  <si>
    <t>QUITO REQIENA EVAMDIA</t>
  </si>
  <si>
    <t>LAS  CASUARINAS MZ G LOT 27</t>
  </si>
  <si>
    <t>LIC. ENF. PAMELA CHAVEZ</t>
  </si>
  <si>
    <t>ROSTAING RODRIGEUZ BLANCA MARIA</t>
  </si>
  <si>
    <t>ANA MARIA YADEA  3671 VILLA SOLIDATI</t>
  </si>
  <si>
    <t>px 22/04/2026</t>
  </si>
  <si>
    <t>ARAVEÑA VERGARA MARTHA DEL CARMEN</t>
  </si>
  <si>
    <t>LOPEZ ROJAS ZOILA ESTHER</t>
  </si>
  <si>
    <t xml:space="preserve">CALLE MARIAPARADO  DE BELIDO  168 EL CARMEN </t>
  </si>
  <si>
    <t>Mamas con sectores dispersos de densidad fibroglandular (ACR tipo B)
Asimetría focal en CII de mama izquierda
Categoría BIRADS 3</t>
  </si>
  <si>
    <t>OBST BRENDA WASSAP</t>
  </si>
  <si>
    <t>MANRIQUE ATENCIO CONSUELO</t>
  </si>
  <si>
    <t>CARLOS F MANRIQUE 402 EL MILAGRO</t>
  </si>
  <si>
    <t xml:space="preserve">Mamas con sectores dispersos de densidad fibroglandular (ACR tipo B), sin evidenciar signos sospechosos de NM
Calcificaciones vasculares en ambas mamas
Categoría BIRADS 2
</t>
  </si>
  <si>
    <t xml:space="preserve">GONZALES TORRES MARIA ESTHER </t>
  </si>
  <si>
    <t>AV.PROGRESO 162 PUERTO CHANCAY</t>
  </si>
  <si>
    <t>Mamas con sectores dispersos de densidad fibroglandular (ACR tipo B)
Asimetría focal en CSE de mama derecha
Calcificaciones vasculares en ambas mamas
Categoría BIRADS 3</t>
  </si>
  <si>
    <t>DE LA CRUZ MARQUINA CECILIA VERONICA</t>
  </si>
  <si>
    <t>EL CARMEN - MANCO CAPAC</t>
  </si>
  <si>
    <t>OBST PATRICIA</t>
  </si>
  <si>
    <t>ESPINOZA LEON IDA</t>
  </si>
  <si>
    <t xml:space="preserve">CASERIO  OLIVAR </t>
  </si>
  <si>
    <t>Mamas con sectores dispersos de densidad fibroglandular (ACR tipo B)
Asimetría focal en CS retroareolar en mama derecha
Calcificaciones redondeadas difusa en mama derecha
Categoría BIRADS 0</t>
  </si>
  <si>
    <t>OSBT MELISA PALACIOS</t>
  </si>
  <si>
    <t>MAGUIÑA JARA MARTHA</t>
  </si>
  <si>
    <t xml:space="preserve">EMILIO MELENDEZ MZ B LOT 13 </t>
  </si>
  <si>
    <t>Mamas heterogéneamente densas. Patrón ACR - C.
Calcifcaciones vasculares incipientes en mamas
Categoría BIRADS 0</t>
  </si>
  <si>
    <t xml:space="preserve">GRUPO  WATHSAPP </t>
  </si>
  <si>
    <t>ROMERO ARREDONDO LILIANA DEL ROSARIO</t>
  </si>
  <si>
    <t>ASC LAS GARDENIAS LOT 13  X CIPRECES</t>
  </si>
  <si>
    <t>Mamas heterogéneamente densas. Patrón ACR - C.
Asimetría de densidad en mama derecha
Categoría BIRADS 3</t>
  </si>
  <si>
    <t>PX 20/04/2026</t>
  </si>
  <si>
    <t>RONDON VALENCIA PRISCILA RICARDINA</t>
  </si>
  <si>
    <t>ASOC.DE POBLADORES LOS JARDINES MZ.E LT.03</t>
  </si>
  <si>
    <t>Mamas heterogéneamente densas. Patrón ACR - C.
Asimetria en mama derecha , requiere ampliar esutdio
Categoría BIRADS 0</t>
  </si>
  <si>
    <t>COMPRENSION MAMA DERECHA + ECOGRAFIA</t>
  </si>
  <si>
    <t>PACHECO VALLADARES ROSA CLAUDIA</t>
  </si>
  <si>
    <t>AV. LIBERTAD 1786 ZAPATA</t>
  </si>
  <si>
    <t>Mamas con sectores dispersos de densidad fibroglandular (ACR tipo B), sin evidenciar signos sospechosos de
malignidad
Categoría BIRADS 1</t>
  </si>
  <si>
    <t>MORA MORA DOLORES MARGARITA</t>
  </si>
  <si>
    <t xml:space="preserve">PROL LOPEZ DE ZUÑIGA </t>
  </si>
  <si>
    <t>Mamas con sectores dispersos de densidad fibroglandular (ACR tipo B), sin evidencia de signos sospechosos de
malignidad
Categoría BIRADS 1.</t>
  </si>
  <si>
    <t>FRANCISCO LAVERIO LILIANA YANINA</t>
  </si>
  <si>
    <t>LA FLORIDA S/N -VEGUETA</t>
  </si>
  <si>
    <t>OBSY HEYDI  ACUÑA</t>
  </si>
  <si>
    <t>SALAS ESPINOZA NATIVIDAD ISABEL</t>
  </si>
  <si>
    <t>CALLE MICAELA BASTIDAS S/N  SOOCORRO</t>
  </si>
  <si>
    <t>AUSEJO SALAS 369</t>
  </si>
  <si>
    <t>PACORA QUIROZ JESSICA</t>
  </si>
  <si>
    <t>PROLO. MORE B- 12</t>
  </si>
  <si>
    <t>PX 13/04/2026</t>
  </si>
  <si>
    <t>PALACIOS CAPCHA YENT SUMILDA</t>
  </si>
  <si>
    <t>CVALLE CUSCO  CDRA 4 PSJ 3</t>
  </si>
  <si>
    <t>21/04/2026 WATHSAPP</t>
  </si>
  <si>
    <t>VILLAVICENCIO PEREZ ISABEL</t>
  </si>
  <si>
    <t>PANAMERICANA NORTE KM.1128</t>
  </si>
  <si>
    <t xml:space="preserve">SANT MARIA </t>
  </si>
  <si>
    <t>WATHSSAP</t>
  </si>
  <si>
    <t>MARCELO  LOZANO  MARTA MARIA</t>
  </si>
  <si>
    <t>ASENT.H.SAN MARTIN MZ.B-1 LT.13</t>
  </si>
  <si>
    <t>15/04/2026 WATHSAPP</t>
  </si>
  <si>
    <t>GRUPO DE MICROCALCIFICACIONES REDONDAS EN EL CSE DE MAMA DERECHA</t>
  </si>
  <si>
    <t>10/04/2026 PX 14/04</t>
  </si>
  <si>
    <t>GAMARRA CHUMBES ELSA</t>
  </si>
  <si>
    <t>CALLE ASCENCION 170 AMAY</t>
  </si>
  <si>
    <t>LUGO GONZALES NELLY BEATRIZ</t>
  </si>
  <si>
    <t>AV LOS OLIVOS MZ E LOT 1 MIRAFLORES AUCALLAMA</t>
  </si>
  <si>
    <t>COLLANTES ESTUPIÑAN KANDY LISSET</t>
  </si>
  <si>
    <t>EMILIANO MELENDEZ MZ N LOT 4</t>
  </si>
  <si>
    <t>CRUZ GARAY EDITA ERLINDA</t>
  </si>
  <si>
    <t>CALLE LOS PINOS LOT 10 VILCAHUAURA</t>
  </si>
  <si>
    <t>OBST YAJAIRA MANRIQUE</t>
  </si>
  <si>
    <t>CALLE EL CARMEN 112 EL CARMEN</t>
  </si>
  <si>
    <t>PURIFICACION SOLIS ROSARIO VICTORIA</t>
  </si>
  <si>
    <t>LAS PERLAS C-2 EL CARMEN</t>
  </si>
  <si>
    <t>VILLANUEVA GALLARDO ESPERANZA PILAR</t>
  </si>
  <si>
    <t>LOS ANGELES S/N</t>
  </si>
  <si>
    <t>Mamas heterogéneamente densas Impresiona imagen nodular asociado a calcificaciones superpuestas a nivel de plano medio de unión de cuadrante externos de mama derecha Impresiona imagen nodular ovalada a nivel de plano medio de cuadrante superior interno de mama izquierda Calcificaciones de aspecto benigno dispersas en ambas mamas</t>
  </si>
  <si>
    <t>MONTES GUZMAN MARTA LAURA</t>
  </si>
  <si>
    <t>LOS JARDINES MZ F LOT 8</t>
  </si>
  <si>
    <t>VASQUEZ CONCEPCION GENOVEVA LUZ</t>
  </si>
  <si>
    <t>AV.TUPAC AMARU 310 URB.EL SOCORRO</t>
  </si>
  <si>
    <t>Mamas heterogéneamente densas Impresiona imagen nodular de aspecto benigno a nivel de plano posterior de cuadrante superior externo de mama izquierda</t>
  </si>
  <si>
    <t>O9743850</t>
  </si>
  <si>
    <t xml:space="preserve">CANALES ALOR GLORIA ADELA </t>
  </si>
  <si>
    <t>CALLE GRAU 171</t>
  </si>
  <si>
    <t>OBST JHEYDI ACUÑA</t>
  </si>
  <si>
    <t>CASTILLEJO  MILLA DE ANCAJIMA HILDA LUZ</t>
  </si>
  <si>
    <t>CP VILLA LOS REYES MZ E LOT 4 - PAMPA LIBRE</t>
  </si>
  <si>
    <t>PAMPA LIBRE</t>
  </si>
  <si>
    <t>C. S PAMPA LIBRE</t>
  </si>
  <si>
    <t>PX 14/04/2026</t>
  </si>
  <si>
    <t>MARTINEZ IZAGUIRRE YOISY DONIET</t>
  </si>
  <si>
    <t>JOSE OLAYA S/N</t>
  </si>
  <si>
    <t>PACHECO TORRES SOLEDAD YANINA</t>
  </si>
  <si>
    <t>I ETAPA MZJ LOT 9 LOS PINOS SANTA MARIA</t>
  </si>
  <si>
    <t>OBST SUSAN MARXTON</t>
  </si>
  <si>
    <t>AIRAHUACHO BAUTISTA SOFIA HAYDEE</t>
  </si>
  <si>
    <t>GRAL. VIDAL O-7 LA PERLITA</t>
  </si>
  <si>
    <t>988 620 856</t>
  </si>
  <si>
    <t>Mamografía bilateral sin signos que sugieran malignidad Calcificaciones de aspecto benigno dispersas en ambas mamas</t>
  </si>
  <si>
    <t>PURIZAGA GRANDES PETRONILA ELENA</t>
  </si>
  <si>
    <t>CALLE CAMPO ALEGRE 28</t>
  </si>
  <si>
    <t>972 344 484</t>
  </si>
  <si>
    <t>PX 15/04/2026</t>
  </si>
  <si>
    <t>PEREZ RIVERA CARMEN</t>
  </si>
  <si>
    <t>MEGASUR 1 X CIUDAD SATELIOTE</t>
  </si>
  <si>
    <t>CUADROS BOCANEGRA DALINDA IRENE</t>
  </si>
  <si>
    <t>A. HUMANO SACACHISPA MZ G - LT 5 - HUANDO</t>
  </si>
  <si>
    <t>Mamografía bilateral sin signos que sugieran malignidad
Impresiona imagen nodular de aspecto benigno a nivel de plan posterior de cuadrante superior externo de mama
izquierda</t>
  </si>
  <si>
    <t>FALCON TOLEDO MARTA LUZ</t>
  </si>
  <si>
    <t>DOMINGO COLOMA 588</t>
  </si>
  <si>
    <t>917 312 509</t>
  </si>
  <si>
    <t>CHANG MENDOZA CINTHIA</t>
  </si>
  <si>
    <t xml:space="preserve">LEONCIO PRADO </t>
  </si>
  <si>
    <t>Mamas heterogéneamente densas
Impresiona imagen nodular a nivel de plano medio de cuadrante inferior interno de mama izquierda</t>
  </si>
  <si>
    <t>PX GARCIA RANDA ESPOSO 15/04/2026</t>
  </si>
  <si>
    <t>PAPA DE LEON JULIA</t>
  </si>
  <si>
    <t>S/N Cochamarca</t>
  </si>
  <si>
    <t>OBT IRINA ROMAS</t>
  </si>
  <si>
    <t>RAFAEL JIMENEZ SONIA URSULA</t>
  </si>
  <si>
    <t>ESQUINA BELEN Y 28 DE JULIO S/N</t>
  </si>
  <si>
    <t>IMAN ORTIZ ALICIA</t>
  </si>
  <si>
    <t>HUAURA E - 15</t>
  </si>
  <si>
    <t>967 036 728</t>
  </si>
  <si>
    <t>PALOMINO SOLORZANO JULIA</t>
  </si>
  <si>
    <t>AMBAR SN</t>
  </si>
  <si>
    <t>Mamografía bilateral sin signos que sugieran malignidad
Impresiona adenomegalia en región axilar derecha</t>
  </si>
  <si>
    <t>OBST MELISA PALACIOS</t>
  </si>
  <si>
    <t>VARGAS MARCHENA  TERESA</t>
  </si>
  <si>
    <t xml:space="preserve">PROL LOS ANGELES </t>
  </si>
  <si>
    <t>Mamas heterogéneamente densas
Calcificaciones de aspecto benigno dispersas en ambas mamas a predominio de mama izquierda</t>
  </si>
  <si>
    <t>TEC  MARY PATRICIO</t>
  </si>
  <si>
    <t>PX X08/04/2026</t>
  </si>
  <si>
    <t>GRUPO DE CALCIFICAIONES REDONDAS Y PNTIFORMES EN EL CSE DE LA MAMA IZQUIERDA</t>
  </si>
  <si>
    <t>ROJAS CAMACHO MELANIA</t>
  </si>
  <si>
    <t xml:space="preserve">PSJ CRUZ DE CANO 133 </t>
  </si>
  <si>
    <t>PANANA REYES  IRIS AYDA</t>
  </si>
  <si>
    <t xml:space="preserve">CALLE LOS ANGELES 105 </t>
  </si>
  <si>
    <t>CALETA DE CARQUIN</t>
  </si>
  <si>
    <t>VILLANUEVA SUSANIBAR SUSY ERLINDA</t>
  </si>
  <si>
    <t>CALLE LOS ANGELES S/N VILCAHUAURA</t>
  </si>
  <si>
    <t>Mamas con sectores dispersos de densidad fibroglandular (ACR tipo B)
Calcifcaciones vasculares en ambas mamas, tipicamente benignas
Categoría BIRADS 2</t>
  </si>
  <si>
    <t>30/04/20206</t>
  </si>
  <si>
    <t>BARRERA UZURIAGA INES</t>
  </si>
  <si>
    <t>CALLE LIMA MZ B LT 3URB LA ESPERANZA</t>
  </si>
  <si>
    <t>Mamas con sectores dispersos de densidad fibroglandular (ACR tipo B)
Calcifcaciones vasculares en ambas mamas , tipicamente benignas
Categoría BIRADS 2</t>
  </si>
  <si>
    <t>SOLIS ROMERO HAYDEE SOLEDAD</t>
  </si>
  <si>
    <t>ASOC LA VILLA MZ H LT 9</t>
  </si>
  <si>
    <t>El estudio realizado muestra mamas heterogeneamente densas sin evidenciar signos sospechosos de NM.
Calcifcaciones vasculares en ambas mamas
Categoría BIRADS 2.</t>
  </si>
  <si>
    <t>SAN JUDAS MAZ I LT 1</t>
  </si>
  <si>
    <t>FLORES COLLANTES SUSAN CAROL</t>
  </si>
  <si>
    <t>AV DGO MANDAMIENTO 1068 SEGUNDO PISO</t>
  </si>
  <si>
    <t>WATHSSAPP</t>
  </si>
  <si>
    <t>VERAMENDE CAMPOS SHIRLEY</t>
  </si>
  <si>
    <t>28 D EJULIO 1442</t>
  </si>
  <si>
    <t>21/04/2026 WATHSSAPP</t>
  </si>
  <si>
    <t>CHINCHAY VASQUEZ BLANCA</t>
  </si>
  <si>
    <t>SECTOR LOS AMNGALES SIN NUMERO</t>
  </si>
  <si>
    <t>GUTIERREZ ROSALES GRETTEL</t>
  </si>
  <si>
    <t>UB SAN PEDRO F-10</t>
  </si>
  <si>
    <t>MAMAS EXTREMADAMENTE DENSAS, SE SUGIERE COMPLEMENTAR CON ECOGRAFÍA POR DENSIDAD MAMARIA</t>
  </si>
  <si>
    <t xml:space="preserve">SOLORZANO AZAÑERO ELEUTERIA MARIA </t>
  </si>
  <si>
    <t xml:space="preserve">COLCAPAMPA </t>
  </si>
  <si>
    <t xml:space="preserve">OBST  JENIFER </t>
  </si>
  <si>
    <t>PRO LAY DAMARIZ</t>
  </si>
  <si>
    <t>AV TAMBO BLANCO 2476 INT 104</t>
  </si>
  <si>
    <t>PADILLA GAMARRA MARIA MARGARITA</t>
  </si>
  <si>
    <t>SOL Y MAR MZ S LT1</t>
  </si>
  <si>
    <t>ARAMBULO GRADOS DE QUIROZ SORAYA JACQUELINE</t>
  </si>
  <si>
    <t>CALLE LAS FLORES 182</t>
  </si>
  <si>
    <t>OB. STEFANNY</t>
  </si>
  <si>
    <t>CARRION RAU DE CONDOR JACKELINE TERESA</t>
  </si>
  <si>
    <t>1RO DE MAYO MZ F LT 7</t>
  </si>
  <si>
    <t>Mamas con sectores dispersos de densidad fibroglandular (ACR tipo B)
Nodulo de margnes circunscritos no palpable en mama izquierda, requiere ampliar estudio con US
Categoría BIRADS 3</t>
  </si>
  <si>
    <t>VELOZ LOZANO LUCILA ANSELMA</t>
  </si>
  <si>
    <t>CALLA CANTA LT1B- 14AEAPA AMNZANRES</t>
  </si>
  <si>
    <t>Mamas con sectores dispersos de densidad fibroglandular (ACR tipo B)
Calcifcacines vasculares en ambas mamas, tipicamente benignas
Categoría BIRADS 2</t>
  </si>
  <si>
    <t>AYALA MENDOZA ALICIA</t>
  </si>
  <si>
    <t>BALCONCILLO</t>
  </si>
  <si>
    <t>OBST ELIZABETH ZAMORA</t>
  </si>
  <si>
    <t>VALLADARES LINO  ROXANA</t>
  </si>
  <si>
    <t>ASOC. VIRGENE DE LA PUERTA</t>
  </si>
  <si>
    <t>Mamas heterogéneamente densas. Patrón ACR - C.
Nodulos de margenes parcialmente oscurecidos en mama izquierda
Categoría BIRADS 0</t>
  </si>
  <si>
    <t>JUSTO LEON LIZ ESTELA</t>
  </si>
  <si>
    <t>JUAN BARRETO 230</t>
  </si>
  <si>
    <t>Mamas heterogéneamente densas. Patrón ACR - C.
Calcifcaciones redondeadas en ambas mamas , tipicamente benignas
BI-RADS 0</t>
  </si>
  <si>
    <t>TELLEZ ANGULO ESTHER ASTRID</t>
  </si>
  <si>
    <t>CALLE BELLAVISTA 289</t>
  </si>
  <si>
    <t xml:space="preserve">1.	AMBAS MAMAS SON HETEROGÉNEAMENTE DENSAS, QUE PODRÍAN OCULTAR NÓDULOS PEQUEÑOS. 
2.	NÓDULO OVALADO  EN CSE DE MAMA IZQUIERDA
3.	CATEGORIA BI-RADS: 0.
</t>
  </si>
  <si>
    <t>PX 17/04/2026 WASSAP</t>
  </si>
  <si>
    <t>LINO CARRION ROSA ELENA</t>
  </si>
  <si>
    <t>AV CENTENARIO PSJ LEON 103 -C</t>
  </si>
  <si>
    <t>Asimetria focal en CSE en mama izquierda
Mamas con sectores dispersos de densidad fibroglandular (ACR tipo B)
Categoría BIRADS 3</t>
  </si>
  <si>
    <t>TURPO VILLANUEVA LIZ OFELIA</t>
  </si>
  <si>
    <t>SAN JOSE 186 - EL CARMEN</t>
  </si>
  <si>
    <t>Mamas heterogéneamente densas
Calcificación aislada de aspecto benigno en cuadrante superior externa de mama izquierda</t>
  </si>
  <si>
    <t>OBST  BRENDA</t>
  </si>
  <si>
    <t>JARA ROJAS DE CHAGUA GUADALUPE</t>
  </si>
  <si>
    <t>PSJ OSCAR SALINAS 6 EL ESTADIO HUMAYA</t>
  </si>
  <si>
    <t>LEON RIMAC MODESTA PRIMITIVA</t>
  </si>
  <si>
    <t>AGUA DULCE S/N</t>
  </si>
  <si>
    <t>GUTIERREZ VILLACRUZ CARMELA</t>
  </si>
  <si>
    <t>CALLE 24 DE OCTUBRE MZ E -22 LA ESPERANZA</t>
  </si>
  <si>
    <t>GUTIERREZ VILLACREZ LITA</t>
  </si>
  <si>
    <t>ARMAS CAPILLO  MARIA TEODORA</t>
  </si>
  <si>
    <t>CALLE SANTOS DUMON S/N HUAMAYA</t>
  </si>
  <si>
    <t>925 963 929</t>
  </si>
  <si>
    <t xml:space="preserve">BELLO ARMAS JAQUELINE DEL PILAR </t>
  </si>
  <si>
    <t>Mamas heterogéneamente densas
Calcifiación de aspeto benigno en cuadrante superior interno de mama derecha</t>
  </si>
  <si>
    <t>JAVE ZAVALETA TERESA</t>
  </si>
  <si>
    <t>CALLE AUGUSTO B. LEGUIA 124 INT 1</t>
  </si>
  <si>
    <t>ALOR ZEGARRA LUCILA MILUSKA</t>
  </si>
  <si>
    <t>CRL.PORTILLO 271</t>
  </si>
  <si>
    <t>942 736 036</t>
  </si>
  <si>
    <t xml:space="preserve">LIBERATO DAMIAN DIGNA </t>
  </si>
  <si>
    <t>VILLA CARRION MZ.A LT.3</t>
  </si>
  <si>
    <t>ORTEGA ESPINOZA SONIA</t>
  </si>
  <si>
    <t>TUPAC AMARU  II ETAPA N-12</t>
  </si>
  <si>
    <t>OBST  YOSELIN RAMIREZ</t>
  </si>
  <si>
    <t xml:space="preserve">GUIMAREY CHAVEZ LIDIA </t>
  </si>
  <si>
    <t xml:space="preserve">CALLE VICTOR ANDRES BELAUNDE S/N </t>
  </si>
  <si>
    <t xml:space="preserve">MEDIANO ARANA ALBERTINA </t>
  </si>
  <si>
    <t>PAMPA LIBRE  CANDELARIA MZ T LOT 15</t>
  </si>
  <si>
    <t>PALACIOS MEJIA MARCELINA</t>
  </si>
  <si>
    <t>VILLA EL COLORADO MZ I LOT 14</t>
  </si>
  <si>
    <t>MAMOGRAFIA SIN SIGNOS DE AMLIGNIDAD</t>
  </si>
  <si>
    <t>TAMIZAJE MAMOGRAFICO DE RUTINA</t>
  </si>
  <si>
    <t>PACHECO LESCANO  CARMEN ROSA</t>
  </si>
  <si>
    <t>PROLONG AREQUIPA 144 INT 8</t>
  </si>
  <si>
    <t>PX 21/04/2026</t>
  </si>
  <si>
    <t>TORRES TOLENTINO SUNI</t>
  </si>
  <si>
    <t xml:space="preserve">LAS CASUARINAS </t>
  </si>
  <si>
    <t>951 290 433</t>
  </si>
  <si>
    <t>MAMAS DENSAS</t>
  </si>
  <si>
    <t>OBREGON ORTIZ INES ELVIRTA</t>
  </si>
  <si>
    <t>VILLA CARRION DE VELASCO A3 - 10</t>
  </si>
  <si>
    <t xml:space="preserve">Mamas heterogéneamente densas
Impresiona imagen nodular a nivel de plano medio de cuadrante superior externo de mama derecha
</t>
  </si>
  <si>
    <t>RUPAY  NORABUENA AZUCENA LUCINDA</t>
  </si>
  <si>
    <t>IRRIGACION STA ROSA CASA BLANCA MZ 3 LT 7</t>
  </si>
  <si>
    <t>OBST DANIVIA</t>
  </si>
  <si>
    <t>AVILES SEBASTIAN  GLORIA</t>
  </si>
  <si>
    <t>9 DE OCTUBRE MZ 7 LT 1</t>
  </si>
  <si>
    <t>Mamografía bilateral sin signos que sugieran malignidad
Impresiona tejido fibroglandular accesoria en región axilar derecha</t>
  </si>
  <si>
    <t>USCATA DE JUAREZ ALEJANDRINA</t>
  </si>
  <si>
    <t>EX HACIENDA SAN JOSE</t>
  </si>
  <si>
    <t>15/04/2026 WATHSSAPP</t>
  </si>
  <si>
    <t>ACEDO VELASQUEZ MARIA</t>
  </si>
  <si>
    <t>ANDAHUASI SECTOR 4 I-10</t>
  </si>
  <si>
    <t>OBST ENEIDA BARBOZA</t>
  </si>
  <si>
    <t>OSTOS VILLARREAL ROCIO DEL PILAR</t>
  </si>
  <si>
    <t>PSJ ANCASH SIN NUMERO SOCABAYA</t>
  </si>
  <si>
    <t>LAURIAMA</t>
  </si>
  <si>
    <t>ANGELES CATIRE GUADALUPE</t>
  </si>
  <si>
    <t>LA MINCA MZ D LT 1</t>
  </si>
  <si>
    <t>SUPE</t>
  </si>
  <si>
    <t>HOSP DE SUPE</t>
  </si>
  <si>
    <t>Mamas heterogéneamente densas
Impresiona formaciones ovaladas radiodensas dispersas en ambas mamas, la mayor de 45mm de diámetro a
nivel de plano medio de cuadrante superior externo de mama izquierda.</t>
  </si>
  <si>
    <t>CHAVESTA GUERRERO  DE VALDIVIA LUCINDA</t>
  </si>
  <si>
    <t>ALFONSO UGARTE 249</t>
  </si>
  <si>
    <t>Mamografía bilateral sin signos que sugieran malignidad
Calcificación aislada de aspecto benigno en cuadrante superior externo de mama izquierda</t>
  </si>
  <si>
    <t>INFANTES PALACIOS ODELI CAROLINA</t>
  </si>
  <si>
    <t>PSJ 3 INT 8 LAURIAMA</t>
  </si>
  <si>
    <t>ROSALES CRISTOBAL CLEDI ARACELI</t>
  </si>
  <si>
    <t>CALLE FRANCISCO VIDAL SEGUNDA CUADRA</t>
  </si>
  <si>
    <t>GONZALES CABANILLAS MERY</t>
  </si>
  <si>
    <t xml:space="preserve">URB EL OLIVAR MZ F24 </t>
  </si>
  <si>
    <t>MORY PANTOJA GABINA ALICIA</t>
  </si>
  <si>
    <t>C. P. SANTA ROSA CERCA AL MERCADO</t>
  </si>
  <si>
    <t>Mamas heterogéneamente densas. Patrón ACR - C.
Asimetría focal en CSE de mama derecha
Categoría BIRADS 0</t>
  </si>
  <si>
    <t>RIOS VERDE NERIDA</t>
  </si>
  <si>
    <t>AV. SAN FRANCISCO 540</t>
  </si>
  <si>
    <t>Mamas heterogéneamente densas. Patrón ACR - C.
Patrón tubular y micronodular en mamas que podría corresponder a proceso fibroquístico por lo que se
recomienda ampliar con ecografia
Categoría BIRADS 0</t>
  </si>
  <si>
    <t>VASQUEZ HONORES GRACUELA</t>
  </si>
  <si>
    <t>EX FUNDO LAS SALINAS S/N</t>
  </si>
  <si>
    <t>Mamas con sectores dispersos de densidad fibroglandular (ACR tipo B)
Asimetria focal en CSE en mama derecha , requiere ampliar coin ecografia
Calcificaciones típicamente benignas en ambas mamas
Categoría BIRADS 3.</t>
  </si>
  <si>
    <t>15/04/2026 OBST KIARA DEL COCA</t>
  </si>
  <si>
    <t>FRANCISCO APONTE RAQUEL NORA</t>
  </si>
  <si>
    <t>JOPTO GUAYABAL S/N</t>
  </si>
  <si>
    <t>WATHSAPP</t>
  </si>
  <si>
    <t>GONZALES DURAND JUDITH</t>
  </si>
  <si>
    <t>URB AUXILIOS MUTUO CALLE PUMACAHUA MZ F LOT 15</t>
  </si>
  <si>
    <t>CASTILLO LOPEZ SONIA CONSUELO</t>
  </si>
  <si>
    <t>VICTORIA BAJA JR. TRUJILLO</t>
  </si>
  <si>
    <t>GONZALES ORTIZ ROSA MARINA</t>
  </si>
  <si>
    <t>AV BLAS DE LA CARRERA MZ B LOT  2</t>
  </si>
  <si>
    <t>NIETO SOTO DE TREJO ESTHER AMELIA</t>
  </si>
  <si>
    <t xml:space="preserve">CALLE LA MARINA 160 EL CARMEN </t>
  </si>
  <si>
    <t>989 951 980</t>
  </si>
  <si>
    <t>MAZA INOCENTE YESICA NATALIA</t>
  </si>
  <si>
    <t>PSJ SANTA ANA LOT  10 EL CARMEN</t>
  </si>
  <si>
    <t>HUAMAN CHAUPE ELVIRA</t>
  </si>
  <si>
    <t>EL PARAISO  MZ 7 LOT 123</t>
  </si>
  <si>
    <t>MONTESINOS MARCOS MILAGROS DEL ROSARIO</t>
  </si>
  <si>
    <t>CALLE EUCALIPTO NRO.5</t>
  </si>
  <si>
    <t>903 344 329</t>
  </si>
  <si>
    <t>CRUZ GASPAR ELVIRA BALBINA</t>
  </si>
  <si>
    <t>CALLE TUPAC AMARU  MZ I LOT 10 UB EL MILAGRO  II</t>
  </si>
  <si>
    <t>931 990 818</t>
  </si>
  <si>
    <t>NEGRILLO GUZMAN BERENICE</t>
  </si>
  <si>
    <t xml:space="preserve">CIRO  ALEGRIA 356 </t>
  </si>
  <si>
    <t>Mamas heterogéneamente densas
Calcificaciones de aspecto benigno dispersas en mama izquierda</t>
  </si>
  <si>
    <t>POMIANO HUAMAN DE CORDOVA MARIELA HAYDEE</t>
  </si>
  <si>
    <t>LA VICOTRIA A-6 II ETAPA MANZANARES</t>
  </si>
  <si>
    <t>FLORES SILVA MARIA CRISTINA</t>
  </si>
  <si>
    <t>HACIENDA CALDERA S/N HUMAYA</t>
  </si>
  <si>
    <t>IPANAQUE MARCELO  YOLOBRIGIDA</t>
  </si>
  <si>
    <t>CALLE JUAN VELASCO ALVARADO MZ.A LT.9 HUMAYA</t>
  </si>
  <si>
    <t>SOLANO VERA ROSA</t>
  </si>
  <si>
    <t>LO S JAZMINES E17 SAN BARTOLOME I ETAPA</t>
  </si>
  <si>
    <t>REYES MIGO GERALDINE</t>
  </si>
  <si>
    <t xml:space="preserve">AV SAN MARTIN 27 - HUMAYA </t>
  </si>
  <si>
    <t>VERGARA PARIAMACHE MAGDA</t>
  </si>
  <si>
    <t>JR CHICLAYO S/N CP HUMAYA</t>
  </si>
  <si>
    <t>AMACIFUEN SANCHEZ ZARITA</t>
  </si>
  <si>
    <t>CHANCAY 426</t>
  </si>
  <si>
    <t>CAQUI COLONIA MARIA FLOR</t>
  </si>
  <si>
    <t>IRRIGACIONS ANTA ROSA LOS MEDANOS MZ A LOT 2</t>
  </si>
  <si>
    <t>HUARCAYA GONZALES NANY YOVANNA</t>
  </si>
  <si>
    <t>AV LIBERTAD 1625</t>
  </si>
  <si>
    <t>994 780 431</t>
  </si>
  <si>
    <t>MELENDEZ RAMOS JENNY</t>
  </si>
  <si>
    <t>CALLE BUENOS AIRES 287</t>
  </si>
  <si>
    <t>GONZALES CHUNG SELENE VICTORIA</t>
  </si>
  <si>
    <t>CALLE SUCRE 325</t>
  </si>
  <si>
    <t>933 089 929</t>
  </si>
  <si>
    <t>OPACIDAD NODULAR EN MAMA DERECHA, SE SUGIERE ESTUDIO ECOGRAFICO PARA MEJOR CARACTERIZACION.
RESTO DE LA MAMOGRAFÍA BILATERAL DENTRO DE LÍMITES NORMALES.
BI-RADS: 3</t>
  </si>
  <si>
    <t>RIMAC NAVARRO CARMEN CONSUELO</t>
  </si>
  <si>
    <t xml:space="preserve">CALLE 3 MARIAS </t>
  </si>
  <si>
    <t>GOITIA CARMEN LUISA</t>
  </si>
  <si>
    <t>MATEO PUMACAHUA</t>
  </si>
  <si>
    <t xml:space="preserve">1.	NÓDULO OVALADO EN CSE de mama IZQUIERDA.
2.	ASIMETRÍA GLOBAL EN CSE DE MAMA DERECHA. 
3.	AMBAS MAMAS SON HETEROGÉNEAMENTE DENSAS, QUE PODRÍAN OCULTAR NÓDULOS PEQUEÑOS; AMERITA EVALUAR CON ECOGRAFIA.
4.	CATEGORIA BI-RADS: 0.
</t>
  </si>
  <si>
    <t>21/04/20206</t>
  </si>
  <si>
    <t xml:space="preserve">SANTOS NONATO LUZ </t>
  </si>
  <si>
    <t>SEPERAK SAMANAMUD LIDIA DEL ROSARIO</t>
  </si>
  <si>
    <t>LEONCIO PADRP 860</t>
  </si>
  <si>
    <t xml:space="preserve">CHUPICA LLONTOP ANGELICA </t>
  </si>
  <si>
    <t>CALLE BOLOGNESI 243</t>
  </si>
  <si>
    <t>VALLADARES FERNANDEZ BEATRIZ</t>
  </si>
  <si>
    <t>AA HH 3 PUENTES</t>
  </si>
  <si>
    <t>HUAMAN MANDAMIENTO CARMEN MARIELA</t>
  </si>
  <si>
    <t>DGO MANDAMIENTO 299 INT M</t>
  </si>
  <si>
    <t>ROSELLO GARCIA VANESA YOHANA</t>
  </si>
  <si>
    <t>RANCHERIA BAJA N24 HUANDO</t>
  </si>
  <si>
    <t>O9596133</t>
  </si>
  <si>
    <t>PIZARRO BARTRA MARIAM KARINA</t>
  </si>
  <si>
    <t xml:space="preserve">RANCHERIA BAJA N 79 HUANDO </t>
  </si>
  <si>
    <t>CABRERA POQUIOMA BLANCA TOMASA</t>
  </si>
  <si>
    <t xml:space="preserve">VILLA PARAISO </t>
  </si>
  <si>
    <t>CALCIFICACIONES DE ASPECTO BENIGNO EN MAMA IZQUIERDA.
RESTO DE LA MAMOGRAFÍA BILATERAL DENTRO DE LÍMITES NORMALES.</t>
  </si>
  <si>
    <t>MORE MESTANZA DE MARZAL DELIA</t>
  </si>
  <si>
    <t>AV AREQUIPA 156</t>
  </si>
  <si>
    <t>LEIVA VERAMENDI ANA MARINA</t>
  </si>
  <si>
    <t>URB SANTA ISLA MZ E LT245</t>
  </si>
  <si>
    <t>VICTORIO MATIAS VELYN ROXANA</t>
  </si>
  <si>
    <t>LA MARINA 211- EL CARMEN</t>
  </si>
  <si>
    <t>DILAS PALACIOS MARIA BERNADITA</t>
  </si>
  <si>
    <t>NUEVA GENERACION A-4</t>
  </si>
  <si>
    <t xml:space="preserve">VASQUEZ OBREGON MARIBEL </t>
  </si>
  <si>
    <t>UNION OBRERO MZ B -11</t>
  </si>
  <si>
    <t>DIAZ CABREL EDDA ELODIA</t>
  </si>
  <si>
    <t>AV PERU 1118</t>
  </si>
  <si>
    <t>FLORES RIMAC ROSAURA VICTORIA</t>
  </si>
  <si>
    <t xml:space="preserve">RIVERA DEL RIO  I ETAPA 21 DE ENERO MZ A  LOT 4 </t>
  </si>
  <si>
    <t>993 176 906</t>
  </si>
  <si>
    <t>MARTINEZ JIMENEZ PILAR ELVIRA</t>
  </si>
  <si>
    <t xml:space="preserve">CORONEL PORTILLO MZ D LOT 4 </t>
  </si>
  <si>
    <t>OBST  BRENDA WATHSSAPP</t>
  </si>
  <si>
    <t>VEGA FLORES LILIANA EMPERATRIZ</t>
  </si>
  <si>
    <t>AV.LOS SAUCES 295</t>
  </si>
  <si>
    <t>CLAROS RIVERA GIULIANA</t>
  </si>
  <si>
    <t>CP  MAQUINA CHICA</t>
  </si>
  <si>
    <t>OBT NOEMI WATHSSAPP</t>
  </si>
  <si>
    <t>VALVERDE MEZA SUSANA MARCIANA</t>
  </si>
  <si>
    <t>PS LOS CLAVELES I LOTE 02 SAN BARTOLOME II ETAPA</t>
  </si>
  <si>
    <t>TASAYCO  ZAVALA DE RIVERA NORMA</t>
  </si>
  <si>
    <t xml:space="preserve">PSJ MORALES 156 </t>
  </si>
  <si>
    <t>ROMERO GONZALES ALBITA ALBINA</t>
  </si>
  <si>
    <t>CELLE RUFINO PIASO  269 EL MILAGRO</t>
  </si>
  <si>
    <t>CHARRY BRONCANO MARITZA VILMA</t>
  </si>
  <si>
    <t>ASENT. H. TUPAC AMARU M-8</t>
  </si>
  <si>
    <t>O0087582</t>
  </si>
  <si>
    <t>CERRON RAMOS MARLI ELUCENA</t>
  </si>
  <si>
    <t>PSJ. LOS ANGELES 104</t>
  </si>
  <si>
    <t>OBISPO  GRANADOS  ESTELA GLORIA</t>
  </si>
  <si>
    <t>AA HH VILA SOL MZ C LOT 8</t>
  </si>
  <si>
    <t>OPACIDAD NODULAR EN MAMA DERECHA, SUGERENTE DE PROBABLE FIBROADENOMA.
RESTO DE LA MAMOGRAFÍA BILATERAL DENTRO DE LÍMITES NORMALES.
BI-RADS: 3</t>
  </si>
  <si>
    <t>CONTROL EN 6 MESES</t>
  </si>
  <si>
    <t>JIMENEZ LOPEZ JANET YANELI</t>
  </si>
  <si>
    <t>AV CAHUAS 508 INT  8</t>
  </si>
  <si>
    <t>VICTORIO GALLARDO, DAISY SARITA</t>
  </si>
  <si>
    <t>PROLOG LAS FLORES MZ B LOT 3</t>
  </si>
  <si>
    <t>994 950 706</t>
  </si>
  <si>
    <t>px 21/04/2026</t>
  </si>
  <si>
    <t>ROSALES -  ALEJA JULIA</t>
  </si>
  <si>
    <t>ASOC DE VV PEÑA DEL MAR  B-14</t>
  </si>
  <si>
    <t>986 927 158</t>
  </si>
  <si>
    <t>SALAS HERNANDEZ MARTHA</t>
  </si>
  <si>
    <t>CALLE SIMON BOLIVAR 313 INT.06</t>
  </si>
  <si>
    <t>GUZMAN TINO AVELINA</t>
  </si>
  <si>
    <t xml:space="preserve">MIRAFLORES MZ.S LT.05 - VELLA VISTA </t>
  </si>
  <si>
    <t>HALLAZGOS SUGERENTES DE ALTA SOSPECHA DE NM DE MAMA IZQUIERDA, ASOCIADO A ADENOPATIAS EN
REGION AXILAR IPSILAREAL
RESTO DE LAS MAMAS HETEROGÉNEAMENTE DENSAS, SE SUGIERE COMPLEMENTAR CON ECOGRAFÍA POR
DENSIDAD MAMARIA..
BI-RADS: 5</t>
  </si>
  <si>
    <t xml:space="preserve">BX + ESTUDIO ECOGRAFICO </t>
  </si>
  <si>
    <t>OBT CAROLINA TELLO</t>
  </si>
  <si>
    <t>CHERREPANO  VALLADARES DEYSI</t>
  </si>
  <si>
    <t>PEDRO P HERRERA 1110</t>
  </si>
  <si>
    <t xml:space="preserve">PASTRANA SAENZ ELIZABETH ANGELICA </t>
  </si>
  <si>
    <t xml:space="preserve">CALLE BOLOGNESI 2DA CIADRA S/N </t>
  </si>
  <si>
    <t>GUEVARA DIAZ SANTOS</t>
  </si>
  <si>
    <t>ACARAY LA PAMPA AFUERA</t>
  </si>
  <si>
    <t>TADEO MOGOLLON LUCI DELIA</t>
  </si>
  <si>
    <t>IRRIGACION SANTA ROSA</t>
  </si>
  <si>
    <t xml:space="preserve">COMPRESION +ECOGRAFIA DE MAMAS </t>
  </si>
  <si>
    <t>ASIMETRIA FOCAL  EN MAMA DERECHA</t>
  </si>
  <si>
    <t>O06858598</t>
  </si>
  <si>
    <t>OVALLES MORALES, MARITZA DEL CARMEN</t>
  </si>
  <si>
    <t>CALLE SAN PEDRO 0  LOTE 19 URBANIZACIÓN JESUS DEL VALLE</t>
  </si>
  <si>
    <t xml:space="preserve">CUYUBAMBA CASO YESSENIA SONIA </t>
  </si>
  <si>
    <t>JR AYACUCHO 375</t>
  </si>
  <si>
    <t>LESION SOLIDA DE MARGENES MICROLOBULADOS EN MAMA IZQUIERDA, HALLAZGOS SOSPECHOSOS DE NM DE
MAMA, NO ASOCIADO A ADENOPATIAS EN REGION AXILAR IPSILAREAL.
OPACIDADES NODULARES EN MAMA DERECHA, SE SUGIERE ESTUDIO ECOGRAFICO PARA MEJOR
CARACTERIZACION.
RESTO DE AMBAS MAMAS HETEROGÉNEAMENTE DENSAS, SE SUGIERE COMPLEMENTAR CON ECOGRAFÍA POR
DENSIDAD MAMARIA.
BI-RADS: 4B</t>
  </si>
  <si>
    <t>LOPEZ SOSA MARCELA EMPERATRIZ</t>
  </si>
  <si>
    <t>AA HH VILLMAR MZ K LOT 8</t>
  </si>
  <si>
    <t>LLAMOSAS DUEÑAS JENNY  DELIA</t>
  </si>
  <si>
    <t>VICTORIA BAJA CALLE PRIMAVERA MZ G LOT 3</t>
  </si>
  <si>
    <t>944 954 012</t>
  </si>
  <si>
    <t>CALCIFICACIOND E ASPECTO BENIGNO EN MAMA DERECHA.
RESTO DE LA MAMOGRAFÍA BILATERAL DENTRO DE LÍMITES NORMALES.
BI-RADS: 2</t>
  </si>
  <si>
    <t>JESUS FERRER JUANA</t>
  </si>
  <si>
    <t xml:space="preserve">SANTOS VALLEJO EVA FRANCISCA </t>
  </si>
  <si>
    <t>PAMPA SAN ALEJO</t>
  </si>
  <si>
    <t>P.S PAMPA SAN ALEJO</t>
  </si>
  <si>
    <t xml:space="preserve">1.	ASIMETRÍA FOCAL EN CSE DE MAMA IZQUIERDA QUE AMERITA EVALUAR POR ECOGRAFÍA. 
2.	AMBAS MAMAS SON HETEROGÉNEAMENTE DENSAS, QUE PODRÍAN OCULTAR NÓDULOS PEQUEÑOS.
3.	CATEGORIA BI-RADS: 0
</t>
  </si>
  <si>
    <t>SOLANO DIAZ AYLIN</t>
  </si>
  <si>
    <t>PAMPA DE LARA PJE BELEN</t>
  </si>
  <si>
    <t>CHAVEZ MALLQUI JULIA</t>
  </si>
  <si>
    <t>PJE LAURELES MZ 6 LT21</t>
  </si>
  <si>
    <t>CASTAÑEDA DELGADILLO MARIA PETRONILA</t>
  </si>
  <si>
    <t>CE. 006885846</t>
  </si>
  <si>
    <t>MUJICA PERNALETE NAYIBE ESMERALDA</t>
  </si>
  <si>
    <t>JR. CASTILLA</t>
  </si>
  <si>
    <t>RAMON GAVEDIA ERIKA</t>
  </si>
  <si>
    <t>PJE CALLAO Nº119 INT 7</t>
  </si>
  <si>
    <t>OPACIDAD NODULAR EN REGION AXILAR IZQUIERDA, SUGESTIVOS DE PROBABLES GANGLIOS, SE SUGIERE
ESTUDIO ECOGRAFICO PARA MEJOR CARACTERIZACION
RESTO DE LA MAMOGRAFÍA BILATERAL DENTRO DE LÍMITES NORMALES.
BI-RADS: 2</t>
  </si>
  <si>
    <t>VARILLA ROJAS MARIA NIEVES</t>
  </si>
  <si>
    <t>CALLE TUPAC AMARU 109</t>
  </si>
  <si>
    <t>HILARIO FLORES ELOISA</t>
  </si>
  <si>
    <t>PJE SANTA ROSA 172</t>
  </si>
  <si>
    <t>981 172 232</t>
  </si>
  <si>
    <t>RIOS LOPEZ VICTORIA CLAUDIA</t>
  </si>
  <si>
    <t>LOS JASMINES S/N</t>
  </si>
  <si>
    <t>GOMERO DELGADO MARIZA</t>
  </si>
  <si>
    <t>PROLONGACION MANCO CAPAC MZ 2 LT6</t>
  </si>
  <si>
    <t>MEDRANO FLORES JULIA</t>
  </si>
  <si>
    <t>CIRCUNVALACIÒN A-8</t>
  </si>
  <si>
    <t>ASIMETRÍA FOCAL EN MAMA DERECHA/IZQUIERDA. SE SUGIERE ECOGRAFÍA.
RESTO DE LA MAMOGRAFÍA BILATERAL DENTRO DE LÍMITES NORMALES.
BI-RADS: 3</t>
  </si>
  <si>
    <t>SILVA TERRY MARLING</t>
  </si>
  <si>
    <t>CALLE DERECHA 831</t>
  </si>
  <si>
    <t>QUIÑONEZ ONCOY RICARDINA</t>
  </si>
  <si>
    <t>CALLE SOCABAYA PJE GIRIO</t>
  </si>
  <si>
    <t>CASTILLO OYOLA DANNA</t>
  </si>
  <si>
    <t>JORGE CHAVEZ 120</t>
  </si>
  <si>
    <t>PANTOJA YANAC EUDOMILIA LUZ</t>
  </si>
  <si>
    <t>LOS SAUCES 204</t>
  </si>
  <si>
    <t>MENESES MEDINA KELLY</t>
  </si>
  <si>
    <t>AV LOS JARDINES</t>
  </si>
  <si>
    <t>CERVANTES MORE ERIKA</t>
  </si>
  <si>
    <t xml:space="preserve">SAN MARTIN </t>
  </si>
  <si>
    <t>GAVINO BARRERA MARILYN</t>
  </si>
  <si>
    <t>PSJ LA SAGRADA FAMILIA K-1 LA ESPERANZA</t>
  </si>
  <si>
    <t>OBST  STEFANY  CAVERO</t>
  </si>
  <si>
    <t>LAVADO  RAMIREZ MARIA DLE PILAR</t>
  </si>
  <si>
    <t>COMITE 16 LOT 12 PERALVILLO</t>
  </si>
  <si>
    <t>974 643 446</t>
  </si>
  <si>
    <t>OPACIDADES NODULARES EN MAMA DERECHA0, DE PROBABLE ASPECTO BENIGNO, SE SUGIERE ESTUDIO
ECOGRAFICO PARA MEJOR CARACTERIZACION
RESTO DE LA MAMOGRAFÍA BILATERAL DENTRO DE LÍMITES NORMALES.
BI-RADS: 0</t>
  </si>
  <si>
    <t>OBST KIARA LAVADO</t>
  </si>
  <si>
    <t>LEON LOPEZ NORMA</t>
  </si>
  <si>
    <t xml:space="preserve">JOSE OLAYA MZ D LOT 13 </t>
  </si>
  <si>
    <t>927 923 580</t>
  </si>
  <si>
    <t>MICROCALCIFICACIONES AGRUPADAS EN REGION RETROAREOLAR DE MAMA DERECHA QUE SUGIERE CONTRO
POSTERIOR.
CALCIFICACIONES DE ASPECTO BENIGNO EN AMBAS MAMAS.
RESTO DE LA MAMOGRAFÍA BILATERAL DENTRO DE LÍMITES NORMALES.
BI-RADS: 3</t>
  </si>
  <si>
    <t>O5271163</t>
  </si>
  <si>
    <t xml:space="preserve">MARREROS VALLES DE SALAS INES </t>
  </si>
  <si>
    <t>LA HUAQUILLA 560 INT  12</t>
  </si>
  <si>
    <t>999 322 631</t>
  </si>
  <si>
    <t>WONG BORJA CARMEN ROSA</t>
  </si>
  <si>
    <t>PSJ. IRENE COLAN 157</t>
  </si>
  <si>
    <t>980 614 706</t>
  </si>
  <si>
    <t>AVILA SANCHEZ NORMA CLEOFE</t>
  </si>
  <si>
    <t>IRRIGACION SNATA ROSA LOT 14 BARRIO  CHINO  LA MERCED</t>
  </si>
  <si>
    <t>CALCIFICACIONES DE ASPECTO BENIGNO EN MAMA DERECHA
RESTO DE LA MAMOGRAFÍA BILATERAL DENTRO DE LÍMITES NORMALES.
BI-RADS: 2</t>
  </si>
  <si>
    <t>PAREDES DAVILA VERONICA LUZ</t>
  </si>
  <si>
    <t>URB LEVER PACOCHA F-11</t>
  </si>
  <si>
    <t>DELGADILLO  HURTADO  MARTHA</t>
  </si>
  <si>
    <t>CP SACACHISPA MZ A LOT 11 HUANDO S/N</t>
  </si>
  <si>
    <t>ARROYO  BARRERA CYNTHIA MARIELA</t>
  </si>
  <si>
    <t>CALLE LA HUAQUILLA 571</t>
  </si>
  <si>
    <t>YEPEZ QUISPE JANNET MARCIA</t>
  </si>
  <si>
    <t>NUEVO HUARAL MZ A LOT 5</t>
  </si>
  <si>
    <t>994 419 241</t>
  </si>
  <si>
    <t xml:space="preserve">P.S. CONTIGO PERU </t>
  </si>
  <si>
    <t>174/04/2026</t>
  </si>
  <si>
    <t>Mamas heterogéneamente densas ACR Tipo C
Calcificaciones heterogéneas y agrupadas en mamas , requiere ampliar estudio
Categoría BIRADS 0</t>
  </si>
  <si>
    <t xml:space="preserve">MAGNIFICACION  EN MAMA IZQUERDA + ECOGRAFIA </t>
  </si>
  <si>
    <t xml:space="preserve"> 21/04/2026 OBST WATHSSAPP</t>
  </si>
  <si>
    <t>DE LA CRUZ VASQUEZ ANITA</t>
  </si>
  <si>
    <t>PERALVILLO BAJO CALLE SAENZ PEÑA 121 COMITE 13</t>
  </si>
  <si>
    <t>Mamas heterogéneamente densas. Patrón ACR - C.
Nódulos no palpables en ambas mamas probablemente en relacion a proceso fibrfoquistico
Categoría BIRADS 0</t>
  </si>
  <si>
    <t>21/04/2026 OBST WATHSSAPP</t>
  </si>
  <si>
    <t>VARGAS CERNA  BENITA</t>
  </si>
  <si>
    <t>FUNDO  EL  GUAYABAL S/N</t>
  </si>
  <si>
    <t>ERAZO  ESTRADA YANET MARGARITA</t>
  </si>
  <si>
    <t>URB. BUENOS AIRES MZ.F LT.90</t>
  </si>
  <si>
    <t>996 064 639</t>
  </si>
  <si>
    <t xml:space="preserve">LA MAMOGRAFÍA BILATERAL DENTRO DE LÍMITES NORMALES.
BI-RADS: 1
</t>
  </si>
  <si>
    <t xml:space="preserve">GONZALES FLORES EMILY YISSET </t>
  </si>
  <si>
    <t xml:space="preserve">PSJE LEONCIO PRADO S/N </t>
  </si>
  <si>
    <t>LOPEZ ZUÑIGA EDELMIRA FAUSTINA</t>
  </si>
  <si>
    <t>AAHH SEÑOR DE LOS MILAGROS MZQLT3</t>
  </si>
  <si>
    <t xml:space="preserve">DIAZ CHILCA AURORA ROXANA </t>
  </si>
  <si>
    <t>CALLE MAYOR RUIZ 170</t>
  </si>
  <si>
    <t>Mamas con sectores dispersos de densidad fibroglandular (ACR tipo B)
Asimetria en mama izquierda
Calcificaciones típicamente benignas en ambas mamas
Categoría BIRADS 3</t>
  </si>
  <si>
    <t>OYOLA MAURICIO MILAGROS</t>
  </si>
  <si>
    <t>PSJE FATIMA S/N</t>
  </si>
  <si>
    <t>Mamas con sectores dispersos de densidad fibroglandular (ACR tipo B)
Linfonodos anormales edn region axilar , requiere ampliar estudio con ecografia para mejor cartaericacion
Categoría BIRADS 0</t>
  </si>
  <si>
    <t>BARRENECHEA MUÑOZ EVELIN LORENA</t>
  </si>
  <si>
    <t>CALLE NUEVO MILENIO MZA LT2</t>
  </si>
  <si>
    <t>Mamas heterogéneamente densas. Patrón ACR - C.
Calcifcaciones grueasas hetrogeneas en mamas , requiere ampliar estudio
Categoría BIRADS 0</t>
  </si>
  <si>
    <t xml:space="preserve">MAGNIFICACION  EN MAMAS + ECOGRAFIA </t>
  </si>
  <si>
    <t>PIMENTEL CASTILLO MARIA LUZ</t>
  </si>
  <si>
    <t>PJE MANDAMIENTO 120-J</t>
  </si>
  <si>
    <t>975 639 418</t>
  </si>
  <si>
    <t>Mamas con sectores dispersos de densidad fibroglandular (ACR tipo B)
Calcificaciones en ambas mamas, típicamente benignas
Categoría BIRADS 2.</t>
  </si>
  <si>
    <t>VALENTIN CHUMBES CINTYA</t>
  </si>
  <si>
    <t>30 DE AGOSTO B-2</t>
  </si>
  <si>
    <t>965 450 197</t>
  </si>
  <si>
    <t>AYALA SULCA MARIA ASUNCION</t>
  </si>
  <si>
    <t>URB LANCHOQUIN O-12</t>
  </si>
  <si>
    <t>Mamas heterogéneamente densas. Patrón ACR - C.
Nodulo de baja densidad margenes indistintos en CSE de mama derecha
Categoría BIRADS 0</t>
  </si>
  <si>
    <t>29/04/2026 GRUPO WHATSAPP</t>
  </si>
  <si>
    <t>HUERTA AGUIRRE AYDE</t>
  </si>
  <si>
    <t>JR TACNA 120</t>
  </si>
  <si>
    <t>982 185 657</t>
  </si>
  <si>
    <t>Mamas heterogéneamente densas. Patrón ACR - C.
Calcifcacion tipicamente benigna en mama izquierda
Categoría BIRADS 0</t>
  </si>
  <si>
    <t>CHIMOY CARRERA CARMEN</t>
  </si>
  <si>
    <t>PJE ALCIBIADES PACHECO S/N</t>
  </si>
  <si>
    <t>ZUÑIGA CUTIMBO BEATRIZ</t>
  </si>
  <si>
    <t>IRENE SALVADOR 435</t>
  </si>
  <si>
    <t>Mamas heterogéneamente densas. Patrón ACR - C.
Nodulo de margenes indistintos en CSE de mama derecha
Categoría BIRADS 0</t>
  </si>
  <si>
    <t>TEZEN OBREGON ANA MARIA</t>
  </si>
  <si>
    <t>JESUS DEL VALLE</t>
  </si>
  <si>
    <t>CALIXTRO ALEJO ELVIRA LILIANA</t>
  </si>
  <si>
    <t>VILLAMARCA 15 LOT 6 AGUA DULCE</t>
  </si>
  <si>
    <t>Mamas heterogéneamente densas. Patrón ACR - C.
Calcifcacion tipicamente benigna en mama derecha
Categoría BIRADS 2</t>
  </si>
  <si>
    <t>OB GRECIA  WHASTAPP</t>
  </si>
  <si>
    <t>TORIBIO  SACRAMENTO SABOYA  FELICIA</t>
  </si>
  <si>
    <t>Mamas heterogéneamente densas , sin evidencia de signos sospechosos de malignidad
Categoría BIRADS 1</t>
  </si>
  <si>
    <t>OB JENNIFER WAPP</t>
  </si>
  <si>
    <t>ROSARIO DE CERDA GLORIA</t>
  </si>
  <si>
    <t>CP QUEPEPAMPA - PUENTE KM 3</t>
  </si>
  <si>
    <t>994 478 720</t>
  </si>
  <si>
    <t>Mamas heterogéneamente densas. Patrón ACR - C.
Gruesas calcificaciones agrupadas en mama izquierda , tipicamente benignas
Categoría BIRADS 0</t>
  </si>
  <si>
    <t>CABRERA DIAZ ROSARIO ISABEL</t>
  </si>
  <si>
    <t>CALLE JOSE BAQUIJANO  Y CARRILLO  113</t>
  </si>
  <si>
    <t>Mamas heterogéneamente densas. Patrón ACR - C.
Linfonodos anormales , recomienda ampliar estudio
Categoría BIRADS 0</t>
  </si>
  <si>
    <t>PICHILINGUE PONCIANO BLANCA ALEJANDRINA</t>
  </si>
  <si>
    <t>AV EL MILAGRO  I ERA CDRA 404</t>
  </si>
  <si>
    <t>Mamas heterogéneamente densas. Patrón ACR - C.
Calcifcaciones tipicamente benignas en mamas
Categoría BIRADS 2</t>
  </si>
  <si>
    <t>VALVERDE MARCELO  SONIA  ROSARIO</t>
  </si>
  <si>
    <t>UB LA HUAQUILLA MZ J LOT 7</t>
  </si>
  <si>
    <t>GRILLO UGAZ ELSA LUZ</t>
  </si>
  <si>
    <t>CALLE ASENCION 184</t>
  </si>
  <si>
    <t>Mama izquierda heterogéneamente densa</t>
  </si>
  <si>
    <t>PX 28/04/2026</t>
  </si>
  <si>
    <t>VILLANUEVA FAT KEREM CORAL</t>
  </si>
  <si>
    <t>PROLOG MOORE 120</t>
  </si>
  <si>
    <t>HUACHPO</t>
  </si>
  <si>
    <t>PX 29/04/2026</t>
  </si>
  <si>
    <t>PARDO CESPEDES CARLA IVON</t>
  </si>
  <si>
    <t>URB LEVER PACOCHA MZ J LOT 4</t>
  </si>
  <si>
    <t>PX 30/04/2026</t>
  </si>
  <si>
    <t>HUAMAN TAFUR CECILIA ISABEL</t>
  </si>
  <si>
    <t>CALLE SIMON BOLIVAR 164</t>
  </si>
  <si>
    <t>Mamas con sectores dispersos de densidad fibroglandular (ACR tipo B). sin evidencia de signos sospechosos de
malignidad
Categoría BIRADS 1</t>
  </si>
  <si>
    <t>OB ELIZABETH ZAMORA WAPP</t>
  </si>
  <si>
    <t>LAGUA PERE JUDITH MARIELA</t>
  </si>
  <si>
    <t>VIÑA DELMAR MZ F LOT 2</t>
  </si>
  <si>
    <t>957 038 528</t>
  </si>
  <si>
    <t>Mamas heterogéneamente densas. Patrón ACR - C., sin evidencia de signos sospechosos de malignidad
Categoría BIRADS 1</t>
  </si>
  <si>
    <t>GRUPO DE MICROCALCIFICACIONES REDONDAS EN EL CUADRANTE INFERO-EXTERNO DE LA MAMA IZQUIERDA.</t>
  </si>
  <si>
    <t>VELASQUEZ COSME BEATRIZ</t>
  </si>
  <si>
    <t xml:space="preserve">PASJ LOS OLIVOS 334 </t>
  </si>
  <si>
    <t>VEGA LUCAS SANTA CATALINA</t>
  </si>
  <si>
    <t>LOS JARDINES DE SAN MATEO  C-9</t>
  </si>
  <si>
    <t>BCA</t>
  </si>
  <si>
    <t>996 219 835</t>
  </si>
  <si>
    <t>29/04/2026 WHATSAPP</t>
  </si>
  <si>
    <t>LOBATON REQUENA ADELGINA</t>
  </si>
  <si>
    <t>PAMPA DE LARA 470</t>
  </si>
  <si>
    <t>Mamografía bilateral sin signos que sugieran malignidad
Impresiona imagen nodular de aspecto benigno a nivel de plano posterior de cuadrante superior externo de
mama derecha</t>
  </si>
  <si>
    <t>LUJAN NAVARRO SANDRA</t>
  </si>
  <si>
    <t xml:space="preserve">CALLE RICARDO PALMA 130 </t>
  </si>
  <si>
    <t>MILANO  - MAIRELY  ALEJANDRA</t>
  </si>
  <si>
    <t>AV ECHENIQUE  446 FRENTE AL COELGI  ELITE SCOOLL</t>
  </si>
  <si>
    <t>Mamas heterogéneamente densas
Calcificación aislada de aspecto benigno en unión de cuadrante superiores de mama derecha</t>
  </si>
  <si>
    <t>CRISOL REYES LUISA LOURDES</t>
  </si>
  <si>
    <t xml:space="preserve">PSJ  JFSC  190 CRUZ DE CANO  </t>
  </si>
  <si>
    <t>Mamas heterogéneamente densas
Impresiona asimetría focal a nivel de plano posterior de cuadrante superior externo de mama derecha asociado a
probable interposición de tejido fibroglandular</t>
  </si>
  <si>
    <t>29/04/2026 OBST  STEFANY  CAVERO</t>
  </si>
  <si>
    <t>MENDOZA CHAMORRO FLOR D EMARGARITA</t>
  </si>
  <si>
    <t>BARRIO  UNION OBRERO  MZ A LO T 1 AV CIRCUNVALACION SOL</t>
  </si>
  <si>
    <t>GIRIO MENDEZ TANIA</t>
  </si>
  <si>
    <t>PASAJE UNION EL PALMO MZ D LT 6</t>
  </si>
  <si>
    <t>CADILLO CADILLO FLOR</t>
  </si>
  <si>
    <t>PAMPA DE LARA 139</t>
  </si>
  <si>
    <t>Mamas heterogéneamente densas. Patrón ACR - C.
Asimetria de densidad en mama derecha
Categoría BIRADS 0</t>
  </si>
  <si>
    <t>CARQUIN PAREDES SONIA DEL PILAR</t>
  </si>
  <si>
    <t>CP SANTA ROSA II  ETAPA LOT 9</t>
  </si>
  <si>
    <t xml:space="preserve">CERNA SOTO ANA MARIA </t>
  </si>
  <si>
    <t>LOS ROSALES 226 CHAQUILA</t>
  </si>
  <si>
    <t>941 085 206</t>
  </si>
  <si>
    <t>ARIZA JAIMES MIIAM CLARIZA</t>
  </si>
  <si>
    <t>CALLE BELEN N ° 136 - PAMPA DE LARA</t>
  </si>
  <si>
    <t>SUAREZ SALINASM DE ARQUINIGO MERY ZAIDA</t>
  </si>
  <si>
    <t>PEDRO  SAYAN 457</t>
  </si>
  <si>
    <t>993 838 705</t>
  </si>
  <si>
    <t>BORJA DIAZ CARMEN VILMA</t>
  </si>
  <si>
    <t>PSJ SAN MARTIN 239</t>
  </si>
  <si>
    <t>HUAUCHO</t>
  </si>
  <si>
    <t>FERNANDEZ HUAMAN MARIA</t>
  </si>
  <si>
    <t>CALLE TRUJILLO MZ. A LT.2 MANZANARES I ETAPA</t>
  </si>
  <si>
    <t>VALENCIA MARTINEZ ANA ELIZABETH</t>
  </si>
  <si>
    <t>CALLE TACNA 206</t>
  </si>
  <si>
    <t>Mamas heterogéneamente densas
Impresiona imagen nodular a nivel de plano anterior de regi{on retroareolar de mama derecha
Impresiona imagen nodular a nivel de plano medio-posterior de cuadrante superior externo de mama izquierda</t>
  </si>
  <si>
    <t>SILVA TORRES EDITH NATIVIDAD</t>
  </si>
  <si>
    <t xml:space="preserve">AA EL CARMEN CALLE LOS  JARINES </t>
  </si>
  <si>
    <t>OB BRENDA ROMERO WAPP</t>
  </si>
  <si>
    <t>TARAZONA SILVA CLEMENVIA</t>
  </si>
  <si>
    <t>ASOC. DE POBLADORES ANTONIO RAYMONDI</t>
  </si>
  <si>
    <t>CORONADO  SOLORZANO  ROSA MARIA</t>
  </si>
  <si>
    <t xml:space="preserve">QUILCA S/N </t>
  </si>
  <si>
    <t>ALVARO ROJAS FLORINA LIDIA</t>
  </si>
  <si>
    <t>ASC PEDRO PORTILLO MZ C LO T 11</t>
  </si>
  <si>
    <t>Mamas heterogéneamente densas
Calcificaciones gruesas de aspecto benigno dispersas en ambas mamas</t>
  </si>
  <si>
    <t>MANRIQUE TRUJILLO  MERLY LIST</t>
  </si>
  <si>
    <t>AV LA MERCED MAZ T LOT 01 ATALAYA</t>
  </si>
  <si>
    <t>ROMERO JARA TARCILA MAYNITA</t>
  </si>
  <si>
    <t>SANTA ROSA CMTE. 5 LT. 19</t>
  </si>
  <si>
    <t>CORREA SALGADO  ROCIO DEL  PILAR</t>
  </si>
  <si>
    <t>ASOVICEN 18 DE OCTUBRE 172</t>
  </si>
  <si>
    <t>926 786 932</t>
  </si>
  <si>
    <t>Mamas heterogéneamente densas
Impresiona asimetría focal a nivel de plano medio-posterior de cuadrante superior externo de mama izquierda
asociado a probable interposición de tejido fibroglandular</t>
  </si>
  <si>
    <t>AREVALO  MEZA ERIKA DEL MILAGRO</t>
  </si>
  <si>
    <t>ASC VICTOR AUL MZ D LO T 1</t>
  </si>
  <si>
    <t>ROJAS UGALDE LUZ</t>
  </si>
  <si>
    <t>IRENE SALVADOR 451 BARR. TOMA Y CALLA</t>
  </si>
  <si>
    <t>982 741 132</t>
  </si>
  <si>
    <t>Mamas heterogéneamente densas
Impresiona imagen nodular de aspecto benigno a nivel de plano anterior de cuadrante superior externo de mama
izquierda</t>
  </si>
  <si>
    <t>SUSANIBAR GOMEZ MELISA DELIA</t>
  </si>
  <si>
    <t>JR VALDIVIA 164</t>
  </si>
  <si>
    <t>MARTINEZ PALMA ANA MARLENI</t>
  </si>
  <si>
    <t>JR ANCASH MZ E LT6 EL CARMEN</t>
  </si>
  <si>
    <t>MALCA TRUJILLO JUANA SANTOS</t>
  </si>
  <si>
    <t>JR. RAMON CASTILLA 286</t>
  </si>
  <si>
    <t>C.S. PUERTO SUPE</t>
  </si>
  <si>
    <t>Mamas heterogéneamente densas
Calcificación redondeada de aspecto benigno en mama derecha</t>
  </si>
  <si>
    <t>ESPINOZA MALCA EDITH ELIZABETH</t>
  </si>
  <si>
    <t>VIÑA DEL MAR MZ K LT 8</t>
  </si>
  <si>
    <t>Mamas heterogéneamente densas
Impresiona tres imágenes nodulares ovaladas radiodensas agrupadas asociados a calcificaciones superpuestas a
nivel de plano posterior de unión de cuadrantes externos de mama izquierda</t>
  </si>
  <si>
    <t>Mogollón  Salvador Milagros Isabel</t>
  </si>
  <si>
    <t>Asoc de Vivienda Andrés A. Cáceres, Calle Pucará Mz E Lt 3.</t>
  </si>
  <si>
    <t>DE LA CRUZ CRUZ CARLA</t>
  </si>
  <si>
    <t>CALLE TRUJILLO 143</t>
  </si>
  <si>
    <t>Mamas heterogéneamente densas
Impresiona leve distorsión del tejido fibroglandular a nivel del plano medio del cuadrante superior externo de
mama derecha asociado a probable cicatriz.</t>
  </si>
  <si>
    <t>RAMOS AGUIRRE DORA</t>
  </si>
  <si>
    <t>INGENIAO CALLE LAS PALMERAS MZ L LT 20</t>
  </si>
  <si>
    <t>Mamas heterogéneamente densas
Impresiona imagen nodular de aspecto benigno a nivel de plano medio de cuadrante superior externo de mama
derecha</t>
  </si>
  <si>
    <t>ENVIAR RESULTADOS WHATSAPP PCT</t>
  </si>
  <si>
    <t xml:space="preserve">PAREDES ROSAS GLORIA MARUJA </t>
  </si>
  <si>
    <t>CP CHACRA Y MAR LT 134</t>
  </si>
  <si>
    <t xml:space="preserve">AUCALLAMA </t>
  </si>
  <si>
    <t>Mamas heterogéneamente densas
Impresiona imagen nodular irregular de márgenes lobulados con márgenes espiculados en su región posterior, de
aspecto sospechoso, a nivel de plano medio de cuadrante superior externo de mama derecha asociado a
retracción de pezón y engrosamiento de la piel circundante
Impresiona adenomegalia en región axilar derecha sugerente de adenopatía</t>
  </si>
  <si>
    <t>BI-RADS 5C</t>
  </si>
  <si>
    <t>BX + ECOGRAFIA DE MAMAS</t>
  </si>
  <si>
    <t>28/04/2026 OBST LAVADO</t>
  </si>
  <si>
    <t>BRONCANO QUITO MARISELA</t>
  </si>
  <si>
    <t>CALLE ALFONSO UGARTE MZ B-18</t>
  </si>
  <si>
    <t>Mamas heterogéneamente densas
Calcificación aislada de aspecto benigno en cuadrante superior externo de mama izquierda</t>
  </si>
  <si>
    <t>FARRO SANTOS YESSICA MILAGROS</t>
  </si>
  <si>
    <t xml:space="preserve">AV SAN MARTIN 1026 </t>
  </si>
  <si>
    <t>MELGAREJO OTAROLA CELINA</t>
  </si>
  <si>
    <t>LA RIVERA DEL RIO HUAURA</t>
  </si>
  <si>
    <t>Mamas heterogéneamente densas
Calcificaciones de aspecto benigno dispersas en amba mamas</t>
  </si>
  <si>
    <t>HUERTA AVILA DELIA</t>
  </si>
  <si>
    <t>AV JISE MARIA ESPIAZO 115</t>
  </si>
  <si>
    <t>Mamas heterogéneamente densas
Calcificaciones gruesas de aspecto benigno en mama derecha</t>
  </si>
  <si>
    <t>ESPINOZA CORTEZ REYNALDA MARIELA</t>
  </si>
  <si>
    <t>ELIAS IPINCE 146</t>
  </si>
  <si>
    <t>BAUTISTA CHAVEZ DILIA</t>
  </si>
  <si>
    <t>CA TARAPACA 498</t>
  </si>
  <si>
    <t>Mamas con sectores dispersos de densidad fibroglandular (ACR tipo B)
Gruesas calcificaciones redondeadas tipicamente benignas en ambas mamas
Categoría BIRADS 2</t>
  </si>
  <si>
    <t>DULANTO LA ROSA LOUI</t>
  </si>
  <si>
    <t>B. VIZQUERRA 249</t>
  </si>
  <si>
    <t>COCA GRADOS DE VILLANUEVA SANDRA ELIZABETH</t>
  </si>
  <si>
    <t>JIRON GABRIEL AGUILAR</t>
  </si>
  <si>
    <t>HUERTA PALACIOS BEATRIZ NOEMI</t>
  </si>
  <si>
    <t>LOS PINPS B31</t>
  </si>
  <si>
    <t>ÑOPO RIVERA VANESA PATRICIA</t>
  </si>
  <si>
    <t>calle José Baquijano Hualmay 150</t>
  </si>
  <si>
    <t>SOLORZANO  LEON PAULINA BEATRIZ</t>
  </si>
  <si>
    <t xml:space="preserve">LAS FLORES MZ D -4 </t>
  </si>
  <si>
    <t>09885326</t>
  </si>
  <si>
    <t>LINDO LEON  MIRIAM MARLENE</t>
  </si>
  <si>
    <t>UAN BARRETO 241 INT 8</t>
  </si>
  <si>
    <t>RAMIREZ JAIMEZ NARCISA ANTONIA</t>
  </si>
  <si>
    <t>CALLE ESPIAZO 141</t>
  </si>
  <si>
    <t>Mamas heterogéneamente densas
Calcificación gruesa de aspecto benigno en cuadrante inferior interno de mama izquierda</t>
  </si>
  <si>
    <t>CUBAS CABRERA EMERITA</t>
  </si>
  <si>
    <t>AV ECHENIQUE S/N</t>
  </si>
  <si>
    <t xml:space="preserve">MARTINEZ COCA MONICA DEL PILAR </t>
  </si>
  <si>
    <t>LA MANCHURRIA ALTA N 5</t>
  </si>
  <si>
    <t>ARCE MEJICO MARIA ORFELINDA</t>
  </si>
  <si>
    <t>PSJ LAS AMERICAS</t>
  </si>
  <si>
    <t>932 299 617</t>
  </si>
  <si>
    <t>LUCAS JIMENEZ AGUSTINA</t>
  </si>
  <si>
    <t>OB IRINA TOMAS WAPP</t>
  </si>
  <si>
    <t>AREVALO  CHINGA ERIKA</t>
  </si>
  <si>
    <t>CALLE LOS ANGELES S/N</t>
  </si>
  <si>
    <t>CHAVEZ ROMAN YAQUELINA</t>
  </si>
  <si>
    <t>JIRON BOLOGNESI S/N</t>
  </si>
  <si>
    <t xml:space="preserve">PASCUAL ESPINOZA ZENOBIA LIDIA </t>
  </si>
  <si>
    <t xml:space="preserve">CALLE 23 ASOC. ASOPRO </t>
  </si>
  <si>
    <t xml:space="preserve">MORENO DIEGO MARTHA HILARIA </t>
  </si>
  <si>
    <t>AV CINCUNVALACION SUR</t>
  </si>
  <si>
    <t>Mamas heterogéneamente densas
Calcificación aislada de aspecto benigno en cuadrante superior externo de mama derecha</t>
  </si>
  <si>
    <t>ARDIAN ESPINOZA LILIAN</t>
  </si>
  <si>
    <t>VICTORIA BAJA 225</t>
  </si>
  <si>
    <t>ALVARADO MOGOLLON ASTERIA PAULA</t>
  </si>
  <si>
    <t>JOSE CARLOS MARIATEGUI MZ B LT 9</t>
  </si>
  <si>
    <t>Mamas heterogéneamente densas
Impresiona tejido fibroglandular accesorio en ambas regiones axilares.
Calcificaciones gruesas en región axilar derecha</t>
  </si>
  <si>
    <t>ALLAUCA TARAZONA MARIA</t>
  </si>
  <si>
    <t>Las Gardenias E-22 2da Etapa</t>
  </si>
  <si>
    <t>Barranca</t>
  </si>
  <si>
    <t>GALINDO MENDOZA SANTA TRINIDAD</t>
  </si>
  <si>
    <t>CALLE JOSE OLAYAN104</t>
  </si>
  <si>
    <t>Mamas heterogéneamente densas
Impresiona asimetría focal a nivel de plano posterior de cuadrante superior interno de mama izquierda asociado a
probable interposición de tejido fibroglandular</t>
  </si>
  <si>
    <t>ROJAS ANDRADE MELANIA</t>
  </si>
  <si>
    <t>ASOC EL OASIS MZ E LT 7</t>
  </si>
  <si>
    <t>PALOMINO APOLINARIO DELFINA</t>
  </si>
  <si>
    <t>1RA ETAPA LOS PINOZ -3</t>
  </si>
  <si>
    <t>GRUPO WATHSSAPP</t>
  </si>
  <si>
    <t>BAZO  PALOMARES MARIVEL</t>
  </si>
  <si>
    <t>LA MANCHURRIA 415</t>
  </si>
  <si>
    <t>OB. KAREN PAREDES WAPP</t>
  </si>
  <si>
    <t>CHAMORRO MORALES YSABEL</t>
  </si>
  <si>
    <t>SAENZ EÑA 321</t>
  </si>
  <si>
    <t>Mamografía bilateral sin signos que sugieran malignidad
Calcificación de aspecto benigno en mama izquierda</t>
  </si>
  <si>
    <t>HUANCA MAMANI TEODORA</t>
  </si>
  <si>
    <t>CENICERO</t>
  </si>
  <si>
    <t>DNI:04033908</t>
  </si>
  <si>
    <t>CAMPOS ARIAS HERMELINDA</t>
  </si>
  <si>
    <t>CALLE LIMA 575</t>
  </si>
  <si>
    <t>VILLENA INCA IVETH</t>
  </si>
  <si>
    <t>URB LOS JARDINES DE SAN AMTEO MZB LT 13</t>
  </si>
  <si>
    <t>Mamas heterogéneamente densas
Impresiona imagenes nodulare ovaladas radiodensas dispersas en ambas mamas</t>
  </si>
  <si>
    <t>CALDERON SALAZAR ERICKA</t>
  </si>
  <si>
    <t>MARISACAL UZURIAGA MZ 1C</t>
  </si>
  <si>
    <t>937 756 285</t>
  </si>
  <si>
    <t>CHAVARRIA BERROSPI VALERIA</t>
  </si>
  <si>
    <t>CHAVARRIA BERROSPI</t>
  </si>
  <si>
    <t>SALINAS SOLIS BLANCA</t>
  </si>
  <si>
    <t>LAURIAMA 837</t>
  </si>
  <si>
    <t>ARAUJO ARONE MARITZA</t>
  </si>
  <si>
    <t>SEGUNDA ETAPA LAS GARDENIAS F-14</t>
  </si>
  <si>
    <t>ALDEA MELENDEZ PATRONILA</t>
  </si>
  <si>
    <t xml:space="preserve">AAHH 2 DE DICIEMBRE </t>
  </si>
  <si>
    <t>AGUIRRE LUCIANO MARGARITA</t>
  </si>
  <si>
    <t>JR. T. AMARU 260 ASOVISEM</t>
  </si>
  <si>
    <t>CELIS TADEO DOMITILA</t>
  </si>
  <si>
    <t>LOS OLIVOS MZ F-13</t>
  </si>
  <si>
    <t>Mamas heterogéneamente densas. Patrón ACR - C.
Asimetria de densidad en mama derecha
Calcifcaciones tipicamente benignas en mama derecha
Categoría BIRADS 3</t>
  </si>
  <si>
    <t>ZORRILLA LIBERATO RUTH</t>
  </si>
  <si>
    <t>LA TABLADA S/N</t>
  </si>
  <si>
    <t>979 323 631</t>
  </si>
  <si>
    <t>Mamas con sectores dispersos de densidad fibroglandular (ACR tipo B)
Calcifcaciones tipicamente benignas en ambas mamas
Categoría BIRADS 2</t>
  </si>
  <si>
    <t>OB DANIVIA CASTAÑEDA WHATSAPP</t>
  </si>
  <si>
    <t>OCAÑA ALEJO KATTIA VIVIANA</t>
  </si>
  <si>
    <t xml:space="preserve">CALLE JOSE OLAYA 438 </t>
  </si>
  <si>
    <t>Mamas con sectores dispersos de densidad fibroglandular (ACR tipo B)
Asimetria en mama derecha,requiere ampliar estudio con ecografia
Categoría BIRADS 3</t>
  </si>
  <si>
    <t>CADILLO APOLINARIO MARISOL HAYDEE</t>
  </si>
  <si>
    <t>AV CORONEL PORTILLO 425</t>
  </si>
  <si>
    <t>Mamas con sectores dispersos de densidad fibroglandular (ACR tipo B)
Asimetria en mama derecha
Categoría BIRADS 3</t>
  </si>
  <si>
    <t>GIRALDO FAUSCA ELSA ELIZABETH</t>
  </si>
  <si>
    <t>PROLONGACIÓN MARISCAL CASTILLA</t>
  </si>
  <si>
    <t>Mamas con sectores dispersos de densidad fibroglandular (ACR tipo B), sin evidencia de lesiones sospechosas de
malignidad
Categoría BIRADS 1</t>
  </si>
  <si>
    <t>CUBAS CARRION MARIA EMMA</t>
  </si>
  <si>
    <t>JOSE DE SAN MARTIN 181</t>
  </si>
  <si>
    <t xml:space="preserve">HUAURA </t>
  </si>
  <si>
    <t>MARCELO OLAYA MARILYN</t>
  </si>
  <si>
    <t>PSJ CAJAMARCA LT 2</t>
  </si>
  <si>
    <t xml:space="preserve">LULO TOCAS HERMELINDA </t>
  </si>
  <si>
    <t>SANTA HILDA MZ B LT 10</t>
  </si>
  <si>
    <t>MARCHENA CAYETANO DE MELENDEZ GRACIELA</t>
  </si>
  <si>
    <t>JR BOLOGNESI PSJ AIDA S/N</t>
  </si>
  <si>
    <t>Mamas heterogéneamente densas. Patrón ACR - C.
Asimetria en mama derecha
Calcificaciones tipicamente benignas en mama derecha
Categoría BIRADS 0</t>
  </si>
  <si>
    <t>CANTO CUISTODIO MERCEDES</t>
  </si>
  <si>
    <t>AV JOSE PARDO 141</t>
  </si>
  <si>
    <t>Mamas heterogéneamente densas. Patrón ACR - C., sin evidenciar signos sospechosos de NM.
Categoría BIRADS 1</t>
  </si>
  <si>
    <t>VERGARA DE ARAVEÑÁ AQUILINA ERASMA</t>
  </si>
  <si>
    <t>CENTRO POBLASDO EL SOL N 1</t>
  </si>
  <si>
    <t>Mamas con sectores dispersos de densidad fibroglandular (ACR tipo B)
Nodulo de margenes circunscruitos en mama derecha
Calcificacines tipicamente benignas en ambas mamas
Categoría BIRADS 3</t>
  </si>
  <si>
    <t>URBANO LEAÑO INES</t>
  </si>
  <si>
    <t>ASENT.H.CORONEL PORTILLO MZ.A LT.16</t>
  </si>
  <si>
    <t>25/074/2026</t>
  </si>
  <si>
    <t>Mamas con sectores dispersos de densidad fibroglandular (ACR tipo B)
Calcifcaciones vasculares tipicamente benignas
Categoría BIRADS 2</t>
  </si>
  <si>
    <t>HUANSI IÑAPI DADDY</t>
  </si>
  <si>
    <t>AA.HH. SAN JOSE DE MANZANARES 4TA ETAP SECTOR 1 MZ E LTE 9</t>
  </si>
  <si>
    <t>Mamas con sectores dispersos de densidad fibroglandular (ACR tipo B) sin evidencia de lesiones sospechosas de
malignidad
Calcifcaciones vasculares en mamas , tipicamente benignas
Categoría BIRADS 2</t>
  </si>
  <si>
    <t>GODOY GUTIERREZ GRACIELAGAUDENCIA</t>
  </si>
  <si>
    <t>FUNDO EL RINCON S/N EX HACIENDA MIRAFLORES</t>
  </si>
  <si>
    <t>Mamas heterogéneamente densas. Patrón ACR - C.
Asimetria en mama derecha
Categoría BIRADS 3</t>
  </si>
  <si>
    <t>GODOY GUTIERREZ LUZMILA AGUSTINA</t>
  </si>
  <si>
    <t>EX.HACIENDA SAN JOSE S/N</t>
  </si>
  <si>
    <t>Mamas con sectores dispersos de densidad fibroglandular (ACR tipo B)
Calcifcaciones en ambas mamas , tipicamente beningas
Categoría BIRADS 2</t>
  </si>
  <si>
    <t>FLORES SIFUENTES JUANA</t>
  </si>
  <si>
    <t>CAP. SAN JOSE</t>
  </si>
  <si>
    <t>Mamas heterogéneamente densas. Patrón ACR - C.
Calcifcaciones tipicamente benignas en mama derecha
Categoría BIRADS 0</t>
  </si>
  <si>
    <t>VILLACORTA ROJAS MARIA ROSARIO</t>
  </si>
  <si>
    <t>CALLE MARITIMO S/N PUERTO</t>
  </si>
  <si>
    <t>SIPAN SANCHEZ NANCY PILAR</t>
  </si>
  <si>
    <t>AV. FLORAL 220 AUCALLAMA</t>
  </si>
  <si>
    <t>Mamas con sectores dispersos de densidad fibroglandular (ACR tipo B)
Calcifcaciones vasculares , tipicamente benignas en ambas mamas
Categoría BIRADS 2</t>
  </si>
  <si>
    <t>PECHO MANRIQUE LEYLA</t>
  </si>
  <si>
    <t>CALLE SIMON BOLIVAR S/N</t>
  </si>
  <si>
    <t>BELLIDO ZARATE ANA MARIA</t>
  </si>
  <si>
    <t>TUPAC AMARU 366</t>
  </si>
  <si>
    <t>Mamas con sectores dispersos de densidad fibroglandular (ACR tipo B)
Calcificacion tipicamente benigna en mama izquierda
Categoría BIRADS 2</t>
  </si>
  <si>
    <t>CHAMORRO  HIDALGO  DE ALVAREZ SEIRA LUCY</t>
  </si>
  <si>
    <t>AV.CIRCUNVALACION NORTE S/N</t>
  </si>
  <si>
    <t>SANTILLAN POZO NORMA</t>
  </si>
  <si>
    <t>FUJIMORI MZ D LTE 15</t>
  </si>
  <si>
    <t>LOLI CACERES AIDA</t>
  </si>
  <si>
    <t>AV 8 DE DICIEMBRE</t>
  </si>
  <si>
    <t>CARREÑO LINDO FANNY</t>
  </si>
  <si>
    <t>CALLE CORONEL PORTILLO 131</t>
  </si>
  <si>
    <t>HUASUPOMA VALVERDE CARMEN</t>
  </si>
  <si>
    <t>CIRO ALEGRIA 11</t>
  </si>
  <si>
    <t>CALCIFICACIONES DE ASPCTO BENIGNO.
RESTO DE LA MAMOGRAFÍA BILATERAL DENTRO DE LÍMITES NORMALES.
BI-RADS: 2</t>
  </si>
  <si>
    <t>ALCANTARA HIJAR BETSY</t>
  </si>
  <si>
    <t>URB LEVER PACOCHA C-15</t>
  </si>
  <si>
    <t>MELCHOR JUSTO MADELEINE</t>
  </si>
  <si>
    <t>PASAJE LIBERTAD 52</t>
  </si>
  <si>
    <t>PALHUA MORALES EUTROPIA</t>
  </si>
  <si>
    <t xml:space="preserve">IRRIGACION SANTA ROSA </t>
  </si>
  <si>
    <t>VALVERDE TRUJILLO ESTHER</t>
  </si>
  <si>
    <t>AV RAMON CASTILLA 271</t>
  </si>
  <si>
    <t>O7763745</t>
  </si>
  <si>
    <t>SIMON TORRES MATILDE</t>
  </si>
  <si>
    <t>AV LIBERTADORES MZ 35 LTE 24</t>
  </si>
  <si>
    <t>OB DIANA REGALADO WHATSAPP</t>
  </si>
  <si>
    <t>SOLANO RAMIREZ JENNY</t>
  </si>
  <si>
    <t>Calle Lima #575</t>
  </si>
  <si>
    <t>ALCANTARA NICHO PATRICIA</t>
  </si>
  <si>
    <t>IRENE SALVADOR 1285</t>
  </si>
  <si>
    <t>SOLIS ESPINOZA ROSALINDA</t>
  </si>
  <si>
    <t xml:space="preserve">VISTA ALEGRE </t>
  </si>
  <si>
    <t>OB. YAJAIRA MANRIQUE WAPP</t>
  </si>
  <si>
    <t>TRUJILLO ESPINOZA AMGELICA TERESITA</t>
  </si>
  <si>
    <t>VISTA ALEGRE</t>
  </si>
  <si>
    <t>SANDON ALZAMORA ELBA</t>
  </si>
  <si>
    <t>CERCADO 123</t>
  </si>
  <si>
    <t>ROJAS NAZARIO IRIS SOLEDAD</t>
  </si>
  <si>
    <t>CAO.VILCAHUAURA CALLE MIRAFLORES S/N</t>
  </si>
  <si>
    <t>SUSANIBAR CARRERA ZENAIDA</t>
  </si>
  <si>
    <t>SAM MARCOS EX FUJIMORI  MZ X LOT 12</t>
  </si>
  <si>
    <t>CALCIFICACIONES VASCULARES DE ASPECTO BENIGNO.
RESTO DE LA MAMOGRAFÍA BILATERAL DENTRO DE LÍMITES NORMALES.
BI-RADS: 2</t>
  </si>
  <si>
    <t>BOBADILLA CARO  LILIANA YOVANA</t>
  </si>
  <si>
    <t>ISMAEL COLAN S/N</t>
  </si>
  <si>
    <t>DE LA CRUZ PADILLA CINTYA YUDIT</t>
  </si>
  <si>
    <t>VILCAHUAURA  CALLE OBRERO S/N</t>
  </si>
  <si>
    <t xml:space="preserve">CALCIFICACION DE ASPECTO BENIGNO EN MAMA IZQUIERDA.
RESTO DE AMBAS MAMAS HETEROGÉNEAMENTE DENSAS, SE SUGIERE COMPLEMENTAR CON ECOGRAFÍA POR
DENSIDAD MAMARIA.
BI-RADS: 2
</t>
  </si>
  <si>
    <t>BENEDICTO DOMINGUEZ DE A CRUZ MARIA</t>
  </si>
  <si>
    <t>CALLE SANTA AMRIA S/N VILCAHUAURA</t>
  </si>
  <si>
    <t xml:space="preserve">CALCIFICACIONES DE ASPECTO BENIGNO EN MAMA DERECHA.
RESTO DE LA MAMOGRAFÍA BILATERAL DENTRO DE LÍMITES NORMALES.
BI-RADS: 2
</t>
  </si>
  <si>
    <t>PEREZ PADILLA ANGELUZ JACINTA</t>
  </si>
  <si>
    <t>URB.LAS GARDENIAS MZ.R L-9</t>
  </si>
  <si>
    <t>O8029719</t>
  </si>
  <si>
    <t>CAMPOS  CORDOVA JUANA ANGELICA</t>
  </si>
  <si>
    <t xml:space="preserve">AV TUPAC AMARI 562 </t>
  </si>
  <si>
    <t>Mamas heterogéneamente densas. Patrón ACR - C.
Masa hiperdensa irregular asocia distorsión de la arquitectura en mama izquierda con retracción de la piel y
ausencia del pezón
Linfonodos anormales en región axilar derecha
Categoría BIRADS 0</t>
  </si>
  <si>
    <t>ESTUDIO  A-P + ECOGRAFIA DE MAMA</t>
  </si>
  <si>
    <t>CUENTA CONE CO</t>
  </si>
  <si>
    <t>GUERRERO NICHO DIANA ELIZABETH</t>
  </si>
  <si>
    <t>JR.LIMA 255 SAN LORENZO</t>
  </si>
  <si>
    <t xml:space="preserve"> 45021316</t>
  </si>
  <si>
    <t>LOAYZA ROMERO  MARIBEL  YANET</t>
  </si>
  <si>
    <t>LA MERCED MZ K LOT 6</t>
  </si>
  <si>
    <t>LA MERCED</t>
  </si>
  <si>
    <t>80303242</t>
  </si>
  <si>
    <t>AGURTO CEVINA JELEN SAIRA</t>
  </si>
  <si>
    <t>LOS PINOS I ETAPA MZ Q LOT  11</t>
  </si>
  <si>
    <t>40796241</t>
  </si>
  <si>
    <t>RODRIGUEZ PIMENTEL  HILDA NELLY</t>
  </si>
  <si>
    <t>CALLE JOSE PABLO 141</t>
  </si>
  <si>
    <t>WHASTSAAP OBST KAREN PARDES</t>
  </si>
  <si>
    <t>CHIRITO  GRILL  CECILIA MAVEL</t>
  </si>
  <si>
    <t>CALLE SR. DE LA ASCENCION 137 - AMAY</t>
  </si>
  <si>
    <t>15761621</t>
  </si>
  <si>
    <t>COLLANTES CARLOS FLOR  ELIZABETH</t>
  </si>
  <si>
    <t>VICTOR RAUL HAYA D ELA TORRE B-4 MANZANARES</t>
  </si>
  <si>
    <t>Mamas heterogéneamente densas. Patrón ACR - C.
Asimetría en mama izquierda
Categoría BIRADS 3</t>
  </si>
  <si>
    <t>40445950</t>
  </si>
  <si>
    <t>REY PONCE GLORIA EDITH</t>
  </si>
  <si>
    <t>CALLE ALEJANDRO  EL SOLAR 104</t>
  </si>
  <si>
    <t>902 072 294</t>
  </si>
  <si>
    <t>05/05/2026 GRUPO WHATSAPP</t>
  </si>
  <si>
    <t>2273403</t>
  </si>
  <si>
    <t xml:space="preserve">TELLO  ALBORNOZ PORFIRIA </t>
  </si>
  <si>
    <t>CALLE HORQUILLAS COMITE 17 MZ H LOT 3- PERALVILLO</t>
  </si>
  <si>
    <t>Mamas con sectores dispersos de densidad fibroglandular (ACR tipo B)
Calcificaciones vasculares típicamente benignas en ambas mamas
Categoría BIRADS 2</t>
  </si>
  <si>
    <t>15751026</t>
  </si>
  <si>
    <t>SANCHEZ AVILA DINA HERLINDA</t>
  </si>
  <si>
    <t>CENTRO POBLADO JUSTINA A. VDA. DE MATTA MZ. D LT. 2</t>
  </si>
  <si>
    <t>43523439</t>
  </si>
  <si>
    <t>AGUILAR MARCELO  SANDRA ZULEMA</t>
  </si>
  <si>
    <t>CALLE PUMACAHUA MZ.J LT.11 C.P. JOSE OLAYA</t>
  </si>
  <si>
    <t>973 237 911</t>
  </si>
  <si>
    <t>43271086</t>
  </si>
  <si>
    <t>COCA MANDAMIENTO FIORELLA YULIZA</t>
  </si>
  <si>
    <t>AV MORE 255</t>
  </si>
  <si>
    <t>15608486</t>
  </si>
  <si>
    <t>LA CRUZ MILLONES DE ORTIZ ELBA ROSARIO</t>
  </si>
  <si>
    <t>AV LIBERTAD 52 AMAY</t>
  </si>
  <si>
    <t>Mamas con sectores dispersos de densidad fibroglandular (ACR tipo B)
Nódulos en mama derecha según descripción
Categoría BIRADS 0</t>
  </si>
  <si>
    <t>15595975</t>
  </si>
  <si>
    <t>ARQUINIO  UGALDE GIANINA</t>
  </si>
  <si>
    <t>AV HUALMAY PSJ GERTRUDIZ HERRER 173</t>
  </si>
  <si>
    <t>HULAMYA</t>
  </si>
  <si>
    <t xml:space="preserve">WHASTPP OBST CAVERO CHIRTO </t>
  </si>
  <si>
    <t>41270605</t>
  </si>
  <si>
    <t>CHIRITO  CHAMPA ANGELA ROSARIO</t>
  </si>
  <si>
    <t>PSJ GERTRUDIS HERRER 173</t>
  </si>
  <si>
    <t>42842726</t>
  </si>
  <si>
    <t>VINO RAPRAY BLANCA ANTOLINA</t>
  </si>
  <si>
    <t>CP VILCAHUAURA</t>
  </si>
  <si>
    <t>50133388</t>
  </si>
  <si>
    <t>RUIZ GUERRERO MARISELA</t>
  </si>
  <si>
    <t>CALLE JOSE GALVEZ 405 LA VICTORIA ALTA</t>
  </si>
  <si>
    <t>O7531402</t>
  </si>
  <si>
    <t>SOTELO  DOMINGUEZ EDELMIRA ASUNCIONA</t>
  </si>
  <si>
    <t>CALLE MARIA ARGUEDAS 140 UBR ROSARIO  B</t>
  </si>
  <si>
    <t>15968965</t>
  </si>
  <si>
    <t xml:space="preserve">CERVANTES ENRIQUEZ ELIZABET </t>
  </si>
  <si>
    <t xml:space="preserve">LOTISADORA ISMAEL COLAN MZ D LO T 7 </t>
  </si>
  <si>
    <t>O4014487</t>
  </si>
  <si>
    <t>BALDEON LAUREANO  DINA LUCILA</t>
  </si>
  <si>
    <t>LA PONDEROSA MZ F LOT 14</t>
  </si>
  <si>
    <t>OBST.EVELYN WHATSPP</t>
  </si>
  <si>
    <t>OCAÑA TENORIO EUSTAQIA</t>
  </si>
  <si>
    <t>SAN  MIGUEL-CALLE BLAS LT 5</t>
  </si>
  <si>
    <t>CALCIFICACIONES DE ASPECTO BENIGNO EN AMBAS MAMAS. RESTO DE LA MAMOGRAFÍA BILATERAL DENTRO DE LÍMITES NORMALES. BI-RADS: 2</t>
  </si>
  <si>
    <t>BI.RADS 2</t>
  </si>
  <si>
    <t>05/05/2026 WHATSAPP</t>
  </si>
  <si>
    <t>GARAY CASTRO LEONELA NATALY</t>
  </si>
  <si>
    <t>CALLE FRANCISCO BOLOGNESI 351 ASENT. H. MIGUEL GRAU</t>
  </si>
  <si>
    <t>MARTELL OLORTEGUI DE POZO YOSILDA</t>
  </si>
  <si>
    <t>PROLOG SAENZ PEÑA 410</t>
  </si>
  <si>
    <t>VIDAL OYOLA ROSA LUZMILA</t>
  </si>
  <si>
    <t>AUGUSTO B. LEGUIA 224</t>
  </si>
  <si>
    <t>GUZMAN MORENO DIGNA</t>
  </si>
  <si>
    <t>GARCILAZO DE LA VEGA 318 -  CHOCOY</t>
  </si>
  <si>
    <t>15865608</t>
  </si>
  <si>
    <t>RODRIGUEZ QUIJANO, ESTHER ERIKA</t>
  </si>
  <si>
    <t>LOTIZADORA SANTA HILDA MZ F LOT 14</t>
  </si>
  <si>
    <t>979 263 102</t>
  </si>
  <si>
    <t>LOZANO DUEÑAS DIONICIA VICTORIA</t>
  </si>
  <si>
    <t>ASOC.17 DE MAYO CALLE LOS JAZMINES MZ.A LT.18</t>
  </si>
  <si>
    <t>GUILLERMO HUAMAN MARIA CAROLINA</t>
  </si>
  <si>
    <t>CA LOS GIRASOLES S/N</t>
  </si>
  <si>
    <t>RODRIGUEZ MINAYA ERIKA</t>
  </si>
  <si>
    <t>CA TACNA CON GRAU S/N</t>
  </si>
  <si>
    <t>CALCIFICACIONES DE ASPECTO BENIGNO EN MAMA DERECHA, RESTO DE LA MAMOGRAFÍA BILATERAL DENTRO DE LÍMITES NORMALES. BI-RADS: 2</t>
  </si>
  <si>
    <t>MELGAREJO PADILLA DONATA AMADORA</t>
  </si>
  <si>
    <t>E. BUSTAMANTE MZ D LT 2</t>
  </si>
  <si>
    <t>LLONTOP SALAS SUSY GISSELA</t>
  </si>
  <si>
    <t>ASOVISEM PSJE. MELCHOR 149. MZ. G. L2</t>
  </si>
  <si>
    <t>JUAREZ VILCHEZ CRISTINA</t>
  </si>
  <si>
    <t>SAN JUAND E DIOS MZ F LOT 7</t>
  </si>
  <si>
    <t>MAMAS HETEROGÉNEAMENTE DENSAS, SE SUGIERE COMPLEMENTAR CON ECOGRAFÍA POR DENSIDAD MAMARIA. BI-RADS: 0</t>
  </si>
  <si>
    <t>BRONCANO VERAMENDI MEREIDA</t>
  </si>
  <si>
    <t>URB.LA CRUZ CALLE AZUCENAS 179</t>
  </si>
  <si>
    <t>Mamas heterogéneamente densas. Patrón ACR - C. Asimetria focal en tercio posterios de mama izquierda Categoría BIRADS 0</t>
  </si>
  <si>
    <t>15651241</t>
  </si>
  <si>
    <t>FRANCISCO  NUÑEZ LUZMILA FRANCISCA</t>
  </si>
  <si>
    <t>21 D EENERO  MZ A LOT 11</t>
  </si>
  <si>
    <t>09773490</t>
  </si>
  <si>
    <t>RETUERTO  LOPEZ MILAGROS YOVANA</t>
  </si>
  <si>
    <t>AV HIPOLITO  UNANUE 906</t>
  </si>
  <si>
    <t>15759404</t>
  </si>
  <si>
    <t>LEON LUTGARDO LAURA ELIZABETH</t>
  </si>
  <si>
    <t>JR.JOSE GALVEZ 256-3 1RA CUADRA</t>
  </si>
  <si>
    <t>924 736 359</t>
  </si>
  <si>
    <t>Mamas heterogéneamente densas. Patrón ACR - C. Asimetria retroareolar en mama derecha Categoría BIRADS 3</t>
  </si>
  <si>
    <t>42748152</t>
  </si>
  <si>
    <t>LOPEZ GONZALES DEYCY LUZ</t>
  </si>
  <si>
    <t>TAMBO BLANCO 2518 SANTA MARIA</t>
  </si>
  <si>
    <t>990 639 891</t>
  </si>
  <si>
    <t xml:space="preserve">DELGADO TEMOCHE GUMERCINDA </t>
  </si>
  <si>
    <t>15640816</t>
  </si>
  <si>
    <t>BAZALAR OYOLA  MARIA CARMEN</t>
  </si>
  <si>
    <t>EXP. URBANA EL PROGRESO MZ.D LT.10</t>
  </si>
  <si>
    <t>SOTO ISIDRO GILDA REBECA</t>
  </si>
  <si>
    <t>ASOC PEDRO  PORTILLO  SILVA MZ E LOT 5</t>
  </si>
  <si>
    <t>HUAMAN ASENCIOS MARIA</t>
  </si>
  <si>
    <t>MIRAFLORES  MZ C LO T 9 LA VILLA</t>
  </si>
  <si>
    <t>Mamas con sectores dispersos de densidad fibroglandular (ACR tipo B) Calcificaciones típicamente benignas en ambas mamas Categoría BIRADS 2</t>
  </si>
  <si>
    <t>40492198</t>
  </si>
  <si>
    <t>MELENDEZ MARTINEZ ISABEL</t>
  </si>
  <si>
    <t>AV.TUPAC AMARU 222</t>
  </si>
  <si>
    <t>MELENDEZ RAMOS ROSA EDITH</t>
  </si>
  <si>
    <t>EUSEBIO ARRONIZ F-2</t>
  </si>
  <si>
    <t>COLLANTES LOPEZ VERONICA</t>
  </si>
  <si>
    <t xml:space="preserve">BRISAS MARINA A-9 </t>
  </si>
  <si>
    <t>OBST. THEYSI</t>
  </si>
  <si>
    <t>PALOMARES MELENDEZ CELIA CARMEN</t>
  </si>
  <si>
    <t>MOLINO HOSPITAL S/N TORREBLANCA</t>
  </si>
  <si>
    <t>DUEÑAS VILCA ADELMA ELENA</t>
  </si>
  <si>
    <t xml:space="preserve">JR LOS PROCERES G-18 LOS PINOS </t>
  </si>
  <si>
    <t>ROJAS CAQUE LILIA</t>
  </si>
  <si>
    <t>VIRGEN DEL CARMEN</t>
  </si>
  <si>
    <t>Trinidad García Roxana</t>
  </si>
  <si>
    <t xml:space="preserve">PSJ ALCIBIADES PACHECO S/N </t>
  </si>
  <si>
    <t>PADILLA GOÑI YOLANDA MARIBEL</t>
  </si>
  <si>
    <t>INDEPENCIA 120 PUQIIO CANO</t>
  </si>
  <si>
    <t>ESPADA APOLINARIO JULISSA CARMEN</t>
  </si>
  <si>
    <t>28 D EJULIO SN HUACANGA</t>
  </si>
  <si>
    <t>ROSALES QUISPE TEODOLINDA</t>
  </si>
  <si>
    <t>LOS ANGELES A-9 - FUJIMORI</t>
  </si>
  <si>
    <t>ROMERO GARCIA BENI ELVIRA</t>
  </si>
  <si>
    <t>PAMPA DE HORNILLOS D-4</t>
  </si>
  <si>
    <t>AGUIRRE JARA PRISCA LIBERATA</t>
  </si>
  <si>
    <t>OBST PATRICIA WHASTSPP</t>
  </si>
  <si>
    <t>RODRIGUEZ ATERO SANDRA</t>
  </si>
  <si>
    <t>FUJIMORI MZE- 19</t>
  </si>
  <si>
    <t>15649281</t>
  </si>
  <si>
    <t>RAMIREZ MATA AMANDA ERLINDA</t>
  </si>
  <si>
    <t>AV FERROCARRIL 31</t>
  </si>
  <si>
    <t>HAUURA</t>
  </si>
  <si>
    <t>FECHA DE ATENCION</t>
  </si>
  <si>
    <t>H. CL.</t>
  </si>
  <si>
    <t>FECHA DE CITA</t>
  </si>
  <si>
    <t>FN</t>
  </si>
  <si>
    <t>FECHA BOLETEO</t>
  </si>
  <si>
    <t>GRADO DE INSTRUCCION</t>
  </si>
  <si>
    <t>TELEFONO 2</t>
  </si>
  <si>
    <t>ANT. DE CA MAMA</t>
  </si>
  <si>
    <t>DX</t>
  </si>
  <si>
    <t>N/A</t>
  </si>
  <si>
    <t>SERVICIO DE PROCEDENCIA</t>
  </si>
  <si>
    <t>MODALIDAD PAGO</t>
  </si>
  <si>
    <t>CONSEJERIA</t>
  </si>
  <si>
    <t>HORA DE ATENCION</t>
  </si>
  <si>
    <t>TOMA DE MAMOGRAFIA</t>
  </si>
  <si>
    <t>VERERIFICADO</t>
  </si>
  <si>
    <t>FECHA DE ENTREGA DE RESULTADOS A EESS</t>
  </si>
  <si>
    <t>RESULTADOS  DE ECOGRAFIA</t>
  </si>
  <si>
    <t>FECHA TOMA MAGNIFICAION</t>
  </si>
  <si>
    <t>RESULTADOS  DE MAGNIFICACION</t>
  </si>
  <si>
    <t xml:space="preserve">BI-RADS </t>
  </si>
  <si>
    <t>FECHA DE RCOJO</t>
  </si>
  <si>
    <t>FECHA DE TOMA BX</t>
  </si>
  <si>
    <t>RS DE BIOPSIA</t>
  </si>
  <si>
    <t>DX FINAL</t>
  </si>
  <si>
    <t>SEGUIMIENTO</t>
  </si>
  <si>
    <t>SOLIS PARDO ANA MARIA</t>
  </si>
  <si>
    <t>PRIM INCOMP</t>
  </si>
  <si>
    <t>HUMAYA S/N</t>
  </si>
  <si>
    <t>NO</t>
  </si>
  <si>
    <t>TAMIZAJE (77057)</t>
  </si>
  <si>
    <t>N</t>
  </si>
  <si>
    <t>CAMPAÑA</t>
  </si>
  <si>
    <t>EXONERADO</t>
  </si>
  <si>
    <t>BI-RADS 2 ACR: C</t>
  </si>
  <si>
    <t>QUINTEROS CIPRIANO FLAVIA</t>
  </si>
  <si>
    <t>SECUNDARIA COM</t>
  </si>
  <si>
    <t>SIS</t>
  </si>
  <si>
    <t>BI-RADS 2 ACR: B</t>
  </si>
  <si>
    <t>05/05/2026  OBST. JOSSE PACORA</t>
  </si>
  <si>
    <t xml:space="preserve">ROMERO CASTRO MARITZA LILIANA </t>
  </si>
  <si>
    <t>SUPERIOR COMPLETO</t>
  </si>
  <si>
    <t>Mamografía bilateral sin signos que sugieran malignidad Impresiona imagen nodular a nivel de plano posterior de cuadrante inferior interno de mama derecha</t>
  </si>
  <si>
    <t>BI-RADS 0 ACR: B</t>
  </si>
  <si>
    <t>CALDERON SILVA MELIXSA</t>
  </si>
  <si>
    <t xml:space="preserve">05/05/2026 WHASP GRUPO </t>
  </si>
  <si>
    <t>15698449</t>
  </si>
  <si>
    <t>COBEÑAS AQUINO MARIA CEDELINDA</t>
  </si>
  <si>
    <t>BI-RADS 1 ACR: B</t>
  </si>
  <si>
    <t>ROMERO MATURRANO SISSY</t>
  </si>
  <si>
    <t>Mamas heterogéneamente densas Impresiona tejido fibroglandular accesorio en región axilar bilateral</t>
  </si>
  <si>
    <t xml:space="preserve">BI-RADS 0 </t>
  </si>
  <si>
    <t>WHSPP OBST CAVERO STEFANY</t>
  </si>
  <si>
    <t>15975064</t>
  </si>
  <si>
    <t>CUADROS CHERO DE SANCHEZ CECILIA YOVANA</t>
  </si>
  <si>
    <t>08664984</t>
  </si>
  <si>
    <t>ALOR MARQUEZ LUZ CELIA</t>
  </si>
  <si>
    <t>BI-RADS: 0</t>
  </si>
  <si>
    <t>15618868</t>
  </si>
  <si>
    <t>QUISPE FERRER LUSMILA JUANA</t>
  </si>
  <si>
    <t>41316240</t>
  </si>
  <si>
    <t>MORALES SALINAS GLORIA GABRIELA</t>
  </si>
  <si>
    <t>WASTP OBST EVELIN GALLARDO</t>
  </si>
  <si>
    <t>COLLAZOS LUQUE  GLORIA ANGELICA</t>
  </si>
  <si>
    <t>PASAJE IRENE SALVADOR</t>
  </si>
  <si>
    <t xml:space="preserve">BI-RADS 1 </t>
  </si>
  <si>
    <t>43518637</t>
  </si>
  <si>
    <t>PALACIOS CHIROQUE SUSANA</t>
  </si>
  <si>
    <t>IRRIGANCION SANTA ROSA S/N LA MERCED</t>
  </si>
  <si>
    <t>15586551</t>
  </si>
  <si>
    <t>MORALES RAMOS DE CARRILLO RAQUEL ELENA</t>
  </si>
  <si>
    <t>SANTA CRUZ MZ E LOTE 1</t>
  </si>
  <si>
    <t>Mamas heterogéneamente densas. Patrón ACR - C. Asimetría en mama derecha Categoría BIRADS 3</t>
  </si>
  <si>
    <t>16011586</t>
  </si>
  <si>
    <t>VALLEJO CALDERON MAIBEL</t>
  </si>
  <si>
    <t>PANAMERICANA NORTE KM 86</t>
  </si>
  <si>
    <t>Mamas heterogéneamente densas. Patrón ACR - C. Nódulos de márgenes parcialmente oscurecido en ambas mamas Linfonodos anormales Categoría BIRADS 0</t>
  </si>
  <si>
    <t>15743107</t>
  </si>
  <si>
    <t>CRUZ ZAMORA RUTH ELVA</t>
  </si>
  <si>
    <t>AV. FUMAGALLI 150</t>
  </si>
  <si>
    <t>Mamas heterogéneamente densas, sin evidencia de signos sospechosos de malignidad Calcificaciones vasculares típicamente benignas Categoría BIRADS 2</t>
  </si>
  <si>
    <t>07/05/2026 OB ZAMORA WHATSPP</t>
  </si>
  <si>
    <t>41624215</t>
  </si>
  <si>
    <t>DAVILA ROMAN GIANINA BRIYITTE</t>
  </si>
  <si>
    <t>PICHUPAMPA ALTA</t>
  </si>
  <si>
    <t>LEONCIO PRADO</t>
  </si>
  <si>
    <t>P.S. PARAN</t>
  </si>
  <si>
    <t>Mamas con sectores dispersos de densidad fibroglandular (ACR tipo B) Calcificaciones vasculares en ambas mamas, típicamente benignas Categoría BIRADS 2</t>
  </si>
  <si>
    <t>07/05 OBS CENDIE FLORES PARAN</t>
  </si>
  <si>
    <t>43108104</t>
  </si>
  <si>
    <t>HERMEGILDO ROMERO JACQUELINE SOLEDAD</t>
  </si>
  <si>
    <t>CALLE P.P HERRERO 1571</t>
  </si>
  <si>
    <t>41793822</t>
  </si>
  <si>
    <t>CHUMBES CANALES GLADYS NOELIA</t>
  </si>
  <si>
    <t>PSAJE TRUJILLO CANLES LOTE 3</t>
  </si>
  <si>
    <t>00956210</t>
  </si>
  <si>
    <t>VELA VELA LEONOR</t>
  </si>
  <si>
    <t>JIRON GRAU SN</t>
  </si>
  <si>
    <t>KAREN PAREDES WHATSAPP</t>
  </si>
  <si>
    <t>TURNO TARDE 04/05/2026</t>
  </si>
  <si>
    <t>42635231</t>
  </si>
  <si>
    <t>VILLAVICENCIO RAMIREZ FLOR MARIA</t>
  </si>
  <si>
    <t>AAHH TUPAC MARU MZ Z LOTE 14</t>
  </si>
  <si>
    <t>OB JOSELYN VARGAS WHATSAPP</t>
  </si>
  <si>
    <t>AGUEDO  DEXTRE TANIA DLE ROCIO</t>
  </si>
  <si>
    <t>URB 18 DE OCTUBRE F 12</t>
  </si>
  <si>
    <t>Mamas heterogéneamente densas Impresiona imagen nodular a nivel de plano medio de cuadrante superior externo de mama derecha Calcificaciones gruesas de aspecto benigno dispersas en ambas mamas</t>
  </si>
  <si>
    <t>RODRIGUEZ HERMOZA DE ECHEGARAY MARIA ELENA</t>
  </si>
  <si>
    <t>AV. SAN MARTIN 1069</t>
  </si>
  <si>
    <t>GINECOLOGIA</t>
  </si>
  <si>
    <t>Mamografía bilateral sin signos que sugieran malignidad Impresiona imágenes nodulares de aspecto benigno a nivel de cuadrante superior externo de mama derecha Calcificaciones de aspecto benigno dispersas en ambas mamas</t>
  </si>
  <si>
    <t>15300446</t>
  </si>
  <si>
    <t>SAAVEDRA ARQUINIGO VIOLETA FORTUNATA</t>
  </si>
  <si>
    <t>CALLE. RICARDO PALMA 298</t>
  </si>
  <si>
    <t>40039677</t>
  </si>
  <si>
    <t>CARRILLO PARIAMACHI JUSTINA OLGA</t>
  </si>
  <si>
    <t>IRRIGACION SANTA ROSA SN</t>
  </si>
  <si>
    <t>REFERENCIA</t>
  </si>
  <si>
    <t>42518813</t>
  </si>
  <si>
    <t>SIMBRON OBISPO DE QUICHE REBECA LUCIA</t>
  </si>
  <si>
    <t>AV CINCUENTENARIO 550</t>
  </si>
  <si>
    <t>OB. STEFY WHATSAPP</t>
  </si>
  <si>
    <t>15741570</t>
  </si>
  <si>
    <t>LOPEZ LEON DE MONTES MARIA ISABEL</t>
  </si>
  <si>
    <t>CIUDAD SATELITE SAN MARTIN MZ C LOTE 13</t>
  </si>
  <si>
    <t>15655865</t>
  </si>
  <si>
    <t>DIAZ SOLIS NELLY ISABEL</t>
  </si>
  <si>
    <t>CALLE LOS ALMAORS 381</t>
  </si>
  <si>
    <t>15611892</t>
  </si>
  <si>
    <t>DOMINGUEZ SIMEON BERTHA</t>
  </si>
  <si>
    <t>AV. TUPAC AMARU 583</t>
  </si>
  <si>
    <t>ONCOLOGIA MEDICA</t>
  </si>
  <si>
    <t>ENTREGADO A PX 07/05/2026</t>
  </si>
  <si>
    <t>ENTREGADO A PX 07/05/2027</t>
  </si>
  <si>
    <t xml:space="preserve"> 05/05/2026</t>
  </si>
  <si>
    <t>15746500</t>
  </si>
  <si>
    <t>SALINAS DELGADILLO SOLEDAD MARLENE</t>
  </si>
  <si>
    <t xml:space="preserve">URB. AURORA MZ F LOTE 12 B </t>
  </si>
  <si>
    <t>16013882</t>
  </si>
  <si>
    <t>PEREZ LOZANO LEOCADIA APOLINARIA</t>
  </si>
  <si>
    <t>AV. FLORAL 115</t>
  </si>
  <si>
    <t>80145587</t>
  </si>
  <si>
    <t>CHAVEZ ROSALINA CARMEN</t>
  </si>
  <si>
    <t>LOTES ADORA SAN VALENTIN MZ B LOTE 15</t>
  </si>
  <si>
    <t>40092180</t>
  </si>
  <si>
    <t>JAIMES GALAN YOLANDA CARMINA</t>
  </si>
  <si>
    <t>CALLE DOS DE MAYO LOTE 20</t>
  </si>
  <si>
    <t>OPACIDADES LINEALES, TORTUOSAS, SERPENTEANTES EN CSE DE MAMA DERECHA, QUE PODRIA CORRESPONDER
A ESTRUCTURAS VASCULARES DILATADAS, SE SUGIERE ESTUDIO ECOGRAFICO PARA MEJOR CARACTERIZACION.
RESTO DE LA MAMOGRAFÍA BILATERAL DENTRO DE LÍMITES NORMALES.
BI-RADS: 0</t>
  </si>
  <si>
    <t>41414497</t>
  </si>
  <si>
    <t>CHAVEZ CATIRI DINA GABRIELA</t>
  </si>
  <si>
    <t>PRIMARIA INCOMPLETA</t>
  </si>
  <si>
    <t>AV SAN MARTIN COMITE 20 - PERALVILLO</t>
  </si>
  <si>
    <t>15604919</t>
  </si>
  <si>
    <t>GRILLO UGAZ CARMEN ROSA</t>
  </si>
  <si>
    <t>SECUNDARIA COMPLETA</t>
  </si>
  <si>
    <t xml:space="preserve">AV. LA PAZ LOTE 7 </t>
  </si>
  <si>
    <t>ANTECD CAMCER DE  MAMA IZQUIERDA</t>
  </si>
  <si>
    <t>MAMOGRAFÍA UNILATERAL DERECHA DENTRO DE LÍMITES NORMALES. BI-RADS: 1</t>
  </si>
  <si>
    <t>15613304</t>
  </si>
  <si>
    <t>AQUISE FIGUEROA ROSAURA</t>
  </si>
  <si>
    <t>SECUNDARIA INCOMPLETA</t>
  </si>
  <si>
    <t>LA TABLADA SN</t>
  </si>
  <si>
    <t>ASIMETRÍA FOCAL EN MAMA IZQUIERDA. SE SUGIERE ECOGRAFÍA. RESTO DE LA MAMOGRAFÍA BILATERAL DENTRO DE LÍMITES NORMALES. BI-RADS: 3</t>
  </si>
  <si>
    <t>40056447</t>
  </si>
  <si>
    <t xml:space="preserve">ROMERO ALOR YESSICA VICTORIA </t>
  </si>
  <si>
    <t>CALLE MARIANO MELGAR 113</t>
  </si>
  <si>
    <t>986 231 775</t>
  </si>
  <si>
    <t>0070989306</t>
  </si>
  <si>
    <t>MENDEZ AGUIRRE YENNY RAQUEL</t>
  </si>
  <si>
    <t>CALLE LEONCIO PRADO 351</t>
  </si>
  <si>
    <t>15753080</t>
  </si>
  <si>
    <t>MAQUIN AGUIRRE HAYDEE CELIA</t>
  </si>
  <si>
    <t>SANTA ROSA  MZ A LOTE 3</t>
  </si>
  <si>
    <t>15760249</t>
  </si>
  <si>
    <t>NOEL MINAY NOELIA MAGALY</t>
  </si>
  <si>
    <t>AUGUSTO B LEGUIA 420</t>
  </si>
  <si>
    <t>42138270</t>
  </si>
  <si>
    <t>SALVADOR VAEZ ELVIRA FLOR</t>
  </si>
  <si>
    <t>CALLE LAS BEGONIAS 13</t>
  </si>
  <si>
    <t>TURNO TARDE 05/05/2026</t>
  </si>
  <si>
    <t>40042497</t>
  </si>
  <si>
    <t>MELGAREJO OSORIO MIRIAM DOMENICA</t>
  </si>
  <si>
    <t>CALLE 18 DE OCTUBRE SN</t>
  </si>
  <si>
    <t>15447857</t>
  </si>
  <si>
    <t xml:space="preserve">RODRIGUEZ ZAMUDIO CONSTANTINA </t>
  </si>
  <si>
    <t xml:space="preserve">CALLE LOS JARDIBES SN </t>
  </si>
  <si>
    <t>CALCIFICACIONES DE ASPECTO BENIGNO EN MAMA DERECHA RESTO DE LA MAMOGRAFÍA BILATERAL DENTRO DE LÍMITES NORMALES. BI-RADS: 2</t>
  </si>
  <si>
    <t>15689568</t>
  </si>
  <si>
    <t>GRADOS NICHO ROSA ELENA</t>
  </si>
  <si>
    <t xml:space="preserve">AV PERU 485 INTERIOR 4 </t>
  </si>
  <si>
    <t>MICROCALCIFICACIONES AGRUPADAS EN AMBAS MAMAS DE DISTRIBUCION DIFUSA, SE SUGIERE CONTROL
POSTERIOR.
OPACIDADES NODULARES EN MAMA IZQUIERDA, SE SUGIERE ESTUDIO ECOGRAFICO PARA MEJOR
CARACTERIZACION
CALCIFICACIONES DE ASPECTO BENIGNO EN AMBAS MAMAS.
RESTO DE LA MAMOGRAFÍA BILATERAL DENTRO DE LÍMITES NORMALES.
BI-RADS: 3</t>
  </si>
  <si>
    <t>CONTROL MAMOGRAFICO EN 6 MESES Y ESTUDIO ECOGRAFICO COMPLEMENTARIO</t>
  </si>
  <si>
    <t>15978849</t>
  </si>
  <si>
    <t>MANRIQUE MORA DE FIGUEROA ALICIA</t>
  </si>
  <si>
    <t>CALLE TENIENTE PINGLES 204</t>
  </si>
  <si>
    <t>15762865</t>
  </si>
  <si>
    <t>NIETO HINOSTROZA MARIBEL JURI</t>
  </si>
  <si>
    <t>BUENOS AIRES I ETAPA</t>
  </si>
  <si>
    <t>4257696</t>
  </si>
  <si>
    <t>VEGA AGUILAR ROXANA</t>
  </si>
  <si>
    <t>LOS JARDINES SN</t>
  </si>
  <si>
    <t>41711506</t>
  </si>
  <si>
    <t>AQUINO QUINTANA MARIA ELIZABETH</t>
  </si>
  <si>
    <t xml:space="preserve">CALLE MICAELA BASTIDAS LOTE 47 </t>
  </si>
  <si>
    <t>15999011</t>
  </si>
  <si>
    <t>CARMELO GABRIEL DE ALARCON ESHTER</t>
  </si>
  <si>
    <t>URB LA VICTORIA CALLE MARISCAL CASTILLA SN</t>
  </si>
  <si>
    <t>41914886</t>
  </si>
  <si>
    <t>LOPEZ HOCES ROSA IRENE SUSANA</t>
  </si>
  <si>
    <t>SUPERIOR INCOMPLETO</t>
  </si>
  <si>
    <t>FONAVI BLOC A 19</t>
  </si>
  <si>
    <t>00950031</t>
  </si>
  <si>
    <t>AMASIFUEN SANCHEZ OLIVIA</t>
  </si>
  <si>
    <t>HUACHO QUERIDO MZ E LOTE 7</t>
  </si>
  <si>
    <t>15616719</t>
  </si>
  <si>
    <t>LANDA MENDOZA MARGARITA</t>
  </si>
  <si>
    <t>PROLONGACION AREQUIPA 190</t>
  </si>
  <si>
    <t>15736517</t>
  </si>
  <si>
    <t xml:space="preserve">BUSTIOS FERNANDEZ SONIA </t>
  </si>
  <si>
    <t xml:space="preserve">AV SAN MARTIN  </t>
  </si>
  <si>
    <t>23009081</t>
  </si>
  <si>
    <t>FLORES DURAND MARIA TERESA</t>
  </si>
  <si>
    <t>SIN INSTRUCCION</t>
  </si>
  <si>
    <t>80593255</t>
  </si>
  <si>
    <t>SANCHEZ RIVERA CHABUCA SOLEDAD</t>
  </si>
  <si>
    <t xml:space="preserve">HORNILLOS </t>
  </si>
  <si>
    <t>15693209</t>
  </si>
  <si>
    <t>SOLIS CAJALEON EDELMIRA FAUSTINA</t>
  </si>
  <si>
    <t>SECINDARIA INCOMPLETA</t>
  </si>
  <si>
    <t>NICANOR CHAGRAY TOMA Y CALLA</t>
  </si>
  <si>
    <t>15967728</t>
  </si>
  <si>
    <t>BALDERA SULZER MERY</t>
  </si>
  <si>
    <t>GARCVIA ALONSO- LOS NATURALES</t>
  </si>
  <si>
    <t>15699980</t>
  </si>
  <si>
    <t>CHIRITO MORALES JENNY</t>
  </si>
  <si>
    <t>COOPERATIVA ANDAHUASI</t>
  </si>
  <si>
    <t>40759850</t>
  </si>
  <si>
    <t>HUAMAN SANCHEZ MARILU JULIA</t>
  </si>
  <si>
    <t>NUEVO AMANECER SN</t>
  </si>
  <si>
    <t>42207503</t>
  </si>
  <si>
    <t>LASTRA PERALTA JENNIFER ELIZABETH</t>
  </si>
  <si>
    <t>LEONCIO PRADO 134</t>
  </si>
  <si>
    <t>007259671</t>
  </si>
  <si>
    <t>TORRES YORRO CARMEN ELENA</t>
  </si>
  <si>
    <t>PRIMARIA COMPLETA</t>
  </si>
  <si>
    <t>URB MARIA REYNA MZ G LT 6</t>
  </si>
  <si>
    <t>42626135</t>
  </si>
  <si>
    <t>SUAREZ REQUENA DEVORA LILIANA</t>
  </si>
  <si>
    <t>JR AYACUCHO 181</t>
  </si>
  <si>
    <t>CHANCCAY</t>
  </si>
  <si>
    <t>HALLAZGOS MAMOGRÁFICOS EN MAMA IZQUIERDA COMPATIBLES CON MASTITIS CRÓNICA, LOCALIZADA EN
CUADRANTE SUPEROINTERNO, ASOCIADA A ENGROSAMIENTO CUTÁNEO PERIAREOLAR.
RESTO DE AMBAS MAMAS HETEROGÉNEAMENTE DENSAS, SE SUGIERE COMPLEMENTAR CON ECOGRAFÍA POR
DENSIDAD MAMARIA.
BI-RADS: 3</t>
  </si>
  <si>
    <t xml:space="preserve">DIONICIO RIOS SANTA PAULINA </t>
  </si>
  <si>
    <t xml:space="preserve">SAN CAYETANO CHANCAYLLO </t>
  </si>
  <si>
    <t>CANO NAVARRO MARITZA</t>
  </si>
  <si>
    <t>SAN FRANCISCO 161</t>
  </si>
  <si>
    <t>RODRIGUEZ PACHECO YOISY</t>
  </si>
  <si>
    <t>01/04/198106/05/2026</t>
  </si>
  <si>
    <t>AV PERU 1105</t>
  </si>
  <si>
    <t>OPACIDAD NODULARE EN MAMA DERECHA, SE SUGIERE ESTUDIO ECOGRAFICO PARA MEJOR CARACTERIZACION
MICROCALCIFICACIONES AGRUPADAS EN MAMA DERECHA, SE SUGIERE CONTROL POSTERIOR.
RESTO DE AMBAS MAMAS HETEROGÉNEAMENTE DENSAS, SE SUGIERE COMPLEMENTAR CON ECOGRAFÍA POR
DENSIDAD MAMARIA.
BI-RADS: 0</t>
  </si>
  <si>
    <t>ECOGRAFIA+MAGNIFICACION</t>
  </si>
  <si>
    <t>15604692</t>
  </si>
  <si>
    <t>PEREZ MORALES DE VELASQUEZ JULIA LEONOR</t>
  </si>
  <si>
    <t>LEONCIO PRADO 244</t>
  </si>
  <si>
    <t>LA MAMOGRAFÍA BILATERAL DENTRO DE LÍMITES NORMALES.
Ambas mamas con áreas dispersas de densidad fibroglandular (tipo - b).BI-RADS: 0</t>
  </si>
  <si>
    <t>FALCON VILLARREAL YRMA CONSUELO</t>
  </si>
  <si>
    <t>CALLE LA UNION 131</t>
  </si>
  <si>
    <t xml:space="preserve"> ECOGRAFIA COMPLEMENTARIA</t>
  </si>
  <si>
    <t>TOLENTINO VALDERRAMA NATALY</t>
  </si>
  <si>
    <t xml:space="preserve">AV JUAN VELASCO ALVARADO HUMAYA </t>
  </si>
  <si>
    <t>ASIMETRÍA FOCAL EN MAMA IZQUIERDA. SE SUGIERE ECOGRAFÍA.
RESTO DE AMBAS MAMAS HETEROGÉNEAMENTE DENSAS, SE SUGIERE COMPLEMENTAR CON ECOGRAFÍA POR
DENSIDAD MAMARIA.
BI-RADS: 3</t>
  </si>
  <si>
    <t>TURNO TARDE 06/06/2026</t>
  </si>
  <si>
    <t>15616585</t>
  </si>
  <si>
    <t>COCA CHIRITO CARMEN ESTELA</t>
  </si>
  <si>
    <t>CALLE PACHACAMIA 132</t>
  </si>
  <si>
    <t>PIMENTEL SALAS JUSTINA</t>
  </si>
  <si>
    <t>MARTEL GUZMAN ORFELINDA</t>
  </si>
  <si>
    <t xml:space="preserve">EX URBANA SANTA XCRUZ MZ 108 LT9 </t>
  </si>
  <si>
    <t>FERNANDEZ IPANAQUE ANALI MERCEDES</t>
  </si>
  <si>
    <t>JFSC HUAMAYA</t>
  </si>
  <si>
    <t>RAMOS MORALES HERMELINDA</t>
  </si>
  <si>
    <t>40852579</t>
  </si>
  <si>
    <t>LA ROSA DIAZ ANA YSELA</t>
  </si>
  <si>
    <t xml:space="preserve">AV 28 DE JULIO </t>
  </si>
  <si>
    <t>MEDINA CARREÑO REYNA DEL ROSARIO</t>
  </si>
  <si>
    <t>JIRON LA PALMA 330</t>
  </si>
  <si>
    <t>41252967</t>
  </si>
  <si>
    <t>MENDOZA VARA MARIA ESTHER</t>
  </si>
  <si>
    <t>JR ATAHUALPA MZ D LT93</t>
  </si>
  <si>
    <t>ESPINOZA ZAMUDIO MARIA</t>
  </si>
  <si>
    <t>PEDRO PERRERA 1030 INT 4</t>
  </si>
  <si>
    <t>MEZA MELGAREJO DE MARTINEZ LAURA</t>
  </si>
  <si>
    <t>GALLEGOS RAMIREZ ERIKA YOVANNA</t>
  </si>
  <si>
    <t>JR. AYACUCHO 448</t>
  </si>
  <si>
    <t xml:space="preserve"> 07/05/26</t>
  </si>
  <si>
    <t>GALVEZ MARCOS LOURDES LOTY</t>
  </si>
  <si>
    <t>JR BOLIVAR 331</t>
  </si>
  <si>
    <t xml:space="preserve">CARRASCO DURAND JOHANA </t>
  </si>
  <si>
    <t>SUPERIOR TEC COMPLETO</t>
  </si>
  <si>
    <t>GADEA ESPINOZA ROSANGELA</t>
  </si>
  <si>
    <t>SAN ISIDRO PJ 3 INT 3</t>
  </si>
  <si>
    <t>80138118</t>
  </si>
  <si>
    <t xml:space="preserve">LUCAS VILLADEZA VILMA MARIA </t>
  </si>
  <si>
    <t xml:space="preserve">SAN PABLO S/N </t>
  </si>
  <si>
    <t>40862115</t>
  </si>
  <si>
    <t>ARAMA MATEO GLORIA</t>
  </si>
  <si>
    <t>LAS MARGARITAS MZ A8 LT7</t>
  </si>
  <si>
    <t>16019332</t>
  </si>
  <si>
    <t>CALIXTO LOPEZ LELINA NESAINA</t>
  </si>
  <si>
    <t>AV JULIO C TELLO 121</t>
  </si>
  <si>
    <t>23262648</t>
  </si>
  <si>
    <t xml:space="preserve">CAUCHOS SURICHAQUI VIOLETA </t>
  </si>
  <si>
    <t>AV GRAU 417</t>
  </si>
  <si>
    <t>UNIV COMPLETO</t>
  </si>
  <si>
    <t>23/04/2026 ESPOSO LUIS SAMANAMUD</t>
  </si>
  <si>
    <t>15760479</t>
  </si>
  <si>
    <t>GARCIA COCA MERY VERONICA</t>
  </si>
  <si>
    <t>TEC COMPLETO</t>
  </si>
  <si>
    <t>AV MARIA PARADO DE BELLIDO 425- AMAY</t>
  </si>
  <si>
    <t>CIRUGIA ONCOLOGICA</t>
  </si>
  <si>
    <t>15639037</t>
  </si>
  <si>
    <t>GUERRERO NAVARRO ROSANA JAQUELINE</t>
  </si>
  <si>
    <t>21/121965</t>
  </si>
  <si>
    <t>FELIPE HUANCA N15 - CARQUIN</t>
  </si>
  <si>
    <t>ZAMUDIO TAPIA RUTH</t>
  </si>
  <si>
    <t>01/0/1981</t>
  </si>
  <si>
    <t>ASOCION 1  DE MAYO</t>
  </si>
  <si>
    <t>LUCHO QUISPE ALEYDA</t>
  </si>
  <si>
    <t>SEC COMPLETA</t>
  </si>
  <si>
    <t>AV 28 D EJULIO S/N</t>
  </si>
  <si>
    <t>40085492</t>
  </si>
  <si>
    <t>COLLANTES VILVHEZ ZULLY</t>
  </si>
  <si>
    <t>MARISCAL CASTILLA</t>
  </si>
  <si>
    <t>IPANAQUE PEREZ JACQUELINE</t>
  </si>
  <si>
    <t>EL MILAGRO MZ Z LT8</t>
  </si>
  <si>
    <t>SAAVEDRA GALLARDO GRACIELA</t>
  </si>
  <si>
    <t>HUAMAN ARIAS MILAGROS ASUNCION</t>
  </si>
  <si>
    <t>CALLE ICA MZ D COMITÉ 16 PERALVILLO</t>
  </si>
  <si>
    <t>RODRIGUEZ AYALA VILMA TERESA</t>
  </si>
  <si>
    <t>AA HH EL PACIFICO MZ B LT 3</t>
  </si>
  <si>
    <t>44847673</t>
  </si>
  <si>
    <t>FALCON PEÑA CIRILA</t>
  </si>
  <si>
    <t>SAN BARTOLOME 2DA ETAPA</t>
  </si>
  <si>
    <t>TELLO CASTILLO NATALY IRINA</t>
  </si>
  <si>
    <t>URB. LEVER PACOCHA I6 HUACHO</t>
  </si>
  <si>
    <t>977 839 429</t>
  </si>
  <si>
    <t xml:space="preserve">N </t>
  </si>
  <si>
    <t>REYES CANALES BETTY</t>
  </si>
  <si>
    <t xml:space="preserve">LURIAMA </t>
  </si>
  <si>
    <t>PICHILINGUE VALLADERES SUSY</t>
  </si>
  <si>
    <t>AV 28 DE JULIO 1996</t>
  </si>
  <si>
    <t>PICHILINGUE VALLADARES PAOLA</t>
  </si>
  <si>
    <t>AA HH 1 DE JUNIO- ZAPATA</t>
  </si>
  <si>
    <t xml:space="preserve"> 8/05/2026</t>
  </si>
  <si>
    <t>MORALES MONTOYA MARIA YSABEL</t>
  </si>
  <si>
    <t>JIRON PUMACAHUA 302</t>
  </si>
  <si>
    <t>CENTRO DE SALUD SOCORRO</t>
  </si>
  <si>
    <t>VEGA PORTELLA JUANA DELSY</t>
  </si>
  <si>
    <t>CALLE SAN NICOLAS MZ I LOTE 6</t>
  </si>
  <si>
    <t>41154101</t>
  </si>
  <si>
    <t>MONTES GUZMAN ASTERIA PAULA</t>
  </si>
  <si>
    <t>CALLE LOS JARDINES MZ D LOTE 18</t>
  </si>
  <si>
    <t>40338629</t>
  </si>
  <si>
    <t>RIVERA GRADOS JENNY BETZABE</t>
  </si>
  <si>
    <t>JOSE T GARCIA 222</t>
  </si>
  <si>
    <t>RIOS ORTEGA ANA LUZ</t>
  </si>
  <si>
    <t>BUENOS AIRES II ETAPA</t>
  </si>
  <si>
    <t>NICOLAS ROJAS FULGENCIA</t>
  </si>
  <si>
    <t xml:space="preserve">AAHH TUPAC AMARU MG LOTE7 </t>
  </si>
  <si>
    <t>DIAZ DE MELENDEZ MARIA</t>
  </si>
  <si>
    <t>CALLE LOPEZ ZUÑIGA 558 INT B</t>
  </si>
  <si>
    <t>CHANCHAY</t>
  </si>
  <si>
    <t>TAPIA CORALES CELINDA</t>
  </si>
  <si>
    <t>CALLE LA PALMA 371</t>
  </si>
  <si>
    <t>CADILLO SAAVEDRA FELICIANA DELIA</t>
  </si>
  <si>
    <t>AV. CENTENARIO 426 VALDIVIA</t>
  </si>
  <si>
    <t>MAMOGRAFIA 2026</t>
  </si>
  <si>
    <t>FECHA DE RECOJO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</si>
</sst>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6">
    <font>
      <sz val="11"/>
      <color theme="1"/>
      <name val="Calibri"/>
      <scheme val="minor"/>
    </font>
    <font>
      <b/>
      <sz val="9"/>
      <color rgb="FF000000"/>
      <name val="Calibri"/>
    </font>
    <font>
      <b/>
      <sz val="9"/>
      <color rgb="FFFF0000"/>
      <name val="Calibri"/>
    </font>
    <font>
      <sz val="9"/>
      <color theme="1"/>
      <name val="Calibri"/>
    </font>
    <font>
      <b/>
      <i/>
      <sz val="20"/>
      <color rgb="FFFF0000"/>
      <name val="Calibri"/>
    </font>
    <font>
      <b/>
      <sz val="9"/>
      <color rgb="FF000000"/>
      <name val="Calibri"/>
      <family val="2"/>
    </font>
    <font>
      <b/>
      <sz val="11"/>
      <color rgb="FF000000"/>
      <name val="Calibri"/>
      <family val="2"/>
    </font>
    <font>
      <b/>
      <sz val="10"/>
      <color rgb="FF000000"/>
      <name val="Calibri"/>
      <family val="2"/>
    </font>
    <font>
      <b/>
      <sz val="9"/>
      <color theme="1"/>
      <name val="Calibri"/>
    </font>
    <font>
      <b/>
      <sz val="9"/>
      <color theme="1"/>
      <name val="Calibri"/>
      <family val="2"/>
    </font>
    <font>
      <sz val="11"/>
      <color theme="1"/>
      <name val="Calibri"/>
      <charset val="1"/>
    </font>
    <font>
      <sz val="10"/>
      <color theme="1"/>
      <name val="Calibri"/>
      <charset val="1"/>
    </font>
    <font>
      <sz val="9"/>
      <color theme="1"/>
      <name val="Calibri"/>
      <charset val="1"/>
    </font>
    <font>
      <b/>
      <sz val="9"/>
      <color theme="1"/>
      <name val="Calibri"/>
      <charset val="1"/>
    </font>
    <font>
      <sz val="9"/>
      <color theme="1"/>
      <name val="Calibri"/>
      <scheme val="minor"/>
    </font>
    <font>
      <sz val="9"/>
      <color rgb="FF000000"/>
      <name val="Calibri"/>
      <scheme val="minor"/>
    </font>
    <font>
      <sz val="9"/>
      <color rgb="FF0070C0"/>
      <name val="Calibri"/>
      <scheme val="minor"/>
    </font>
    <font>
      <sz val="9"/>
      <color rgb="FFFF0000"/>
      <name val="Calibri"/>
      <scheme val="minor"/>
    </font>
    <font>
      <sz val="9"/>
      <color rgb="FF313237"/>
      <name val="Calibri"/>
      <scheme val="minor"/>
    </font>
    <font>
      <sz val="8"/>
      <color rgb="FF000000"/>
      <name val="Calibri"/>
      <charset val="134"/>
    </font>
    <font>
      <b/>
      <sz val="9"/>
      <color rgb="FFFF0000"/>
      <name val="Calibri"/>
      <scheme val="minor"/>
    </font>
    <font>
      <sz val="9"/>
      <color rgb="FF000000"/>
      <name val="Calibri"/>
      <charset val="1"/>
    </font>
    <font>
      <b/>
      <sz val="11"/>
      <color rgb="FFFF0000"/>
      <name val="Calibri"/>
      <charset val="1"/>
    </font>
    <font>
      <sz val="11"/>
      <color rgb="FF000000"/>
      <name val="Calibri"/>
      <family val="2"/>
    </font>
    <font>
      <b/>
      <sz val="11"/>
      <color rgb="FFFF0000"/>
      <name val="Calibri"/>
      <family val="2"/>
    </font>
    <font>
      <sz val="11"/>
      <color rgb="FF000000"/>
      <name val="Calibri"/>
      <charset val="1"/>
    </font>
    <font>
      <b/>
      <sz val="8"/>
      <color theme="1"/>
      <name val="Calibri"/>
      <charset val="1"/>
    </font>
    <font>
      <b/>
      <sz val="9"/>
      <color rgb="FF222A35"/>
      <name val="Calibri"/>
      <charset val="1"/>
    </font>
    <font>
      <b/>
      <sz val="10"/>
      <color theme="1"/>
      <name val="Calibri"/>
      <charset val="1"/>
    </font>
    <font>
      <b/>
      <sz val="10"/>
      <color theme="1"/>
      <name val="Calibri"/>
      <scheme val="minor"/>
    </font>
    <font>
      <b/>
      <sz val="18"/>
      <color rgb="FFFF0000"/>
      <name val="Calibri"/>
      <scheme val="minor"/>
    </font>
    <font>
      <b/>
      <sz val="8"/>
      <color rgb="FF000000"/>
      <name val="Calibri"/>
      <charset val="1"/>
    </font>
    <font>
      <b/>
      <sz val="11"/>
      <color rgb="FFFF0000"/>
      <name val="Calibri"/>
      <scheme val="minor"/>
    </font>
    <font>
      <sz val="9"/>
      <color rgb="FF858796"/>
      <name val="Calibri"/>
      <scheme val="minor"/>
    </font>
    <font>
      <b/>
      <sz val="9"/>
      <color rgb="FF000000"/>
      <name val="Calibri"/>
      <scheme val="minor"/>
    </font>
    <font>
      <sz val="9"/>
      <color theme="4" tint="-0.249977111117893"/>
      <name val="Calibri"/>
      <scheme val="minor"/>
    </font>
    <font>
      <sz val="9"/>
      <color rgb="FF242424"/>
      <name val="Calibri"/>
      <scheme val="minor"/>
    </font>
    <font>
      <b/>
      <sz val="9"/>
      <color theme="1"/>
      <name val="Calibri"/>
      <scheme val="minor"/>
    </font>
    <font>
      <b/>
      <sz val="9"/>
      <color rgb="FF0070C0"/>
      <name val="Calibri"/>
      <scheme val="minor"/>
    </font>
    <font>
      <sz val="11"/>
      <color rgb="FF242424"/>
      <name val="Aptos Narrow"/>
      <charset val="1"/>
    </font>
    <font>
      <sz val="9"/>
      <name val="Calibri"/>
      <scheme val="minor"/>
    </font>
    <font>
      <sz val="9"/>
      <color rgb="FF858796"/>
      <name val="Nunito"/>
      <charset val="1"/>
    </font>
    <font>
      <sz val="9"/>
      <color theme="1"/>
      <name val="Calibri"/>
      <charset val="134"/>
    </font>
    <font>
      <sz val="9"/>
      <color theme="1"/>
      <name val="Calibri"/>
      <family val="2"/>
      <scheme val="minor"/>
    </font>
    <font>
      <sz val="9"/>
      <color rgb="FFFF0000"/>
      <name val="Calibri"/>
      <family val="2"/>
      <scheme val="minor"/>
    </font>
    <font>
      <sz val="9"/>
      <color rgb="FF000000"/>
      <name val="Calibri"/>
      <family val="2"/>
    </font>
    <font>
      <sz val="9"/>
      <color rgb="FF000000"/>
      <name val="Calibri"/>
      <charset val="134"/>
    </font>
    <font>
      <sz val="9"/>
      <color rgb="FF000000"/>
      <name val="Calibri"/>
    </font>
    <font>
      <sz val="9"/>
      <color rgb="FFFF0000"/>
      <name val="Calibri"/>
    </font>
    <font>
      <sz val="9"/>
      <color rgb="FF000000"/>
      <name val="Calibri"/>
      <family val="2"/>
      <scheme val="minor"/>
    </font>
    <font>
      <u/>
      <sz val="11"/>
      <color theme="10"/>
      <name val="Calibri"/>
      <scheme val="minor"/>
    </font>
    <font>
      <u/>
      <sz val="9"/>
      <color theme="10"/>
      <name val="Calibri"/>
      <family val="2"/>
      <scheme val="minor"/>
    </font>
    <font>
      <sz val="9"/>
      <color rgb="FF0070C0"/>
      <name val="Calibri"/>
      <family val="2"/>
    </font>
    <font>
      <sz val="9"/>
      <color rgb="FFFF0000"/>
      <name val="Calibri"/>
      <family val="2"/>
    </font>
    <font>
      <sz val="9"/>
      <name val="Calibri"/>
      <family val="2"/>
    </font>
    <font>
      <sz val="9"/>
      <color rgb="FF242424"/>
      <name val="Aptos Narrow"/>
      <charset val="1"/>
    </font>
    <font>
      <sz val="9"/>
      <color theme="2" tint="-0.89999084444715716"/>
      <name val="Calibri"/>
      <family val="2"/>
    </font>
    <font>
      <sz val="10"/>
      <color theme="1"/>
      <name val="Calibri"/>
      <family val="2"/>
      <scheme val="minor"/>
    </font>
    <font>
      <sz val="9"/>
      <color rgb="FF000000"/>
      <name val="Calibri"/>
      <family val="2"/>
      <charset val="1"/>
    </font>
    <font>
      <sz val="9"/>
      <color rgb="FF000000"/>
      <name val="Times New Roman"/>
    </font>
    <font>
      <sz val="9"/>
      <color theme="1"/>
      <name val="Calibri"/>
      <family val="2"/>
      <charset val="1"/>
    </font>
    <font>
      <sz val="9"/>
      <color theme="4"/>
      <name val="Calibri"/>
      <scheme val="minor"/>
    </font>
    <font>
      <b/>
      <sz val="11"/>
      <color theme="1"/>
      <name val="Calibri"/>
      <scheme val="minor"/>
    </font>
    <font>
      <sz val="10"/>
      <color rgb="FF000000"/>
      <name val="Calibri"/>
      <family val="2"/>
    </font>
    <font>
      <sz val="9"/>
      <color rgb="FF0D0D0D"/>
      <name val="Calibri"/>
    </font>
    <font>
      <sz val="9"/>
      <color rgb="FF0D0D0D"/>
      <name val="Calibri"/>
      <family val="2"/>
    </font>
    <font>
      <sz val="9"/>
      <color rgb="FF0070C0"/>
      <name val="Calibri"/>
    </font>
    <font>
      <sz val="9"/>
      <color theme="1"/>
      <name val="Calibri Light"/>
      <scheme val="major"/>
    </font>
    <font>
      <sz val="9"/>
      <color rgb="FFFF0000"/>
      <name val="Calibri"/>
      <charset val="134"/>
    </font>
    <font>
      <sz val="9"/>
      <color rgb="FFFF0000"/>
      <name val="Calibri Light"/>
      <scheme val="major"/>
    </font>
    <font>
      <sz val="9"/>
      <color theme="0"/>
      <name val="Calibri"/>
      <scheme val="minor"/>
    </font>
    <font>
      <sz val="9"/>
      <color rgb="FF0070C0"/>
      <name val="Calibri"/>
      <family val="2"/>
      <scheme val="minor"/>
    </font>
    <font>
      <sz val="9"/>
      <color rgb="FF0070C0"/>
      <name val="Calibri Light"/>
      <scheme val="major"/>
    </font>
    <font>
      <b/>
      <sz val="9"/>
      <color theme="4"/>
      <name val="Calibri"/>
      <scheme val="minor"/>
    </font>
    <font>
      <sz val="11"/>
      <color rgb="FF000000"/>
      <name val="Calibri"/>
      <scheme val="minor"/>
    </font>
    <font>
      <sz val="11"/>
      <color rgb="FF000000"/>
      <name val="Aptos Narrow"/>
      <charset val="1"/>
    </font>
    <font>
      <b/>
      <sz val="9"/>
      <color rgb="FFFF0000"/>
      <name val="Calibri"/>
      <family val="2"/>
      <scheme val="minor"/>
    </font>
    <font>
      <sz val="10"/>
      <color rgb="FF000000"/>
      <name val="Calibri"/>
      <family val="2"/>
      <scheme val="minor"/>
    </font>
    <font>
      <b/>
      <u/>
      <sz val="11"/>
      <color theme="10"/>
      <name val="Calibri"/>
      <family val="2"/>
      <scheme val="minor"/>
    </font>
    <font>
      <sz val="9"/>
      <color rgb="FF000000"/>
      <name val="Nunito"/>
      <charset val="1"/>
    </font>
    <font>
      <sz val="9"/>
      <name val="Calibri"/>
    </font>
    <font>
      <sz val="11"/>
      <color rgb="FFFF0000"/>
      <name val="Calibri"/>
      <scheme val="minor"/>
    </font>
    <font>
      <sz val="8"/>
      <color rgb="FF000000"/>
      <name val="Calibri"/>
      <scheme val="minor"/>
    </font>
    <font>
      <sz val="9"/>
      <color rgb="FF000000"/>
      <name val="Calibri Light"/>
      <scheme val="major"/>
    </font>
    <font>
      <sz val="8"/>
      <color theme="1"/>
      <name val="Calibri"/>
      <family val="2"/>
      <scheme val="minor"/>
    </font>
    <font>
      <sz val="10"/>
      <color rgb="FFFF0000"/>
      <name val="Calibri"/>
      <charset val="1"/>
    </font>
    <font>
      <b/>
      <sz val="9"/>
      <color theme="1"/>
      <name val="Calibri Light"/>
      <scheme val="major"/>
    </font>
    <font>
      <b/>
      <sz val="8"/>
      <color theme="1"/>
      <name val="Calibri"/>
      <scheme val="minor"/>
    </font>
    <font>
      <sz val="10"/>
      <color theme="1"/>
      <name val="Calibri"/>
      <scheme val="minor"/>
    </font>
    <font>
      <sz val="8"/>
      <color theme="1"/>
      <name val="Calibri"/>
      <scheme val="minor"/>
    </font>
    <font>
      <sz val="10"/>
      <color rgb="FF000000"/>
      <name val="Calibri"/>
    </font>
    <font>
      <sz val="11"/>
      <color rgb="FF0070C0"/>
      <name val="Calibri"/>
      <family val="2"/>
      <scheme val="minor"/>
    </font>
    <font>
      <sz val="8"/>
      <color rgb="FF0070C0"/>
      <name val="Calibri"/>
      <scheme val="minor"/>
    </font>
    <font>
      <sz val="9"/>
      <color rgb="FF000000"/>
      <name val="Calibri Light"/>
      <charset val="1"/>
    </font>
    <font>
      <sz val="10"/>
      <color rgb="FF000000"/>
      <name val="Calibri"/>
      <charset val="1"/>
    </font>
    <font>
      <sz val="10"/>
      <color rgb="FFFF0000"/>
      <name val="Calibri"/>
      <scheme val="minor"/>
    </font>
    <font>
      <sz val="10"/>
      <color rgb="FFFF0000"/>
      <name val="Calibri"/>
      <family val="2"/>
      <scheme val="minor"/>
    </font>
    <font>
      <sz val="8"/>
      <color rgb="FFFF0000"/>
      <name val="Calibri"/>
      <family val="2"/>
      <scheme val="minor"/>
    </font>
    <font>
      <sz val="10"/>
      <color rgb="FF0070C0"/>
      <name val="Calibri"/>
      <scheme val="minor"/>
    </font>
    <font>
      <sz val="10"/>
      <color rgb="FF0070C0"/>
      <name val="Calibri"/>
      <family val="2"/>
      <scheme val="minor"/>
    </font>
    <font>
      <sz val="10"/>
      <color rgb="FF0070C0"/>
      <name val="Calibri"/>
      <charset val="1"/>
    </font>
    <font>
      <sz val="8"/>
      <color rgb="FF0070C0"/>
      <name val="Calibri"/>
      <family val="2"/>
      <scheme val="minor"/>
    </font>
    <font>
      <sz val="9"/>
      <name val="Calibri"/>
      <family val="2"/>
      <scheme val="minor"/>
    </font>
    <font>
      <b/>
      <sz val="9"/>
      <color theme="1"/>
      <name val="Calibri"/>
      <family val="2"/>
      <scheme val="minor"/>
    </font>
    <font>
      <b/>
      <sz val="10"/>
      <color theme="1"/>
      <name val="Calibri"/>
      <family val="2"/>
      <scheme val="minor"/>
    </font>
    <font>
      <sz val="10"/>
      <color rgb="FF000000"/>
      <name val="Calibri"/>
      <scheme val="minor"/>
    </font>
  </fonts>
  <fills count="46">
    <fill>
      <patternFill patternType="none"/>
    </fill>
    <fill>
      <patternFill patternType="gray125"/>
    </fill>
    <fill>
      <patternFill patternType="solid">
        <fgColor rgb="FFFFFF00"/>
        <bgColor rgb="FFFFFF00"/>
      </patternFill>
    </fill>
    <fill>
      <patternFill patternType="solid">
        <fgColor rgb="FFFFFF00"/>
        <bgColor rgb="FF000000"/>
      </patternFill>
    </fill>
    <fill>
      <patternFill patternType="solid">
        <fgColor rgb="FFFFFFFF"/>
        <bgColor rgb="FF000000"/>
      </patternFill>
    </fill>
    <fill>
      <patternFill patternType="solid">
        <fgColor rgb="FFFFFF00"/>
        <bgColor indexed="64"/>
      </patternFill>
    </fill>
    <fill>
      <patternFill patternType="solid">
        <fgColor rgb="FFFF66FF"/>
        <bgColor indexed="64"/>
      </patternFill>
    </fill>
    <fill>
      <patternFill patternType="solid">
        <fgColor rgb="FFFFC000"/>
        <bgColor indexed="64"/>
      </patternFill>
    </fill>
    <fill>
      <patternFill patternType="solid">
        <fgColor rgb="FFFFFFFF"/>
        <bgColor indexed="64"/>
      </patternFill>
    </fill>
    <fill>
      <patternFill patternType="solid">
        <fgColor rgb="FF00B0F0"/>
        <bgColor indexed="64"/>
      </patternFill>
    </fill>
    <fill>
      <patternFill patternType="solid">
        <fgColor rgb="FF9CC2E5"/>
        <bgColor indexed="64"/>
      </patternFill>
    </fill>
    <fill>
      <patternFill patternType="solid">
        <fgColor rgb="FFFFD965"/>
        <bgColor indexed="64"/>
      </patternFill>
    </fill>
    <fill>
      <patternFill patternType="solid">
        <fgColor rgb="FFF7CAAC"/>
        <bgColor indexed="64"/>
      </patternFill>
    </fill>
    <fill>
      <patternFill patternType="solid">
        <fgColor rgb="FF92D050"/>
        <bgColor indexed="64"/>
      </patternFill>
    </fill>
    <fill>
      <patternFill patternType="solid">
        <fgColor rgb="FFC55A11"/>
        <bgColor indexed="64"/>
      </patternFill>
    </fill>
    <fill>
      <patternFill patternType="solid">
        <fgColor rgb="FFF4B083"/>
        <bgColor indexed="64"/>
      </patternFill>
    </fill>
    <fill>
      <patternFill patternType="solid">
        <fgColor theme="0"/>
        <bgColor indexed="64"/>
      </patternFill>
    </fill>
    <fill>
      <patternFill patternType="solid">
        <fgColor theme="7" tint="0.39997558519241921"/>
        <bgColor indexed="64"/>
      </patternFill>
    </fill>
    <fill>
      <patternFill patternType="solid">
        <fgColor rgb="FFFFD966"/>
        <bgColor indexed="64"/>
      </patternFill>
    </fill>
    <fill>
      <patternFill patternType="solid">
        <fgColor rgb="FF00FF00"/>
        <bgColor indexed="64"/>
      </patternFill>
    </fill>
    <fill>
      <patternFill patternType="solid">
        <fgColor rgb="FFA4C2F4"/>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7"/>
        <bgColor indexed="64"/>
      </patternFill>
    </fill>
    <fill>
      <patternFill patternType="solid">
        <fgColor rgb="FFFCF6DC"/>
        <bgColor indexed="64"/>
      </patternFill>
    </fill>
    <fill>
      <patternFill patternType="solid">
        <fgColor theme="0" tint="-0.14999847407452621"/>
        <bgColor indexed="64"/>
      </patternFill>
    </fill>
    <fill>
      <patternFill patternType="solid">
        <fgColor rgb="FFF7927C"/>
        <bgColor indexed="64"/>
      </patternFill>
    </fill>
    <fill>
      <patternFill patternType="solid">
        <fgColor rgb="FFFF3BD1"/>
        <bgColor indexed="64"/>
      </patternFill>
    </fill>
    <fill>
      <patternFill patternType="solid">
        <fgColor rgb="FFCCFFF7"/>
        <bgColor indexed="64"/>
      </patternFill>
    </fill>
    <fill>
      <patternFill patternType="solid">
        <fgColor rgb="FFF77C8A"/>
        <bgColor indexed="64"/>
      </patternFill>
    </fill>
    <fill>
      <patternFill patternType="solid">
        <fgColor rgb="FF43FF0F"/>
        <bgColor indexed="64"/>
      </patternFill>
    </fill>
    <fill>
      <patternFill patternType="solid">
        <fgColor rgb="FF00F0D8"/>
        <bgColor indexed="64"/>
      </patternFill>
    </fill>
    <fill>
      <patternFill patternType="solid">
        <fgColor theme="5" tint="0.39997558519241921"/>
        <bgColor indexed="64"/>
      </patternFill>
    </fill>
    <fill>
      <patternFill patternType="solid">
        <fgColor rgb="FFA11AF0"/>
        <bgColor indexed="64"/>
      </patternFill>
    </fill>
    <fill>
      <patternFill patternType="solid">
        <fgColor theme="5" tint="0.79998168889431442"/>
        <bgColor indexed="64"/>
      </patternFill>
    </fill>
    <fill>
      <patternFill patternType="solid">
        <fgColor rgb="FFFF8000"/>
        <bgColor indexed="64"/>
      </patternFill>
    </fill>
    <fill>
      <patternFill patternType="solid">
        <fgColor rgb="FFFF0000"/>
        <bgColor indexed="64"/>
      </patternFill>
    </fill>
    <fill>
      <patternFill patternType="solid">
        <fgColor theme="8" tint="0.39997558519241921"/>
        <bgColor indexed="64"/>
      </patternFill>
    </fill>
    <fill>
      <patternFill patternType="solid">
        <fgColor rgb="FFA11AF0"/>
        <bgColor rgb="FF000000"/>
      </patternFill>
    </fill>
    <fill>
      <patternFill patternType="solid">
        <fgColor rgb="FFFF8000"/>
        <bgColor rgb="FF000000"/>
      </patternFill>
    </fill>
    <fill>
      <patternFill patternType="solid">
        <fgColor rgb="FF00B0F0"/>
        <bgColor rgb="FF000000"/>
      </patternFill>
    </fill>
    <fill>
      <patternFill patternType="solid">
        <fgColor rgb="FFFCE4D6"/>
        <bgColor rgb="FF000000"/>
      </patternFill>
    </fill>
    <fill>
      <patternFill patternType="solid">
        <fgColor rgb="FFFF00BF"/>
        <bgColor indexed="64"/>
      </patternFill>
    </fill>
    <fill>
      <patternFill patternType="solid">
        <fgColor rgb="FFFC5D60"/>
        <bgColor indexed="64"/>
      </patternFill>
    </fill>
    <fill>
      <patternFill patternType="solid">
        <fgColor theme="5"/>
        <bgColor indexed="64"/>
      </patternFill>
    </fill>
    <fill>
      <patternFill patternType="solid">
        <fgColor rgb="FF9D3BFF"/>
        <bgColor indexed="64"/>
      </patternFill>
    </fill>
  </fills>
  <borders count="5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CCCCCC"/>
      </left>
      <right/>
      <top style="thin">
        <color rgb="FF000000"/>
      </top>
      <bottom style="thin">
        <color rgb="FF000000"/>
      </bottom>
      <diagonal/>
    </border>
    <border>
      <left/>
      <right/>
      <top style="thin">
        <color rgb="FF000000"/>
      </top>
      <bottom style="thin">
        <color rgb="FF000000"/>
      </bottom>
      <diagonal/>
    </border>
    <border>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indexed="64"/>
      </left>
      <right style="thin">
        <color indexed="64"/>
      </right>
      <top/>
      <bottom/>
      <diagonal/>
    </border>
    <border>
      <left/>
      <right/>
      <top/>
      <bottom style="thin">
        <color rgb="FF000000"/>
      </bottom>
      <diagonal/>
    </border>
    <border>
      <left/>
      <right/>
      <top/>
      <bottom style="thin">
        <color indexed="64"/>
      </bottom>
      <diagonal/>
    </border>
    <border>
      <left style="thin">
        <color rgb="FFCCCCCC"/>
      </left>
      <right style="thin">
        <color rgb="FF000000"/>
      </right>
      <top style="thin">
        <color rgb="FF000000"/>
      </top>
      <bottom/>
      <diagonal/>
    </border>
    <border>
      <left style="thin">
        <color rgb="FFCCCCCC"/>
      </left>
      <right/>
      <top style="thin">
        <color rgb="FFCCCCCC"/>
      </top>
      <bottom/>
      <diagonal/>
    </border>
    <border>
      <left/>
      <right style="thin">
        <color rgb="FF000000"/>
      </right>
      <top style="thin">
        <color rgb="FFCCCCCC"/>
      </top>
      <bottom/>
      <diagonal/>
    </border>
    <border>
      <left/>
      <right/>
      <top style="thin">
        <color rgb="FF000000"/>
      </top>
      <bottom/>
      <diagonal/>
    </border>
    <border>
      <left style="thin">
        <color rgb="FF000000"/>
      </left>
      <right style="thin">
        <color rgb="FF000000"/>
      </right>
      <top/>
      <bottom style="thin">
        <color indexed="64"/>
      </bottom>
      <diagonal/>
    </border>
    <border>
      <left style="thin">
        <color rgb="FFCCCCCC"/>
      </left>
      <right/>
      <top style="thin">
        <color rgb="FF000000"/>
      </top>
      <bottom/>
      <diagonal/>
    </border>
    <border>
      <left style="thin">
        <color rgb="FFCCCCCC"/>
      </left>
      <right/>
      <top/>
      <bottom style="thin">
        <color rgb="FF000000"/>
      </bottom>
      <diagonal/>
    </border>
    <border>
      <left style="thin">
        <color rgb="FFCCCCCC"/>
      </left>
      <right/>
      <top style="thin">
        <color rgb="FFCCCCCC"/>
      </top>
      <bottom style="thin">
        <color rgb="FF000000"/>
      </bottom>
      <diagonal/>
    </border>
    <border>
      <left style="thin">
        <color rgb="FFCCCCCC"/>
      </left>
      <right style="thin">
        <color rgb="FF000000"/>
      </right>
      <top/>
      <bottom/>
      <diagonal/>
    </border>
    <border>
      <left style="thin">
        <color rgb="FFCCCCCC"/>
      </left>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rgb="FF000000"/>
      </right>
      <top style="thin">
        <color rgb="FFCCCCCC"/>
      </top>
      <bottom style="thin">
        <color rgb="FFCCCCCC"/>
      </bottom>
      <diagonal/>
    </border>
    <border>
      <left style="thin">
        <color rgb="FFCCCCCC"/>
      </left>
      <right style="thin">
        <color rgb="FFCCCCCC"/>
      </right>
      <top style="thin">
        <color rgb="FFCCCCCC"/>
      </top>
      <bottom/>
      <diagonal/>
    </border>
  </borders>
  <cellStyleXfs count="2">
    <xf numFmtId="0" fontId="0" fillId="0" borderId="0"/>
    <xf numFmtId="0" fontId="50" fillId="0" borderId="0" applyNumberFormat="0" applyFill="0" applyBorder="0" applyAlignment="0" applyProtection="0"/>
  </cellStyleXfs>
  <cellXfs count="1484">
    <xf numFmtId="0" fontId="0" fillId="0" borderId="0" xfId="0" applyFont="1" applyAlignment="1"/>
    <xf numFmtId="0" fontId="3" fillId="0" borderId="0" xfId="0" applyFont="1" applyAlignment="1">
      <alignment horizontal="center"/>
    </xf>
    <xf numFmtId="0" fontId="3" fillId="0" borderId="0" xfId="0" applyFont="1"/>
    <xf numFmtId="0" fontId="3" fillId="0" borderId="0" xfId="0" applyFont="1" applyAlignment="1">
      <alignment horizontal="left"/>
    </xf>
    <xf numFmtId="0" fontId="1" fillId="2" borderId="1" xfId="0" applyFont="1" applyFill="1" applyBorder="1" applyAlignment="1">
      <alignment horizontal="left"/>
    </xf>
    <xf numFmtId="0" fontId="0" fillId="0" borderId="0" xfId="0" applyFont="1" applyFill="1" applyAlignment="1"/>
    <xf numFmtId="0" fontId="2" fillId="2" borderId="1" xfId="0" applyFont="1" applyFill="1" applyBorder="1" applyAlignment="1">
      <alignment horizontal="center"/>
    </xf>
    <xf numFmtId="0" fontId="2" fillId="2" borderId="1" xfId="0" applyFont="1" applyFill="1" applyBorder="1" applyAlignment="1">
      <alignment horizontal="left"/>
    </xf>
    <xf numFmtId="0" fontId="2" fillId="2" borderId="2" xfId="0" applyFont="1" applyFill="1" applyBorder="1" applyAlignment="1">
      <alignment horizontal="center"/>
    </xf>
    <xf numFmtId="0" fontId="2" fillId="2" borderId="3"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4" xfId="0" applyFont="1" applyFill="1" applyBorder="1" applyAlignment="1"/>
    <xf numFmtId="0" fontId="5" fillId="4" borderId="5" xfId="0" applyFont="1" applyFill="1" applyBorder="1" applyAlignment="1">
      <alignment wrapText="1"/>
    </xf>
    <xf numFmtId="0" fontId="0" fillId="0" borderId="0" xfId="0" applyFont="1" applyFill="1" applyAlignment="1">
      <alignment horizontal="center"/>
    </xf>
    <xf numFmtId="0" fontId="0" fillId="0" borderId="0" xfId="0" applyFont="1" applyFill="1" applyAlignment="1">
      <alignment vertical="center"/>
    </xf>
    <xf numFmtId="0" fontId="0" fillId="0" borderId="0" xfId="0" applyFont="1" applyAlignment="1">
      <alignment horizontal="center" vertical="center"/>
    </xf>
    <xf numFmtId="0" fontId="10" fillId="0" borderId="15" xfId="0" applyFont="1" applyBorder="1" applyAlignment="1">
      <alignment readingOrder="1"/>
    </xf>
    <xf numFmtId="0" fontId="11" fillId="7" borderId="17" xfId="0" applyFont="1" applyFill="1" applyBorder="1" applyAlignment="1">
      <alignment readingOrder="1"/>
    </xf>
    <xf numFmtId="0" fontId="11" fillId="10" borderId="17" xfId="0" applyFont="1" applyFill="1" applyBorder="1" applyAlignment="1">
      <alignment readingOrder="1"/>
    </xf>
    <xf numFmtId="0" fontId="11" fillId="11" borderId="16" xfId="0" applyFont="1" applyFill="1" applyBorder="1" applyAlignment="1">
      <alignment readingOrder="1"/>
    </xf>
    <xf numFmtId="0" fontId="11" fillId="11" borderId="17" xfId="0" applyFont="1" applyFill="1" applyBorder="1" applyAlignment="1">
      <alignment readingOrder="1"/>
    </xf>
    <xf numFmtId="0" fontId="11" fillId="12" borderId="16" xfId="0" applyFont="1" applyFill="1" applyBorder="1" applyAlignment="1">
      <alignment readingOrder="1"/>
    </xf>
    <xf numFmtId="0" fontId="11" fillId="12" borderId="17" xfId="0" applyFont="1" applyFill="1" applyBorder="1" applyAlignment="1">
      <alignment readingOrder="1"/>
    </xf>
    <xf numFmtId="0" fontId="11" fillId="13" borderId="16" xfId="0" applyFont="1" applyFill="1" applyBorder="1" applyAlignment="1">
      <alignment readingOrder="1"/>
    </xf>
    <xf numFmtId="0" fontId="11" fillId="13" borderId="17" xfId="0" applyFont="1" applyFill="1" applyBorder="1" applyAlignment="1">
      <alignment readingOrder="1"/>
    </xf>
    <xf numFmtId="0" fontId="11" fillId="14" borderId="16" xfId="0" applyFont="1" applyFill="1" applyBorder="1" applyAlignment="1">
      <alignment readingOrder="1"/>
    </xf>
    <xf numFmtId="0" fontId="11" fillId="15" borderId="17" xfId="0" applyFont="1" applyFill="1" applyBorder="1" applyAlignment="1">
      <alignment readingOrder="1"/>
    </xf>
    <xf numFmtId="0" fontId="11" fillId="5" borderId="16" xfId="0" applyFont="1" applyFill="1" applyBorder="1" applyAlignment="1">
      <alignment readingOrder="1"/>
    </xf>
    <xf numFmtId="0" fontId="10" fillId="0" borderId="20" xfId="0" applyFont="1" applyBorder="1" applyAlignment="1">
      <alignment readingOrder="1"/>
    </xf>
    <xf numFmtId="0" fontId="10" fillId="0" borderId="21" xfId="0" applyFont="1" applyBorder="1" applyAlignment="1">
      <alignment readingOrder="1"/>
    </xf>
    <xf numFmtId="0" fontId="10" fillId="0" borderId="22" xfId="0" applyFont="1" applyBorder="1" applyAlignment="1">
      <alignment readingOrder="1"/>
    </xf>
    <xf numFmtId="0" fontId="10" fillId="0" borderId="19" xfId="0" applyFont="1" applyBorder="1" applyAlignment="1">
      <alignment readingOrder="1"/>
    </xf>
    <xf numFmtId="0" fontId="10" fillId="0" borderId="17" xfId="0" applyFont="1" applyBorder="1" applyAlignment="1">
      <alignment readingOrder="1"/>
    </xf>
    <xf numFmtId="0" fontId="13" fillId="6" borderId="17" xfId="0" applyFont="1" applyFill="1" applyBorder="1" applyAlignment="1">
      <alignment horizontal="center" wrapText="1" readingOrder="1"/>
    </xf>
    <xf numFmtId="0" fontId="11" fillId="6" borderId="19" xfId="0" applyFont="1" applyFill="1" applyBorder="1" applyAlignment="1">
      <alignment horizontal="center" readingOrder="1"/>
    </xf>
    <xf numFmtId="0" fontId="11" fillId="6" borderId="17" xfId="0" applyFont="1" applyFill="1" applyBorder="1" applyAlignment="1">
      <alignment horizontal="center" readingOrder="1"/>
    </xf>
    <xf numFmtId="0" fontId="10" fillId="0" borderId="21" xfId="0" applyFont="1" applyBorder="1" applyAlignment="1">
      <alignment horizontal="center" readingOrder="1"/>
    </xf>
    <xf numFmtId="0" fontId="10" fillId="0" borderId="19" xfId="0" applyFont="1" applyBorder="1" applyAlignment="1">
      <alignment horizontal="center" readingOrder="1"/>
    </xf>
    <xf numFmtId="0" fontId="0" fillId="0" borderId="0" xfId="0" applyFont="1" applyAlignment="1">
      <alignment horizontal="center"/>
    </xf>
    <xf numFmtId="0" fontId="12" fillId="5" borderId="16" xfId="0" applyFont="1" applyFill="1" applyBorder="1" applyAlignment="1">
      <alignment horizontal="center" readingOrder="1"/>
    </xf>
    <xf numFmtId="0" fontId="12" fillId="6" borderId="17" xfId="0" applyFont="1" applyFill="1" applyBorder="1" applyAlignment="1">
      <alignment horizontal="center" readingOrder="1"/>
    </xf>
    <xf numFmtId="0" fontId="14" fillId="0" borderId="5" xfId="0" applyFont="1" applyBorder="1"/>
    <xf numFmtId="0" fontId="14" fillId="0" borderId="5" xfId="0" applyFont="1" applyBorder="1" applyAlignment="1">
      <alignment horizontal="left"/>
    </xf>
    <xf numFmtId="14" fontId="14" fillId="0" borderId="5" xfId="0" applyNumberFormat="1" applyFont="1" applyBorder="1" applyAlignment="1">
      <alignment horizontal="left"/>
    </xf>
    <xf numFmtId="0" fontId="14" fillId="0" borderId="5" xfId="0" applyFont="1" applyBorder="1" applyAlignment="1">
      <alignment horizontal="left" wrapText="1"/>
    </xf>
    <xf numFmtId="0" fontId="15" fillId="0" borderId="5" xfId="0" applyFont="1" applyBorder="1" applyAlignment="1">
      <alignment horizontal="left"/>
    </xf>
    <xf numFmtId="0" fontId="15" fillId="0" borderId="5" xfId="0" applyFont="1" applyBorder="1" applyAlignment="1">
      <alignment horizontal="left" wrapText="1"/>
    </xf>
    <xf numFmtId="0" fontId="15" fillId="16" borderId="5" xfId="0" applyFont="1" applyFill="1" applyBorder="1" applyAlignment="1">
      <alignment horizontal="left" vertical="center"/>
    </xf>
    <xf numFmtId="0" fontId="14" fillId="0" borderId="5" xfId="0" applyFont="1" applyBorder="1" applyAlignment="1">
      <alignment horizontal="left" vertical="center"/>
    </xf>
    <xf numFmtId="0" fontId="14" fillId="16" borderId="5" xfId="0" applyFont="1" applyFill="1" applyBorder="1" applyAlignment="1">
      <alignment horizontal="left" vertical="center"/>
    </xf>
    <xf numFmtId="14" fontId="14" fillId="0" borderId="5" xfId="0" applyNumberFormat="1" applyFont="1" applyBorder="1" applyAlignment="1">
      <alignment horizontal="left" vertical="center"/>
    </xf>
    <xf numFmtId="0" fontId="14" fillId="0" borderId="5" xfId="0" applyFont="1" applyBorder="1" applyAlignment="1">
      <alignment horizontal="left" vertical="center" wrapText="1"/>
    </xf>
    <xf numFmtId="14" fontId="14" fillId="13" borderId="5" xfId="0" applyNumberFormat="1" applyFont="1" applyFill="1" applyBorder="1" applyAlignment="1">
      <alignment horizontal="left" vertical="center"/>
    </xf>
    <xf numFmtId="0" fontId="15" fillId="0" borderId="5" xfId="0" applyFont="1" applyBorder="1" applyAlignment="1">
      <alignment horizontal="left" vertical="center"/>
    </xf>
    <xf numFmtId="14" fontId="15" fillId="16" borderId="5" xfId="0" applyNumberFormat="1" applyFont="1" applyFill="1" applyBorder="1" applyAlignment="1">
      <alignment horizontal="left" vertical="center" wrapText="1"/>
    </xf>
    <xf numFmtId="0" fontId="17" fillId="0" borderId="5" xfId="0" applyFont="1" applyBorder="1" applyAlignment="1">
      <alignment horizontal="left" vertical="center"/>
    </xf>
    <xf numFmtId="0" fontId="17" fillId="16" borderId="5" xfId="0" applyFont="1" applyFill="1" applyBorder="1" applyAlignment="1">
      <alignment horizontal="left" vertical="center"/>
    </xf>
    <xf numFmtId="0" fontId="15" fillId="16" borderId="5" xfId="0" applyFont="1" applyFill="1" applyBorder="1" applyAlignment="1">
      <alignment horizontal="left" wrapText="1"/>
    </xf>
    <xf numFmtId="0" fontId="16" fillId="0" borderId="5" xfId="0" applyFont="1" applyBorder="1" applyAlignment="1">
      <alignment horizontal="left" vertical="center"/>
    </xf>
    <xf numFmtId="0" fontId="16" fillId="0" borderId="5" xfId="0" applyFont="1" applyBorder="1" applyAlignment="1">
      <alignment horizontal="left" vertical="center" wrapText="1"/>
    </xf>
    <xf numFmtId="0" fontId="14" fillId="0" borderId="5" xfId="0" applyFont="1" applyFill="1" applyBorder="1" applyAlignment="1">
      <alignment horizontal="left" vertical="center"/>
    </xf>
    <xf numFmtId="0" fontId="15" fillId="0" borderId="5" xfId="0" applyFont="1" applyFill="1" applyBorder="1" applyAlignment="1">
      <alignment horizontal="left" wrapText="1"/>
    </xf>
    <xf numFmtId="0" fontId="19" fillId="0" borderId="5" xfId="0" applyFont="1" applyFill="1" applyBorder="1" applyAlignment="1">
      <alignment wrapText="1"/>
    </xf>
    <xf numFmtId="0" fontId="15" fillId="0" borderId="5" xfId="0" applyFont="1" applyFill="1" applyBorder="1" applyAlignment="1">
      <alignment horizontal="left" vertical="center"/>
    </xf>
    <xf numFmtId="0" fontId="15" fillId="0" borderId="5" xfId="0" applyFont="1" applyFill="1" applyBorder="1" applyAlignment="1">
      <alignment horizontal="left"/>
    </xf>
    <xf numFmtId="0" fontId="6" fillId="5" borderId="4" xfId="0" applyFont="1" applyFill="1" applyBorder="1" applyAlignment="1"/>
    <xf numFmtId="0" fontId="0" fillId="0" borderId="5" xfId="0" applyFont="1" applyFill="1" applyBorder="1" applyAlignment="1"/>
    <xf numFmtId="0" fontId="0" fillId="0" borderId="5" xfId="0" applyFont="1" applyFill="1" applyBorder="1" applyAlignment="1">
      <alignment horizontal="center"/>
    </xf>
    <xf numFmtId="0" fontId="0" fillId="0" borderId="0" xfId="0" applyFont="1" applyFill="1" applyAlignment="1">
      <alignment horizontal="left"/>
    </xf>
    <xf numFmtId="0" fontId="0" fillId="0" borderId="0" xfId="0" applyFont="1" applyFill="1" applyAlignment="1">
      <alignment horizontal="center" vertical="center"/>
    </xf>
    <xf numFmtId="0" fontId="0" fillId="16" borderId="0" xfId="0" applyFont="1" applyFill="1" applyAlignment="1"/>
    <xf numFmtId="0" fontId="0" fillId="0" borderId="1" xfId="0" applyFont="1" applyFill="1" applyBorder="1" applyAlignment="1"/>
    <xf numFmtId="0" fontId="14" fillId="0" borderId="5" xfId="0" applyFont="1" applyFill="1" applyBorder="1"/>
    <xf numFmtId="0" fontId="23" fillId="4" borderId="8" xfId="0" applyFont="1" applyFill="1" applyBorder="1"/>
    <xf numFmtId="0" fontId="23" fillId="4" borderId="8" xfId="0" applyFont="1" applyFill="1" applyBorder="1" applyAlignment="1">
      <alignment horizontal="center" vertical="center"/>
    </xf>
    <xf numFmtId="0" fontId="10" fillId="8" borderId="17" xfId="0" applyFont="1" applyFill="1" applyBorder="1" applyAlignment="1">
      <alignment readingOrder="1"/>
    </xf>
    <xf numFmtId="0" fontId="23" fillId="4" borderId="26" xfId="0" applyFont="1" applyFill="1" applyBorder="1" applyAlignment="1">
      <alignment horizontal="center" vertical="center"/>
    </xf>
    <xf numFmtId="0" fontId="23" fillId="0" borderId="8" xfId="0" applyFont="1" applyBorder="1"/>
    <xf numFmtId="0" fontId="23" fillId="4" borderId="4" xfId="0" applyFont="1" applyFill="1" applyBorder="1" applyAlignment="1">
      <alignment horizontal="center" vertical="center"/>
    </xf>
    <xf numFmtId="0" fontId="11" fillId="7" borderId="17" xfId="0" applyFont="1" applyFill="1" applyBorder="1" applyAlignment="1">
      <alignment horizontal="center" readingOrder="1"/>
    </xf>
    <xf numFmtId="0" fontId="11" fillId="10" borderId="17" xfId="0" applyFont="1" applyFill="1" applyBorder="1" applyAlignment="1">
      <alignment horizontal="center" readingOrder="1"/>
    </xf>
    <xf numFmtId="0" fontId="11" fillId="11" borderId="17" xfId="0" applyFont="1" applyFill="1" applyBorder="1" applyAlignment="1">
      <alignment horizontal="center" readingOrder="1"/>
    </xf>
    <xf numFmtId="0" fontId="11" fillId="12" borderId="17" xfId="0" applyFont="1" applyFill="1" applyBorder="1" applyAlignment="1">
      <alignment horizontal="center" readingOrder="1"/>
    </xf>
    <xf numFmtId="0" fontId="11" fillId="13" borderId="17" xfId="0" applyFont="1" applyFill="1" applyBorder="1" applyAlignment="1">
      <alignment horizontal="center" readingOrder="1"/>
    </xf>
    <xf numFmtId="0" fontId="11" fillId="15" borderId="17" xfId="0" applyFont="1" applyFill="1" applyBorder="1" applyAlignment="1">
      <alignment horizontal="center" readingOrder="1"/>
    </xf>
    <xf numFmtId="0" fontId="10" fillId="16" borderId="17" xfId="0" applyFont="1" applyFill="1" applyBorder="1" applyAlignment="1">
      <alignment horizontal="center" readingOrder="1"/>
    </xf>
    <xf numFmtId="0" fontId="24" fillId="5" borderId="8" xfId="0" applyFont="1" applyFill="1" applyBorder="1"/>
    <xf numFmtId="0" fontId="24" fillId="5" borderId="8" xfId="0" applyFont="1" applyFill="1" applyBorder="1" applyAlignment="1">
      <alignment horizontal="center" vertical="center"/>
    </xf>
    <xf numFmtId="0" fontId="22" fillId="5" borderId="16" xfId="0" applyFont="1" applyFill="1" applyBorder="1" applyAlignment="1">
      <alignment readingOrder="1"/>
    </xf>
    <xf numFmtId="0" fontId="0" fillId="26" borderId="0" xfId="0" applyFont="1" applyFill="1" applyAlignment="1"/>
    <xf numFmtId="0" fontId="0" fillId="0" borderId="5" xfId="0" applyFont="1" applyBorder="1" applyAlignment="1"/>
    <xf numFmtId="0" fontId="13" fillId="25" borderId="24" xfId="0" applyFont="1" applyFill="1" applyBorder="1" applyAlignment="1">
      <alignment horizontal="center" vertical="center" readingOrder="1"/>
    </xf>
    <xf numFmtId="0" fontId="24" fillId="5" borderId="10" xfId="0" applyFont="1" applyFill="1" applyBorder="1" applyAlignment="1">
      <alignment horizontal="center" vertical="center"/>
    </xf>
    <xf numFmtId="0" fontId="0" fillId="16" borderId="0" xfId="0" applyFont="1" applyFill="1" applyBorder="1" applyAlignment="1"/>
    <xf numFmtId="0" fontId="24" fillId="5" borderId="5" xfId="0" applyFont="1" applyFill="1" applyBorder="1" applyAlignment="1">
      <alignment horizontal="center" vertical="center"/>
    </xf>
    <xf numFmtId="0" fontId="13" fillId="25" borderId="24" xfId="0" applyFont="1" applyFill="1" applyBorder="1" applyAlignment="1">
      <alignment horizontal="center" vertical="center" wrapText="1" readingOrder="1"/>
    </xf>
    <xf numFmtId="0" fontId="13" fillId="25" borderId="31" xfId="0" applyFont="1" applyFill="1" applyBorder="1" applyAlignment="1">
      <alignment horizontal="center" vertical="center" wrapText="1" readingOrder="1"/>
    </xf>
    <xf numFmtId="0" fontId="0" fillId="0" borderId="5" xfId="0" applyFont="1" applyBorder="1" applyAlignment="1">
      <alignment horizontal="center"/>
    </xf>
    <xf numFmtId="0" fontId="22" fillId="5" borderId="17" xfId="0" applyFont="1" applyFill="1" applyBorder="1" applyAlignment="1">
      <alignment horizontal="center" vertical="center" readingOrder="1"/>
    </xf>
    <xf numFmtId="0" fontId="32" fillId="16" borderId="0" xfId="0" applyFont="1" applyFill="1" applyBorder="1" applyAlignment="1"/>
    <xf numFmtId="0" fontId="32" fillId="0" borderId="0" xfId="0" applyFont="1" applyAlignment="1"/>
    <xf numFmtId="0" fontId="0" fillId="16" borderId="0" xfId="0" applyFont="1" applyFill="1" applyAlignment="1">
      <alignment horizontal="center"/>
    </xf>
    <xf numFmtId="0" fontId="23" fillId="16" borderId="8" xfId="0" applyFont="1" applyFill="1" applyBorder="1"/>
    <xf numFmtId="0" fontId="23" fillId="16" borderId="8" xfId="0" applyFont="1" applyFill="1" applyBorder="1" applyAlignment="1">
      <alignment horizontal="center" vertical="center"/>
    </xf>
    <xf numFmtId="0" fontId="10" fillId="16" borderId="25" xfId="0" applyFont="1" applyFill="1" applyBorder="1" applyAlignment="1">
      <alignment horizontal="center" readingOrder="1"/>
    </xf>
    <xf numFmtId="0" fontId="10" fillId="16" borderId="25" xfId="0" applyFont="1" applyFill="1" applyBorder="1" applyAlignment="1">
      <alignment readingOrder="1"/>
    </xf>
    <xf numFmtId="0" fontId="10" fillId="5" borderId="27" xfId="0" applyFont="1" applyFill="1" applyBorder="1" applyAlignment="1">
      <alignment horizontal="center" vertical="center" wrapText="1" readingOrder="1"/>
    </xf>
    <xf numFmtId="1" fontId="6" fillId="5" borderId="40" xfId="0" applyNumberFormat="1" applyFont="1" applyFill="1" applyBorder="1" applyAlignment="1">
      <alignment horizontal="center"/>
    </xf>
    <xf numFmtId="0" fontId="0" fillId="16" borderId="0" xfId="0" applyFont="1" applyFill="1" applyAlignment="1">
      <alignment horizontal="left"/>
    </xf>
    <xf numFmtId="0" fontId="9" fillId="5" borderId="5" xfId="0" applyFont="1" applyFill="1" applyBorder="1" applyAlignment="1">
      <alignment horizontal="center" vertical="center"/>
    </xf>
    <xf numFmtId="14" fontId="34" fillId="0" borderId="5" xfId="0" applyNumberFormat="1" applyFont="1" applyBorder="1" applyAlignment="1">
      <alignment horizontal="left" vertical="center" wrapText="1"/>
    </xf>
    <xf numFmtId="0" fontId="14" fillId="0" borderId="1" xfId="0" applyFont="1" applyBorder="1" applyAlignment="1">
      <alignment horizontal="left"/>
    </xf>
    <xf numFmtId="0" fontId="14" fillId="0" borderId="0" xfId="0" applyFont="1"/>
    <xf numFmtId="14" fontId="14" fillId="0" borderId="1" xfId="0" applyNumberFormat="1" applyFont="1" applyBorder="1" applyAlignment="1">
      <alignment horizontal="left"/>
    </xf>
    <xf numFmtId="14" fontId="14" fillId="0" borderId="5" xfId="0" applyNumberFormat="1" applyFont="1" applyBorder="1"/>
    <xf numFmtId="0" fontId="17" fillId="0" borderId="5" xfId="0" applyFont="1" applyBorder="1"/>
    <xf numFmtId="14" fontId="17" fillId="0" borderId="5" xfId="0" applyNumberFormat="1" applyFont="1" applyBorder="1"/>
    <xf numFmtId="0" fontId="16" fillId="0" borderId="5" xfId="0" applyFont="1" applyBorder="1"/>
    <xf numFmtId="0" fontId="14" fillId="0" borderId="7" xfId="0" applyFont="1" applyBorder="1"/>
    <xf numFmtId="0" fontId="17" fillId="16" borderId="5" xfId="0" applyFont="1" applyFill="1" applyBorder="1"/>
    <xf numFmtId="0" fontId="14" fillId="0" borderId="1" xfId="0" applyFont="1" applyBorder="1"/>
    <xf numFmtId="0" fontId="15" fillId="0" borderId="5" xfId="0" applyFont="1" applyBorder="1"/>
    <xf numFmtId="0" fontId="15" fillId="16" borderId="5" xfId="0" applyFont="1" applyFill="1" applyBorder="1" applyAlignment="1">
      <alignment wrapText="1"/>
    </xf>
    <xf numFmtId="0" fontId="15" fillId="0" borderId="5" xfId="0" applyFont="1" applyBorder="1" applyAlignment="1">
      <alignment wrapText="1"/>
    </xf>
    <xf numFmtId="0" fontId="17" fillId="0" borderId="7" xfId="0" applyFont="1" applyBorder="1"/>
    <xf numFmtId="0" fontId="15" fillId="0" borderId="39" xfId="0" applyFont="1" applyBorder="1"/>
    <xf numFmtId="0" fontId="15" fillId="16" borderId="42" xfId="0" applyFont="1" applyFill="1" applyBorder="1"/>
    <xf numFmtId="0" fontId="15" fillId="0" borderId="7" xfId="0" applyFont="1" applyBorder="1"/>
    <xf numFmtId="0" fontId="15" fillId="16" borderId="7" xfId="0" applyFont="1" applyFill="1" applyBorder="1"/>
    <xf numFmtId="0" fontId="15" fillId="16" borderId="39" xfId="0" applyFont="1" applyFill="1" applyBorder="1"/>
    <xf numFmtId="14" fontId="14" fillId="5" borderId="5" xfId="0" applyNumberFormat="1" applyFont="1" applyFill="1" applyBorder="1" applyAlignment="1">
      <alignment horizontal="left"/>
    </xf>
    <xf numFmtId="0" fontId="17" fillId="0" borderId="5" xfId="0" applyFont="1" applyBorder="1" applyAlignment="1">
      <alignment horizontal="left"/>
    </xf>
    <xf numFmtId="14" fontId="17" fillId="0" borderId="5" xfId="0" applyNumberFormat="1" applyFont="1" applyBorder="1" applyAlignment="1">
      <alignment horizontal="left"/>
    </xf>
    <xf numFmtId="0" fontId="15" fillId="0" borderId="7" xfId="0" applyFont="1" applyBorder="1" applyAlignment="1">
      <alignment horizontal="left"/>
    </xf>
    <xf numFmtId="0" fontId="15" fillId="0" borderId="43" xfId="0" applyFont="1" applyBorder="1" applyAlignment="1">
      <alignment horizontal="left"/>
    </xf>
    <xf numFmtId="0" fontId="15" fillId="0" borderId="6" xfId="0" applyFont="1" applyBorder="1"/>
    <xf numFmtId="0" fontId="17" fillId="16" borderId="5" xfId="0" applyFont="1" applyFill="1" applyBorder="1" applyAlignment="1">
      <alignment horizontal="left"/>
    </xf>
    <xf numFmtId="0" fontId="35" fillId="0" borderId="5" xfId="0" applyFont="1" applyBorder="1" applyAlignment="1">
      <alignment horizontal="left"/>
    </xf>
    <xf numFmtId="0" fontId="15" fillId="0" borderId="43" xfId="0" applyFont="1" applyBorder="1"/>
    <xf numFmtId="0" fontId="14" fillId="0" borderId="5" xfId="0" applyFont="1" applyBorder="1" applyAlignment="1"/>
    <xf numFmtId="0" fontId="14" fillId="0" borderId="1" xfId="0" applyFont="1" applyBorder="1" applyAlignment="1"/>
    <xf numFmtId="0" fontId="15" fillId="0" borderId="5" xfId="0" applyFont="1" applyBorder="1" applyAlignment="1"/>
    <xf numFmtId="0" fontId="16" fillId="0" borderId="5" xfId="0" applyFont="1" applyBorder="1" applyAlignment="1">
      <alignment horizontal="left"/>
    </xf>
    <xf numFmtId="0" fontId="15" fillId="0" borderId="7" xfId="0" applyFont="1" applyBorder="1" applyAlignment="1">
      <alignment wrapText="1"/>
    </xf>
    <xf numFmtId="0" fontId="15" fillId="0" borderId="42" xfId="0" applyFont="1" applyBorder="1"/>
    <xf numFmtId="0" fontId="15" fillId="0" borderId="7" xfId="0" applyFont="1" applyBorder="1" applyAlignment="1">
      <alignment horizontal="left" wrapText="1"/>
    </xf>
    <xf numFmtId="0" fontId="14" fillId="0" borderId="5" xfId="0" applyFont="1" applyBorder="1" applyAlignment="1">
      <alignment wrapText="1"/>
    </xf>
    <xf numFmtId="0" fontId="15" fillId="0" borderId="39" xfId="0" applyFont="1" applyBorder="1" applyAlignment="1">
      <alignment wrapText="1"/>
    </xf>
    <xf numFmtId="0" fontId="36" fillId="0" borderId="5" xfId="0" applyFont="1" applyBorder="1"/>
    <xf numFmtId="0" fontId="17" fillId="0" borderId="9" xfId="0" applyFont="1" applyBorder="1" applyAlignment="1">
      <alignment horizontal="left"/>
    </xf>
    <xf numFmtId="14" fontId="15" fillId="0" borderId="5" xfId="0" applyNumberFormat="1" applyFont="1" applyBorder="1" applyAlignment="1">
      <alignment horizontal="left"/>
    </xf>
    <xf numFmtId="14" fontId="15" fillId="0" borderId="5" xfId="0" applyNumberFormat="1" applyFont="1" applyFill="1" applyBorder="1" applyAlignment="1">
      <alignment horizontal="left"/>
    </xf>
    <xf numFmtId="14" fontId="17" fillId="0" borderId="5" xfId="0" applyNumberFormat="1" applyFont="1" applyFill="1" applyBorder="1" applyAlignment="1">
      <alignment horizontal="left"/>
    </xf>
    <xf numFmtId="0" fontId="15" fillId="0" borderId="5" xfId="0" applyFont="1" applyFill="1" applyBorder="1"/>
    <xf numFmtId="14" fontId="14" fillId="0" borderId="5" xfId="0" applyNumberFormat="1" applyFont="1" applyFill="1" applyBorder="1" applyAlignment="1">
      <alignment horizontal="left"/>
    </xf>
    <xf numFmtId="0" fontId="14" fillId="0" borderId="5" xfId="0" applyFont="1" applyFill="1" applyBorder="1" applyAlignment="1">
      <alignment horizontal="left"/>
    </xf>
    <xf numFmtId="14" fontId="16" fillId="0" borderId="5" xfId="0" applyNumberFormat="1" applyFont="1" applyFill="1" applyBorder="1" applyAlignment="1">
      <alignment horizontal="left"/>
    </xf>
    <xf numFmtId="0" fontId="14" fillId="0" borderId="5" xfId="0" applyFont="1" applyFill="1" applyBorder="1" applyAlignment="1">
      <alignment horizontal="center"/>
    </xf>
    <xf numFmtId="0" fontId="17" fillId="0" borderId="5" xfId="0" applyFont="1" applyFill="1" applyBorder="1" applyAlignment="1">
      <alignment horizontal="left"/>
    </xf>
    <xf numFmtId="0" fontId="17" fillId="0" borderId="5" xfId="0" applyFont="1" applyFill="1" applyBorder="1"/>
    <xf numFmtId="0" fontId="17" fillId="0" borderId="5" xfId="0" applyFont="1" applyFill="1" applyBorder="1" applyAlignment="1">
      <alignment horizontal="center"/>
    </xf>
    <xf numFmtId="0" fontId="16" fillId="0" borderId="5" xfId="0" applyFont="1" applyFill="1" applyBorder="1" applyAlignment="1">
      <alignment horizontal="left"/>
    </xf>
    <xf numFmtId="0" fontId="16" fillId="0" borderId="5" xfId="0" applyFont="1" applyFill="1" applyBorder="1"/>
    <xf numFmtId="0" fontId="16" fillId="0" borderId="5" xfId="0" applyFont="1" applyFill="1" applyBorder="1" applyAlignment="1">
      <alignment horizontal="center"/>
    </xf>
    <xf numFmtId="49" fontId="17" fillId="0" borderId="5" xfId="0" applyNumberFormat="1" applyFont="1" applyFill="1" applyBorder="1" applyAlignment="1">
      <alignment horizontal="left" wrapText="1"/>
    </xf>
    <xf numFmtId="0" fontId="14" fillId="0" borderId="7" xfId="0" applyFont="1" applyFill="1" applyBorder="1" applyAlignment="1">
      <alignment horizontal="left"/>
    </xf>
    <xf numFmtId="0" fontId="14" fillId="0" borderId="7" xfId="0" applyFont="1" applyFill="1" applyBorder="1"/>
    <xf numFmtId="0" fontId="14" fillId="0" borderId="7" xfId="0" applyFont="1" applyFill="1" applyBorder="1" applyAlignment="1">
      <alignment horizontal="center"/>
    </xf>
    <xf numFmtId="0" fontId="14" fillId="0" borderId="1" xfId="0" applyFont="1" applyFill="1" applyBorder="1"/>
    <xf numFmtId="0" fontId="14" fillId="0" borderId="1" xfId="0" applyFont="1" applyFill="1" applyBorder="1" applyAlignment="1">
      <alignment horizontal="center"/>
    </xf>
    <xf numFmtId="0" fontId="15" fillId="0" borderId="5" xfId="0" applyFont="1" applyFill="1" applyBorder="1" applyAlignment="1">
      <alignment wrapText="1"/>
    </xf>
    <xf numFmtId="0" fontId="15" fillId="0" borderId="5" xfId="0" applyFont="1" applyFill="1" applyBorder="1" applyAlignment="1">
      <alignment horizontal="center" wrapText="1"/>
    </xf>
    <xf numFmtId="0" fontId="15" fillId="0" borderId="5" xfId="0" applyFont="1" applyFill="1" applyBorder="1" applyAlignment="1">
      <alignment horizontal="center"/>
    </xf>
    <xf numFmtId="0" fontId="17" fillId="0" borderId="7" xfId="0" applyFont="1" applyFill="1" applyBorder="1" applyAlignment="1">
      <alignment horizontal="left"/>
    </xf>
    <xf numFmtId="0" fontId="17" fillId="0" borderId="7" xfId="0" applyFont="1" applyFill="1" applyBorder="1"/>
    <xf numFmtId="0" fontId="17" fillId="0" borderId="7" xfId="0" applyFont="1" applyFill="1" applyBorder="1" applyAlignment="1">
      <alignment horizontal="center"/>
    </xf>
    <xf numFmtId="0" fontId="15" fillId="0" borderId="39" xfId="0" applyFont="1" applyFill="1" applyBorder="1" applyAlignment="1">
      <alignment horizontal="left"/>
    </xf>
    <xf numFmtId="0" fontId="15" fillId="0" borderId="39" xfId="0" applyFont="1" applyFill="1" applyBorder="1"/>
    <xf numFmtId="0" fontId="15" fillId="0" borderId="39" xfId="0" applyFont="1" applyFill="1" applyBorder="1" applyAlignment="1">
      <alignment horizontal="center"/>
    </xf>
    <xf numFmtId="0" fontId="15" fillId="0" borderId="42" xfId="0" applyFont="1" applyFill="1" applyBorder="1"/>
    <xf numFmtId="0" fontId="15" fillId="0" borderId="42" xfId="0" applyFont="1" applyFill="1" applyBorder="1" applyAlignment="1">
      <alignment horizontal="center"/>
    </xf>
    <xf numFmtId="0" fontId="15" fillId="0" borderId="7" xfId="0" applyFont="1" applyFill="1" applyBorder="1" applyAlignment="1">
      <alignment horizontal="left"/>
    </xf>
    <xf numFmtId="0" fontId="15" fillId="0" borderId="7" xfId="0" applyFont="1" applyFill="1" applyBorder="1"/>
    <xf numFmtId="0" fontId="15" fillId="0" borderId="0" xfId="0" applyFont="1" applyFill="1" applyAlignment="1">
      <alignment horizontal="center"/>
    </xf>
    <xf numFmtId="0" fontId="15" fillId="0" borderId="7" xfId="0" applyFont="1" applyFill="1" applyBorder="1" applyAlignment="1">
      <alignment wrapText="1"/>
    </xf>
    <xf numFmtId="0" fontId="15" fillId="0" borderId="4" xfId="0" applyFont="1" applyFill="1" applyBorder="1" applyAlignment="1">
      <alignment horizontal="left" wrapText="1"/>
    </xf>
    <xf numFmtId="0" fontId="15" fillId="0" borderId="4" xfId="0" applyFont="1" applyFill="1" applyBorder="1" applyAlignment="1">
      <alignment wrapText="1"/>
    </xf>
    <xf numFmtId="0" fontId="15" fillId="0" borderId="4" xfId="0" applyFont="1" applyFill="1" applyBorder="1" applyAlignment="1">
      <alignment horizontal="center" wrapText="1"/>
    </xf>
    <xf numFmtId="0" fontId="15" fillId="0" borderId="8" xfId="0" applyFont="1" applyFill="1" applyBorder="1" applyAlignment="1">
      <alignment horizontal="left" wrapText="1"/>
    </xf>
    <xf numFmtId="0" fontId="15" fillId="0" borderId="8" xfId="0" applyFont="1" applyFill="1" applyBorder="1" applyAlignment="1">
      <alignment wrapText="1"/>
    </xf>
    <xf numFmtId="0" fontId="15" fillId="0" borderId="8" xfId="0" applyFont="1" applyFill="1" applyBorder="1" applyAlignment="1">
      <alignment horizontal="center" wrapText="1"/>
    </xf>
    <xf numFmtId="14" fontId="14" fillId="0" borderId="5" xfId="0" applyNumberFormat="1" applyFont="1" applyFill="1" applyBorder="1"/>
    <xf numFmtId="0" fontId="15" fillId="0" borderId="7" xfId="0" applyFont="1" applyFill="1" applyBorder="1" applyAlignment="1">
      <alignment horizontal="left" wrapText="1"/>
    </xf>
    <xf numFmtId="0" fontId="15" fillId="0" borderId="43" xfId="0" applyFont="1" applyFill="1" applyBorder="1" applyAlignment="1">
      <alignment horizontal="center"/>
    </xf>
    <xf numFmtId="0" fontId="15" fillId="0" borderId="39" xfId="0" applyFont="1" applyFill="1" applyBorder="1" applyAlignment="1">
      <alignment wrapText="1"/>
    </xf>
    <xf numFmtId="0" fontId="15" fillId="0" borderId="43" xfId="0" applyFont="1" applyFill="1" applyBorder="1"/>
    <xf numFmtId="0" fontId="15" fillId="0" borderId="42" xfId="0" applyFont="1" applyFill="1" applyBorder="1" applyAlignment="1">
      <alignment wrapText="1"/>
    </xf>
    <xf numFmtId="0" fontId="15" fillId="0" borderId="6" xfId="0" applyFont="1" applyFill="1" applyBorder="1"/>
    <xf numFmtId="0" fontId="15" fillId="0" borderId="6" xfId="0" applyFont="1" applyFill="1" applyBorder="1" applyAlignment="1">
      <alignment horizontal="center"/>
    </xf>
    <xf numFmtId="0" fontId="14" fillId="0" borderId="5" xfId="0" applyFont="1" applyFill="1" applyBorder="1" applyAlignment="1">
      <alignment wrapText="1"/>
    </xf>
    <xf numFmtId="0" fontId="35" fillId="0" borderId="5" xfId="0" applyFont="1" applyFill="1" applyBorder="1" applyAlignment="1">
      <alignment horizontal="left"/>
    </xf>
    <xf numFmtId="0" fontId="35" fillId="0" borderId="0" xfId="0" applyFont="1" applyFill="1"/>
    <xf numFmtId="0" fontId="35" fillId="0" borderId="5" xfId="0" applyFont="1" applyFill="1" applyBorder="1" applyAlignment="1">
      <alignment horizontal="center"/>
    </xf>
    <xf numFmtId="0" fontId="14" fillId="0" borderId="0" xfId="0" applyFont="1" applyFill="1"/>
    <xf numFmtId="0" fontId="18" fillId="0" borderId="0" xfId="0" applyFont="1" applyFill="1"/>
    <xf numFmtId="0" fontId="37" fillId="0" borderId="5" xfId="0" applyFont="1" applyBorder="1" applyAlignment="1">
      <alignment horizontal="left"/>
    </xf>
    <xf numFmtId="0" fontId="20" fillId="0" borderId="5" xfId="0" applyFont="1" applyBorder="1" applyAlignment="1">
      <alignment horizontal="left"/>
    </xf>
    <xf numFmtId="0" fontId="21" fillId="0" borderId="0" xfId="0" applyFont="1" applyAlignment="1">
      <alignment horizontal="left"/>
    </xf>
    <xf numFmtId="0" fontId="36" fillId="0" borderId="0" xfId="0" applyFont="1" applyAlignment="1">
      <alignment horizontal="left"/>
    </xf>
    <xf numFmtId="0" fontId="9" fillId="5" borderId="1" xfId="0" applyFont="1" applyFill="1" applyBorder="1" applyAlignment="1">
      <alignment horizontal="center" vertical="center"/>
    </xf>
    <xf numFmtId="14" fontId="17" fillId="16" borderId="5" xfId="0" applyNumberFormat="1" applyFont="1" applyFill="1" applyBorder="1" applyAlignment="1">
      <alignment wrapText="1"/>
    </xf>
    <xf numFmtId="0" fontId="16" fillId="16" borderId="5" xfId="0" applyFont="1" applyFill="1" applyBorder="1" applyAlignment="1">
      <alignment horizontal="left" vertical="center"/>
    </xf>
    <xf numFmtId="0" fontId="15" fillId="4" borderId="5" xfId="0" applyFont="1" applyFill="1" applyBorder="1" applyAlignment="1">
      <alignment horizontal="left" wrapText="1"/>
    </xf>
    <xf numFmtId="0" fontId="15" fillId="4" borderId="5" xfId="0" applyFont="1" applyFill="1" applyBorder="1" applyAlignment="1">
      <alignment horizontal="left"/>
    </xf>
    <xf numFmtId="14" fontId="14" fillId="0" borderId="5" xfId="0" applyNumberFormat="1" applyFont="1" applyFill="1" applyBorder="1" applyAlignment="1">
      <alignment horizontal="left" vertical="center"/>
    </xf>
    <xf numFmtId="0" fontId="14" fillId="0" borderId="5" xfId="0" applyFont="1" applyFill="1" applyBorder="1" applyAlignment="1">
      <alignment horizontal="left" wrapText="1"/>
    </xf>
    <xf numFmtId="14" fontId="16" fillId="0" borderId="5" xfId="0" applyNumberFormat="1" applyFont="1" applyFill="1" applyBorder="1" applyAlignment="1">
      <alignment horizontal="left" vertical="center"/>
    </xf>
    <xf numFmtId="14" fontId="17" fillId="0" borderId="5" xfId="0" applyNumberFormat="1" applyFont="1" applyFill="1" applyBorder="1" applyAlignment="1">
      <alignment horizontal="left" vertical="center"/>
    </xf>
    <xf numFmtId="0" fontId="17" fillId="0" borderId="5" xfId="0" applyFont="1" applyFill="1" applyBorder="1" applyAlignment="1">
      <alignment horizontal="left" vertical="center"/>
    </xf>
    <xf numFmtId="0" fontId="16" fillId="0" borderId="5" xfId="0" applyFont="1" applyFill="1" applyBorder="1" applyAlignment="1">
      <alignment horizontal="left" wrapText="1"/>
    </xf>
    <xf numFmtId="0" fontId="0" fillId="0" borderId="0" xfId="0" applyFont="1" applyFill="1" applyAlignment="1">
      <alignment horizontal="center" wrapText="1"/>
    </xf>
    <xf numFmtId="0" fontId="14" fillId="16" borderId="5" xfId="0" applyFont="1" applyFill="1" applyBorder="1" applyAlignment="1"/>
    <xf numFmtId="14" fontId="14" fillId="0" borderId="9" xfId="0" applyNumberFormat="1" applyFont="1" applyBorder="1" applyAlignment="1">
      <alignment horizontal="left"/>
    </xf>
    <xf numFmtId="0" fontId="14" fillId="0" borderId="9" xfId="0" applyFont="1" applyBorder="1" applyAlignment="1">
      <alignment horizontal="left"/>
    </xf>
    <xf numFmtId="14" fontId="14" fillId="5" borderId="9" xfId="0" applyNumberFormat="1" applyFont="1" applyFill="1" applyBorder="1" applyAlignment="1">
      <alignment horizontal="left"/>
    </xf>
    <xf numFmtId="14" fontId="34" fillId="0" borderId="9" xfId="0" applyNumberFormat="1" applyFont="1" applyBorder="1" applyAlignment="1">
      <alignment horizontal="left" vertical="center" wrapText="1"/>
    </xf>
    <xf numFmtId="0" fontId="14" fillId="5" borderId="9" xfId="0" applyFont="1" applyFill="1" applyBorder="1" applyAlignment="1">
      <alignment horizontal="left"/>
    </xf>
    <xf numFmtId="0" fontId="14" fillId="16" borderId="9" xfId="0" applyFont="1" applyFill="1" applyBorder="1" applyAlignment="1">
      <alignment horizontal="left"/>
    </xf>
    <xf numFmtId="0" fontId="37" fillId="0" borderId="9" xfId="0" applyFont="1" applyBorder="1" applyAlignment="1">
      <alignment horizontal="left"/>
    </xf>
    <xf numFmtId="0" fontId="37" fillId="5" borderId="9" xfId="0" applyFont="1" applyFill="1" applyBorder="1" applyAlignment="1">
      <alignment horizontal="left"/>
    </xf>
    <xf numFmtId="14" fontId="37" fillId="5" borderId="9" xfId="0" applyNumberFormat="1" applyFont="1" applyFill="1" applyBorder="1" applyAlignment="1">
      <alignment horizontal="left"/>
    </xf>
    <xf numFmtId="0" fontId="38" fillId="0" borderId="9" xfId="0" applyFont="1" applyBorder="1" applyAlignment="1">
      <alignment horizontal="left"/>
    </xf>
    <xf numFmtId="0" fontId="37" fillId="0" borderId="2" xfId="0" applyFont="1" applyBorder="1" applyAlignment="1">
      <alignment horizontal="left"/>
    </xf>
    <xf numFmtId="0" fontId="37" fillId="16" borderId="9" xfId="0" applyFont="1" applyFill="1" applyBorder="1" applyAlignment="1">
      <alignment horizontal="left"/>
    </xf>
    <xf numFmtId="14" fontId="34" fillId="5" borderId="9" xfId="0" applyNumberFormat="1" applyFont="1" applyFill="1" applyBorder="1" applyAlignment="1">
      <alignment horizontal="left" vertical="center" wrapText="1"/>
    </xf>
    <xf numFmtId="0" fontId="0" fillId="0" borderId="5" xfId="0" applyFill="1" applyBorder="1"/>
    <xf numFmtId="0" fontId="19" fillId="0" borderId="5" xfId="0" applyFont="1" applyFill="1" applyBorder="1" applyAlignment="1">
      <alignment horizontal="left" wrapText="1"/>
    </xf>
    <xf numFmtId="0" fontId="41" fillId="0" borderId="5" xfId="0" applyFont="1" applyFill="1" applyBorder="1"/>
    <xf numFmtId="0" fontId="15" fillId="16" borderId="5" xfId="0" applyFont="1" applyFill="1" applyBorder="1"/>
    <xf numFmtId="0" fontId="16" fillId="16" borderId="5" xfId="0" applyFont="1" applyFill="1" applyBorder="1"/>
    <xf numFmtId="0" fontId="17" fillId="16" borderId="7" xfId="0" applyFont="1" applyFill="1" applyBorder="1"/>
    <xf numFmtId="0" fontId="15" fillId="16" borderId="5" xfId="0" applyFont="1" applyFill="1" applyBorder="1" applyAlignment="1">
      <alignment horizontal="left"/>
    </xf>
    <xf numFmtId="14" fontId="15" fillId="16" borderId="5" xfId="0" applyNumberFormat="1" applyFont="1" applyFill="1" applyBorder="1"/>
    <xf numFmtId="0" fontId="14" fillId="16" borderId="5" xfId="0" applyFont="1" applyFill="1" applyBorder="1" applyAlignment="1">
      <alignment horizontal="left"/>
    </xf>
    <xf numFmtId="0" fontId="35" fillId="16" borderId="5" xfId="0" applyFont="1" applyFill="1" applyBorder="1" applyAlignment="1">
      <alignment horizontal="left"/>
    </xf>
    <xf numFmtId="0" fontId="17" fillId="0" borderId="1" xfId="0" applyFont="1" applyBorder="1" applyAlignment="1">
      <alignment horizontal="left"/>
    </xf>
    <xf numFmtId="0" fontId="15" fillId="0" borderId="9" xfId="0" applyFont="1" applyBorder="1" applyAlignment="1">
      <alignment horizontal="left" vertical="center"/>
    </xf>
    <xf numFmtId="0" fontId="14" fillId="0" borderId="9" xfId="0" applyFont="1" applyBorder="1" applyAlignment="1">
      <alignment horizontal="left" vertical="center"/>
    </xf>
    <xf numFmtId="0" fontId="16" fillId="0" borderId="9" xfId="0" applyFont="1" applyBorder="1" applyAlignment="1">
      <alignment horizontal="left" vertical="center"/>
    </xf>
    <xf numFmtId="0" fontId="17" fillId="0" borderId="9" xfId="0" applyFont="1" applyBorder="1" applyAlignment="1">
      <alignment horizontal="left" vertical="center"/>
    </xf>
    <xf numFmtId="0" fontId="14" fillId="0" borderId="0" xfId="0" applyFont="1" applyAlignment="1">
      <alignment horizontal="left" vertical="center"/>
    </xf>
    <xf numFmtId="14" fontId="16" fillId="0" borderId="5" xfId="0" applyNumberFormat="1" applyFont="1" applyBorder="1" applyAlignment="1">
      <alignment horizontal="left" vertical="center"/>
    </xf>
    <xf numFmtId="14" fontId="15" fillId="16" borderId="5" xfId="0" applyNumberFormat="1" applyFont="1" applyFill="1" applyBorder="1" applyAlignment="1">
      <alignment horizontal="left"/>
    </xf>
    <xf numFmtId="0" fontId="14" fillId="16" borderId="5" xfId="0" applyFont="1" applyFill="1" applyBorder="1" applyAlignment="1">
      <alignment horizontal="left" vertical="center" wrapText="1"/>
    </xf>
    <xf numFmtId="0" fontId="14" fillId="0" borderId="9" xfId="0" applyFont="1" applyFill="1" applyBorder="1" applyAlignment="1">
      <alignment horizontal="left"/>
    </xf>
    <xf numFmtId="0" fontId="14" fillId="0" borderId="6" xfId="0" applyFont="1" applyBorder="1" applyAlignment="1">
      <alignment horizontal="left" vertical="center"/>
    </xf>
    <xf numFmtId="0" fontId="14" fillId="0" borderId="6" xfId="0" applyFont="1" applyBorder="1" applyAlignment="1">
      <alignment horizontal="left"/>
    </xf>
    <xf numFmtId="0" fontId="16" fillId="0" borderId="6" xfId="0" applyFont="1" applyBorder="1" applyAlignment="1">
      <alignment horizontal="left" vertical="center"/>
    </xf>
    <xf numFmtId="0" fontId="14" fillId="0" borderId="1" xfId="0" applyFont="1" applyBorder="1" applyAlignment="1">
      <alignment horizontal="left" vertical="center"/>
    </xf>
    <xf numFmtId="0" fontId="14" fillId="0" borderId="7" xfId="0" applyFont="1" applyBorder="1" applyAlignment="1">
      <alignment horizontal="left" vertical="center"/>
    </xf>
    <xf numFmtId="14" fontId="37" fillId="5" borderId="5" xfId="0" applyNumberFormat="1" applyFont="1" applyFill="1" applyBorder="1" applyAlignment="1">
      <alignment horizontal="left"/>
    </xf>
    <xf numFmtId="0" fontId="37" fillId="5" borderId="5" xfId="0" applyFont="1" applyFill="1" applyBorder="1" applyAlignment="1">
      <alignment horizontal="left"/>
    </xf>
    <xf numFmtId="14" fontId="37" fillId="5" borderId="5" xfId="0" applyNumberFormat="1" applyFont="1" applyFill="1" applyBorder="1" applyAlignment="1">
      <alignment horizontal="left" vertical="center" wrapText="1"/>
    </xf>
    <xf numFmtId="0" fontId="42" fillId="0" borderId="5" xfId="0" applyFont="1" applyBorder="1" applyAlignment="1">
      <alignment horizontal="left" wrapText="1"/>
    </xf>
    <xf numFmtId="14" fontId="37" fillId="0" borderId="5" xfId="0" applyNumberFormat="1" applyFont="1" applyBorder="1" applyAlignment="1">
      <alignment horizontal="left" vertical="center" wrapText="1"/>
    </xf>
    <xf numFmtId="0" fontId="43" fillId="0" borderId="5" xfId="0" applyFont="1" applyBorder="1" applyAlignment="1">
      <alignment horizontal="left"/>
    </xf>
    <xf numFmtId="0" fontId="44" fillId="0" borderId="5" xfId="0" applyFont="1" applyBorder="1" applyAlignment="1">
      <alignment horizontal="left"/>
    </xf>
    <xf numFmtId="14" fontId="17" fillId="5" borderId="5" xfId="0" applyNumberFormat="1" applyFont="1" applyFill="1" applyBorder="1" applyAlignment="1">
      <alignment horizontal="left"/>
    </xf>
    <xf numFmtId="0" fontId="43" fillId="16" borderId="5" xfId="0" applyFont="1" applyFill="1" applyBorder="1" applyAlignment="1">
      <alignment horizontal="left"/>
    </xf>
    <xf numFmtId="0" fontId="45" fillId="4" borderId="4" xfId="0" applyFont="1" applyFill="1" applyBorder="1" applyAlignment="1">
      <alignment horizontal="left" wrapText="1"/>
    </xf>
    <xf numFmtId="0" fontId="37" fillId="16" borderId="5" xfId="0" applyFont="1" applyFill="1" applyBorder="1" applyAlignment="1">
      <alignment horizontal="left"/>
    </xf>
    <xf numFmtId="0" fontId="46" fillId="0" borderId="8" xfId="0" applyFont="1" applyBorder="1" applyAlignment="1">
      <alignment horizontal="left" wrapText="1"/>
    </xf>
    <xf numFmtId="0" fontId="0" fillId="5" borderId="0" xfId="0" applyFill="1" applyAlignment="1">
      <alignment wrapText="1"/>
    </xf>
    <xf numFmtId="0" fontId="47" fillId="16" borderId="4" xfId="0" applyFont="1" applyFill="1" applyBorder="1"/>
    <xf numFmtId="0" fontId="47" fillId="16" borderId="8" xfId="0" applyFont="1" applyFill="1" applyBorder="1"/>
    <xf numFmtId="0" fontId="48" fillId="0" borderId="8" xfId="0" applyFont="1" applyBorder="1"/>
    <xf numFmtId="0" fontId="48" fillId="16" borderId="8" xfId="0" applyFont="1" applyFill="1" applyBorder="1"/>
    <xf numFmtId="0" fontId="47" fillId="0" borderId="39" xfId="0" applyFont="1" applyBorder="1"/>
    <xf numFmtId="14" fontId="5" fillId="3" borderId="5" xfId="0" applyNumberFormat="1" applyFont="1" applyFill="1" applyBorder="1"/>
    <xf numFmtId="0" fontId="45" fillId="0" borderId="6" xfId="0" applyFont="1" applyBorder="1"/>
    <xf numFmtId="0" fontId="5" fillId="0" borderId="7" xfId="0" applyFont="1" applyBorder="1"/>
    <xf numFmtId="0" fontId="45" fillId="0" borderId="43" xfId="0" applyFont="1" applyBorder="1"/>
    <xf numFmtId="0" fontId="5" fillId="0" borderId="41" xfId="0" applyFont="1" applyBorder="1"/>
    <xf numFmtId="0" fontId="45" fillId="0" borderId="45" xfId="0" applyFont="1" applyBorder="1"/>
    <xf numFmtId="0" fontId="5" fillId="0" borderId="4" xfId="0" applyFont="1" applyBorder="1"/>
    <xf numFmtId="0" fontId="45" fillId="0" borderId="42" xfId="0" applyFont="1" applyBorder="1"/>
    <xf numFmtId="0" fontId="5" fillId="0" borderId="8" xfId="0" applyFont="1" applyBorder="1"/>
    <xf numFmtId="0" fontId="45" fillId="0" borderId="39" xfId="0" applyFont="1" applyBorder="1"/>
    <xf numFmtId="0" fontId="47" fillId="0" borderId="42" xfId="0" applyFont="1" applyBorder="1"/>
    <xf numFmtId="0" fontId="48" fillId="0" borderId="39" xfId="0" applyFont="1" applyBorder="1"/>
    <xf numFmtId="0" fontId="42" fillId="0" borderId="5" xfId="0" applyFont="1" applyBorder="1" applyAlignment="1">
      <alignment wrapText="1"/>
    </xf>
    <xf numFmtId="0" fontId="44" fillId="0" borderId="5" xfId="0" applyFont="1" applyBorder="1"/>
    <xf numFmtId="0" fontId="43" fillId="16" borderId="5" xfId="0" applyFont="1" applyFill="1" applyBorder="1"/>
    <xf numFmtId="0" fontId="45" fillId="4" borderId="42" xfId="0" applyFont="1" applyFill="1" applyBorder="1" applyAlignment="1">
      <alignment horizontal="left" wrapText="1"/>
    </xf>
    <xf numFmtId="0" fontId="45" fillId="4" borderId="4" xfId="0" applyFont="1" applyFill="1" applyBorder="1" applyAlignment="1">
      <alignment wrapText="1"/>
    </xf>
    <xf numFmtId="0" fontId="46" fillId="0" borderId="8" xfId="0" applyFont="1" applyBorder="1" applyAlignment="1">
      <alignment wrapText="1"/>
    </xf>
    <xf numFmtId="0" fontId="14" fillId="16" borderId="5" xfId="0" applyFont="1" applyFill="1" applyBorder="1"/>
    <xf numFmtId="14" fontId="43" fillId="0" borderId="5" xfId="0" applyNumberFormat="1" applyFont="1" applyBorder="1" applyAlignment="1">
      <alignment horizontal="left"/>
    </xf>
    <xf numFmtId="14" fontId="44" fillId="0" borderId="5" xfId="0" applyNumberFormat="1" applyFont="1" applyBorder="1" applyAlignment="1">
      <alignment horizontal="left"/>
    </xf>
    <xf numFmtId="14" fontId="44" fillId="0" borderId="44" xfId="0" applyNumberFormat="1" applyFont="1" applyBorder="1" applyAlignment="1">
      <alignment horizontal="left"/>
    </xf>
    <xf numFmtId="14" fontId="45" fillId="0" borderId="6" xfId="0" applyNumberFormat="1" applyFont="1" applyBorder="1"/>
    <xf numFmtId="14" fontId="45" fillId="0" borderId="43" xfId="0" applyNumberFormat="1" applyFont="1" applyBorder="1"/>
    <xf numFmtId="14" fontId="45" fillId="0" borderId="45" xfId="0" applyNumberFormat="1" applyFont="1" applyBorder="1"/>
    <xf numFmtId="14" fontId="45" fillId="0" borderId="42" xfId="0" applyNumberFormat="1" applyFont="1" applyBorder="1"/>
    <xf numFmtId="14" fontId="45" fillId="0" borderId="39" xfId="0" applyNumberFormat="1" applyFont="1" applyBorder="1"/>
    <xf numFmtId="0" fontId="21" fillId="0" borderId="0" xfId="0" applyFont="1"/>
    <xf numFmtId="0" fontId="17" fillId="0" borderId="5" xfId="0" applyFont="1" applyBorder="1" applyAlignment="1">
      <alignment horizontal="left" wrapText="1"/>
    </xf>
    <xf numFmtId="17" fontId="15" fillId="16" borderId="5" xfId="0" applyNumberFormat="1" applyFont="1" applyFill="1" applyBorder="1" applyAlignment="1">
      <alignment horizontal="center"/>
    </xf>
    <xf numFmtId="17" fontId="17" fillId="0" borderId="5" xfId="0" applyNumberFormat="1" applyFont="1" applyBorder="1" applyAlignment="1">
      <alignment horizontal="center"/>
    </xf>
    <xf numFmtId="17" fontId="15" fillId="16" borderId="7" xfId="0" applyNumberFormat="1" applyFont="1" applyFill="1" applyBorder="1" applyAlignment="1">
      <alignment horizontal="center"/>
    </xf>
    <xf numFmtId="17" fontId="16" fillId="16" borderId="5" xfId="0" applyNumberFormat="1" applyFont="1" applyFill="1" applyBorder="1" applyAlignment="1">
      <alignment horizontal="center"/>
    </xf>
    <xf numFmtId="17" fontId="17" fillId="16" borderId="5" xfId="0" applyNumberFormat="1" applyFont="1" applyFill="1" applyBorder="1" applyAlignment="1">
      <alignment horizontal="center"/>
    </xf>
    <xf numFmtId="17" fontId="16" fillId="28" borderId="5" xfId="0" applyNumberFormat="1" applyFont="1" applyFill="1" applyBorder="1" applyAlignment="1">
      <alignment horizontal="center"/>
    </xf>
    <xf numFmtId="17" fontId="17" fillId="16" borderId="7" xfId="0" applyNumberFormat="1" applyFont="1" applyFill="1" applyBorder="1" applyAlignment="1">
      <alignment horizontal="center"/>
    </xf>
    <xf numFmtId="17" fontId="15" fillId="28" borderId="39" xfId="0" applyNumberFormat="1" applyFont="1" applyFill="1" applyBorder="1" applyAlignment="1">
      <alignment horizontal="center"/>
    </xf>
    <xf numFmtId="17" fontId="14" fillId="28" borderId="5" xfId="0" applyNumberFormat="1" applyFont="1" applyFill="1" applyBorder="1" applyAlignment="1">
      <alignment horizontal="center"/>
    </xf>
    <xf numFmtId="17" fontId="15" fillId="16" borderId="5" xfId="0" applyNumberFormat="1" applyFont="1" applyFill="1" applyBorder="1" applyAlignment="1">
      <alignment horizontal="center" wrapText="1"/>
    </xf>
    <xf numFmtId="17" fontId="14" fillId="0" borderId="5" xfId="0" applyNumberFormat="1" applyFont="1" applyBorder="1" applyAlignment="1">
      <alignment horizontal="center"/>
    </xf>
    <xf numFmtId="0" fontId="43" fillId="0" borderId="5" xfId="0" applyFont="1" applyBorder="1" applyAlignment="1">
      <alignment horizontal="center"/>
    </xf>
    <xf numFmtId="0" fontId="14" fillId="0" borderId="5" xfId="0" applyFont="1" applyBorder="1" applyAlignment="1">
      <alignment horizontal="center"/>
    </xf>
    <xf numFmtId="0" fontId="15" fillId="4" borderId="8" xfId="0" applyFont="1" applyFill="1" applyBorder="1" applyAlignment="1">
      <alignment horizontal="left" wrapText="1"/>
    </xf>
    <xf numFmtId="14" fontId="15" fillId="4" borderId="39" xfId="0" applyNumberFormat="1" applyFont="1" applyFill="1" applyBorder="1" applyAlignment="1">
      <alignment horizontal="left" wrapText="1"/>
    </xf>
    <xf numFmtId="0" fontId="15" fillId="4" borderId="39" xfId="0" applyFont="1" applyFill="1" applyBorder="1" applyAlignment="1">
      <alignment horizontal="left" wrapText="1"/>
    </xf>
    <xf numFmtId="0" fontId="15" fillId="4" borderId="39" xfId="0" applyFont="1" applyFill="1" applyBorder="1" applyAlignment="1">
      <alignment horizontal="center" wrapText="1"/>
    </xf>
    <xf numFmtId="0" fontId="15" fillId="0" borderId="5" xfId="0" applyFont="1" applyBorder="1" applyAlignment="1">
      <alignment horizontal="left" vertical="center" wrapText="1"/>
    </xf>
    <xf numFmtId="0" fontId="15" fillId="4" borderId="4" xfId="0" applyFont="1" applyFill="1" applyBorder="1" applyAlignment="1">
      <alignment horizontal="left" wrapText="1"/>
    </xf>
    <xf numFmtId="0" fontId="15" fillId="4" borderId="42" xfId="0" applyFont="1" applyFill="1" applyBorder="1" applyAlignment="1">
      <alignment horizontal="left" wrapText="1"/>
    </xf>
    <xf numFmtId="0" fontId="15" fillId="4" borderId="42" xfId="0" applyFont="1" applyFill="1" applyBorder="1" applyAlignment="1">
      <alignment horizontal="center" wrapText="1"/>
    </xf>
    <xf numFmtId="0" fontId="51" fillId="0" borderId="5" xfId="1" applyFont="1" applyBorder="1" applyAlignment="1">
      <alignment horizontal="left"/>
    </xf>
    <xf numFmtId="0" fontId="15" fillId="4" borderId="8" xfId="0" applyFont="1" applyFill="1" applyBorder="1" applyAlignment="1">
      <alignment horizontal="center" wrapText="1"/>
    </xf>
    <xf numFmtId="0" fontId="47" fillId="0" borderId="5" xfId="0" applyFont="1" applyBorder="1"/>
    <xf numFmtId="0" fontId="47" fillId="4" borderId="8" xfId="0" applyFont="1" applyFill="1" applyBorder="1" applyAlignment="1">
      <alignment wrapText="1"/>
    </xf>
    <xf numFmtId="0" fontId="47" fillId="4" borderId="39" xfId="0" applyFont="1" applyFill="1" applyBorder="1" applyAlignment="1">
      <alignment wrapText="1"/>
    </xf>
    <xf numFmtId="0" fontId="47" fillId="4" borderId="8" xfId="0" applyFont="1" applyFill="1" applyBorder="1" applyAlignment="1">
      <alignment horizontal="center" wrapText="1"/>
    </xf>
    <xf numFmtId="0" fontId="51" fillId="0" borderId="0" xfId="1" applyFont="1"/>
    <xf numFmtId="0" fontId="15" fillId="0" borderId="8" xfId="0" applyFont="1" applyBorder="1" applyAlignment="1">
      <alignment horizontal="left" wrapText="1"/>
    </xf>
    <xf numFmtId="0" fontId="15" fillId="0" borderId="39" xfId="0" applyFont="1" applyBorder="1" applyAlignment="1">
      <alignment horizontal="left" wrapText="1"/>
    </xf>
    <xf numFmtId="0" fontId="15" fillId="0" borderId="39" xfId="0" applyFont="1" applyBorder="1" applyAlignment="1">
      <alignment horizontal="center" wrapText="1"/>
    </xf>
    <xf numFmtId="0" fontId="15" fillId="4" borderId="0" xfId="0" applyFont="1" applyFill="1" applyAlignment="1">
      <alignment horizontal="left" wrapText="1"/>
    </xf>
    <xf numFmtId="0" fontId="15" fillId="4" borderId="0" xfId="0" applyFont="1" applyFill="1" applyAlignment="1">
      <alignment horizontal="center" wrapText="1"/>
    </xf>
    <xf numFmtId="0" fontId="15" fillId="4" borderId="4" xfId="0" applyFont="1" applyFill="1" applyBorder="1" applyAlignment="1">
      <alignment horizontal="center" wrapText="1"/>
    </xf>
    <xf numFmtId="0" fontId="15" fillId="0" borderId="4" xfId="0" applyFont="1" applyBorder="1" applyAlignment="1">
      <alignment horizontal="left" wrapText="1"/>
    </xf>
    <xf numFmtId="0" fontId="15" fillId="0" borderId="0" xfId="0" applyFont="1" applyAlignment="1">
      <alignment horizontal="left" wrapText="1"/>
    </xf>
    <xf numFmtId="14" fontId="17" fillId="0" borderId="5" xfId="0" applyNumberFormat="1" applyFont="1" applyBorder="1" applyAlignment="1">
      <alignment horizontal="left" vertical="center"/>
    </xf>
    <xf numFmtId="0" fontId="17" fillId="0" borderId="5" xfId="0" applyFont="1" applyBorder="1" applyAlignment="1">
      <alignment horizontal="left" vertical="center" wrapText="1"/>
    </xf>
    <xf numFmtId="0" fontId="40" fillId="4" borderId="0" xfId="0" applyFont="1" applyFill="1" applyAlignment="1">
      <alignment horizontal="left" wrapText="1"/>
    </xf>
    <xf numFmtId="0" fontId="40" fillId="4" borderId="8" xfId="0" applyFont="1" applyFill="1" applyBorder="1" applyAlignment="1">
      <alignment horizontal="left" wrapText="1"/>
    </xf>
    <xf numFmtId="0" fontId="40" fillId="4" borderId="39" xfId="0" applyFont="1" applyFill="1" applyBorder="1" applyAlignment="1">
      <alignment horizontal="left" wrapText="1"/>
    </xf>
    <xf numFmtId="0" fontId="40" fillId="4" borderId="4" xfId="0" applyFont="1" applyFill="1" applyBorder="1" applyAlignment="1">
      <alignment horizontal="left"/>
    </xf>
    <xf numFmtId="0" fontId="40" fillId="4" borderId="42" xfId="0" applyFont="1" applyFill="1" applyBorder="1" applyAlignment="1">
      <alignment horizontal="left"/>
    </xf>
    <xf numFmtId="0" fontId="40" fillId="0" borderId="0" xfId="0" applyFont="1" applyAlignment="1">
      <alignment horizontal="left"/>
    </xf>
    <xf numFmtId="0" fontId="45" fillId="0" borderId="7" xfId="0" applyFont="1" applyFill="1" applyBorder="1" applyAlignment="1">
      <alignment wrapText="1"/>
    </xf>
    <xf numFmtId="0" fontId="45" fillId="0" borderId="7" xfId="0" applyFont="1" applyFill="1" applyBorder="1" applyAlignment="1"/>
    <xf numFmtId="0" fontId="52" fillId="0" borderId="7" xfId="0" applyFont="1" applyFill="1" applyBorder="1" applyAlignment="1"/>
    <xf numFmtId="0" fontId="53" fillId="0" borderId="7" xfId="0" applyFont="1" applyFill="1" applyBorder="1" applyAlignment="1"/>
    <xf numFmtId="0" fontId="45" fillId="4" borderId="7" xfId="0" applyFont="1" applyFill="1" applyBorder="1" applyAlignment="1">
      <alignment wrapText="1"/>
    </xf>
    <xf numFmtId="0" fontId="45" fillId="4" borderId="7" xfId="0" applyFont="1" applyFill="1" applyBorder="1" applyAlignment="1"/>
    <xf numFmtId="0" fontId="45" fillId="0" borderId="39" xfId="0" applyFont="1" applyFill="1" applyBorder="1" applyAlignment="1"/>
    <xf numFmtId="0" fontId="53" fillId="0" borderId="39" xfId="0" applyFont="1" applyFill="1" applyBorder="1" applyAlignment="1"/>
    <xf numFmtId="0" fontId="45" fillId="0" borderId="43" xfId="0" applyFont="1" applyFill="1" applyBorder="1" applyAlignment="1"/>
    <xf numFmtId="0" fontId="45" fillId="0" borderId="45" xfId="0" applyFont="1" applyFill="1" applyBorder="1" applyAlignment="1"/>
    <xf numFmtId="0" fontId="45" fillId="0" borderId="42" xfId="0" applyFont="1" applyFill="1" applyBorder="1" applyAlignment="1"/>
    <xf numFmtId="0" fontId="45" fillId="4" borderId="8" xfId="0" applyFont="1" applyFill="1" applyBorder="1" applyAlignment="1">
      <alignment wrapText="1"/>
    </xf>
    <xf numFmtId="14" fontId="49" fillId="0" borderId="5" xfId="0" applyNumberFormat="1" applyFont="1" applyFill="1" applyBorder="1" applyAlignment="1">
      <alignment horizontal="left"/>
    </xf>
    <xf numFmtId="0" fontId="45" fillId="0" borderId="6" xfId="0" applyFont="1" applyFill="1" applyBorder="1"/>
    <xf numFmtId="0" fontId="45" fillId="0" borderId="43" xfId="0" applyFont="1" applyFill="1" applyBorder="1"/>
    <xf numFmtId="0" fontId="42" fillId="0" borderId="5" xfId="0" applyFont="1" applyFill="1" applyBorder="1" applyAlignment="1">
      <alignment horizontal="left"/>
    </xf>
    <xf numFmtId="0" fontId="44" fillId="0" borderId="5" xfId="0" applyFont="1" applyFill="1" applyBorder="1" applyAlignment="1">
      <alignment horizontal="left"/>
    </xf>
    <xf numFmtId="0" fontId="45" fillId="0" borderId="42" xfId="0" applyFont="1" applyFill="1" applyBorder="1" applyAlignment="1">
      <alignment horizontal="left"/>
    </xf>
    <xf numFmtId="0" fontId="46" fillId="0" borderId="39" xfId="0" applyFont="1" applyFill="1" applyBorder="1" applyAlignment="1">
      <alignment horizontal="left"/>
    </xf>
    <xf numFmtId="0" fontId="47" fillId="0" borderId="42" xfId="0" applyFont="1" applyFill="1" applyBorder="1"/>
    <xf numFmtId="0" fontId="47" fillId="0" borderId="39" xfId="0" applyFont="1" applyFill="1" applyBorder="1"/>
    <xf numFmtId="0" fontId="48" fillId="0" borderId="39" xfId="0" applyFont="1" applyFill="1" applyBorder="1"/>
    <xf numFmtId="0" fontId="45" fillId="0" borderId="45" xfId="0" applyFont="1" applyFill="1" applyBorder="1"/>
    <xf numFmtId="0" fontId="45" fillId="0" borderId="42" xfId="0" applyFont="1" applyFill="1" applyBorder="1"/>
    <xf numFmtId="0" fontId="45" fillId="0" borderId="39" xfId="0" applyFont="1" applyFill="1" applyBorder="1"/>
    <xf numFmtId="0" fontId="43" fillId="0" borderId="5" xfId="0" applyFont="1" applyFill="1" applyBorder="1" applyAlignment="1">
      <alignment horizontal="left"/>
    </xf>
    <xf numFmtId="0" fontId="15" fillId="0" borderId="39" xfId="0" applyFont="1" applyFill="1" applyBorder="1" applyAlignment="1">
      <alignment horizontal="left" wrapText="1"/>
    </xf>
    <xf numFmtId="0" fontId="15" fillId="0" borderId="42" xfId="0" applyFont="1" applyFill="1" applyBorder="1" applyAlignment="1">
      <alignment horizontal="left" wrapText="1"/>
    </xf>
    <xf numFmtId="0" fontId="15" fillId="0" borderId="42" xfId="0" applyFont="1" applyFill="1" applyBorder="1" applyAlignment="1">
      <alignment horizontal="left"/>
    </xf>
    <xf numFmtId="0" fontId="15" fillId="0" borderId="0" xfId="0" applyFont="1" applyFill="1" applyAlignment="1">
      <alignment horizontal="left" wrapText="1"/>
    </xf>
    <xf numFmtId="0" fontId="40" fillId="0" borderId="0" xfId="0" applyFont="1" applyFill="1" applyAlignment="1">
      <alignment horizontal="left" wrapText="1"/>
    </xf>
    <xf numFmtId="0" fontId="43" fillId="0" borderId="0" xfId="0" applyFont="1" applyFill="1"/>
    <xf numFmtId="0" fontId="47" fillId="0" borderId="5" xfId="0" applyFont="1" applyFill="1" applyBorder="1"/>
    <xf numFmtId="0" fontId="40" fillId="0" borderId="39" xfId="0" applyFont="1" applyFill="1" applyBorder="1" applyAlignment="1">
      <alignment horizontal="left" wrapText="1"/>
    </xf>
    <xf numFmtId="0" fontId="40" fillId="0" borderId="42" xfId="0" applyFont="1" applyFill="1" applyBorder="1" applyAlignment="1">
      <alignment horizontal="left"/>
    </xf>
    <xf numFmtId="0" fontId="45" fillId="0" borderId="5" xfId="0" applyFont="1" applyFill="1" applyBorder="1" applyAlignment="1"/>
    <xf numFmtId="0" fontId="53" fillId="0" borderId="5" xfId="0" applyFont="1" applyFill="1" applyBorder="1" applyAlignment="1"/>
    <xf numFmtId="0" fontId="54" fillId="4" borderId="5" xfId="0" applyFont="1" applyFill="1" applyBorder="1" applyAlignment="1">
      <alignment wrapText="1"/>
    </xf>
    <xf numFmtId="0" fontId="54" fillId="4" borderId="5" xfId="0" applyFont="1" applyFill="1" applyBorder="1" applyAlignment="1"/>
    <xf numFmtId="0" fontId="15" fillId="0" borderId="44" xfId="0" applyFont="1" applyBorder="1" applyAlignment="1">
      <alignment horizontal="left" wrapText="1"/>
    </xf>
    <xf numFmtId="0" fontId="15" fillId="4" borderId="46" xfId="0" applyFont="1" applyFill="1" applyBorder="1" applyAlignment="1">
      <alignment horizontal="left" wrapText="1"/>
    </xf>
    <xf numFmtId="0" fontId="14" fillId="0" borderId="9" xfId="0" applyFont="1" applyBorder="1" applyAlignment="1">
      <alignment horizontal="center"/>
    </xf>
    <xf numFmtId="0" fontId="15" fillId="0" borderId="10" xfId="0" applyFont="1" applyBorder="1" applyAlignment="1">
      <alignment horizontal="left" wrapText="1"/>
    </xf>
    <xf numFmtId="0" fontId="15" fillId="4" borderId="11" xfId="0" applyFont="1" applyFill="1" applyBorder="1" applyAlignment="1">
      <alignment horizontal="left" wrapText="1"/>
    </xf>
    <xf numFmtId="0" fontId="17" fillId="0" borderId="9" xfId="0" applyFont="1" applyBorder="1" applyAlignment="1">
      <alignment horizontal="center"/>
    </xf>
    <xf numFmtId="0" fontId="15" fillId="0" borderId="9" xfId="0" applyFont="1" applyBorder="1" applyAlignment="1">
      <alignment horizontal="left" wrapText="1"/>
    </xf>
    <xf numFmtId="0" fontId="47" fillId="0" borderId="9" xfId="0" applyFont="1" applyBorder="1"/>
    <xf numFmtId="0" fontId="15" fillId="0" borderId="9" xfId="0" applyFont="1" applyBorder="1" applyAlignment="1">
      <alignment horizontal="left"/>
    </xf>
    <xf numFmtId="0" fontId="40" fillId="4" borderId="10" xfId="0" applyFont="1" applyFill="1" applyBorder="1" applyAlignment="1">
      <alignment horizontal="left" wrapText="1"/>
    </xf>
    <xf numFmtId="0" fontId="40" fillId="4" borderId="11" xfId="0" applyFont="1" applyFill="1" applyBorder="1" applyAlignment="1">
      <alignment horizontal="left" wrapText="1"/>
    </xf>
    <xf numFmtId="0" fontId="40" fillId="4" borderId="11" xfId="0" applyFont="1" applyFill="1" applyBorder="1" applyAlignment="1">
      <alignment horizontal="left"/>
    </xf>
    <xf numFmtId="0" fontId="45" fillId="0" borderId="41" xfId="0" applyFont="1" applyFill="1" applyBorder="1" applyAlignment="1"/>
    <xf numFmtId="14" fontId="14" fillId="0" borderId="1" xfId="0" applyNumberFormat="1" applyFont="1" applyFill="1" applyBorder="1" applyAlignment="1">
      <alignment horizontal="left"/>
    </xf>
    <xf numFmtId="0" fontId="15" fillId="16" borderId="1" xfId="0" applyFont="1" applyFill="1" applyBorder="1" applyAlignment="1">
      <alignment horizontal="left"/>
    </xf>
    <xf numFmtId="0" fontId="15" fillId="4" borderId="9" xfId="0" applyFont="1" applyFill="1" applyBorder="1" applyAlignment="1">
      <alignment horizontal="left" wrapText="1"/>
    </xf>
    <xf numFmtId="0" fontId="50" fillId="0" borderId="5" xfId="1" applyFill="1" applyBorder="1" applyAlignment="1">
      <alignment horizontal="left"/>
    </xf>
    <xf numFmtId="0" fontId="15" fillId="4" borderId="47" xfId="0" applyFont="1" applyFill="1" applyBorder="1" applyAlignment="1">
      <alignment horizontal="left" wrapText="1"/>
    </xf>
    <xf numFmtId="0" fontId="15" fillId="4" borderId="40" xfId="0" applyFont="1" applyFill="1" applyBorder="1" applyAlignment="1">
      <alignment horizontal="left" wrapText="1"/>
    </xf>
    <xf numFmtId="0" fontId="15" fillId="4" borderId="48" xfId="0" applyFont="1" applyFill="1" applyBorder="1" applyAlignment="1">
      <alignment horizontal="left" wrapText="1"/>
    </xf>
    <xf numFmtId="0" fontId="15" fillId="0" borderId="11" xfId="0" applyFont="1" applyFill="1" applyBorder="1" applyAlignment="1">
      <alignment horizontal="left" wrapText="1"/>
    </xf>
    <xf numFmtId="0" fontId="11" fillId="29" borderId="16" xfId="0" applyFont="1" applyFill="1" applyBorder="1" applyAlignment="1">
      <alignment readingOrder="1"/>
    </xf>
    <xf numFmtId="0" fontId="15" fillId="25" borderId="5" xfId="0" applyFont="1" applyFill="1" applyBorder="1" applyAlignment="1">
      <alignment horizontal="center"/>
    </xf>
    <xf numFmtId="0" fontId="15" fillId="16" borderId="5" xfId="0" applyFont="1" applyFill="1" applyBorder="1" applyAlignment="1">
      <alignment horizontal="center"/>
    </xf>
    <xf numFmtId="0" fontId="34" fillId="16" borderId="5" xfId="0" applyFont="1" applyFill="1" applyBorder="1" applyAlignment="1">
      <alignment horizontal="center"/>
    </xf>
    <xf numFmtId="0" fontId="15" fillId="30" borderId="5" xfId="0" applyFont="1" applyFill="1" applyBorder="1" applyAlignment="1">
      <alignment horizontal="center"/>
    </xf>
    <xf numFmtId="0" fontId="15" fillId="25" borderId="1" xfId="0" applyFont="1" applyFill="1" applyBorder="1" applyAlignment="1">
      <alignment horizontal="center"/>
    </xf>
    <xf numFmtId="0" fontId="15" fillId="30" borderId="1" xfId="0" applyFont="1" applyFill="1" applyBorder="1" applyAlignment="1">
      <alignment horizontal="center"/>
    </xf>
    <xf numFmtId="14" fontId="15" fillId="16" borderId="5" xfId="0" applyNumberFormat="1" applyFont="1" applyFill="1" applyBorder="1" applyAlignment="1">
      <alignment horizontal="center"/>
    </xf>
    <xf numFmtId="0" fontId="34" fillId="0" borderId="5" xfId="0" applyFont="1" applyBorder="1" applyAlignment="1">
      <alignment horizontal="center"/>
    </xf>
    <xf numFmtId="17" fontId="15" fillId="0" borderId="5" xfId="0" applyNumberFormat="1" applyFont="1" applyBorder="1" applyAlignment="1">
      <alignment horizontal="center"/>
    </xf>
    <xf numFmtId="14" fontId="15" fillId="30" borderId="5" xfId="0" applyNumberFormat="1" applyFont="1" applyFill="1" applyBorder="1" applyAlignment="1">
      <alignment horizontal="center"/>
    </xf>
    <xf numFmtId="14" fontId="15" fillId="25" borderId="5" xfId="0" applyNumberFormat="1" applyFont="1" applyFill="1" applyBorder="1" applyAlignment="1">
      <alignment horizontal="center"/>
    </xf>
    <xf numFmtId="14" fontId="43" fillId="0" borderId="5" xfId="0" applyNumberFormat="1" applyFont="1" applyFill="1" applyBorder="1" applyAlignment="1">
      <alignment horizontal="left" vertical="center"/>
    </xf>
    <xf numFmtId="14" fontId="0" fillId="0" borderId="5" xfId="0" applyNumberFormat="1" applyFont="1" applyFill="1" applyBorder="1" applyAlignment="1"/>
    <xf numFmtId="0" fontId="14" fillId="0" borderId="9" xfId="0" applyFont="1" applyFill="1" applyBorder="1" applyAlignment="1">
      <alignment horizontal="left" wrapText="1"/>
    </xf>
    <xf numFmtId="0" fontId="16" fillId="0" borderId="9" xfId="0" applyFont="1" applyBorder="1" applyAlignment="1">
      <alignment horizontal="left"/>
    </xf>
    <xf numFmtId="0" fontId="14" fillId="0" borderId="9" xfId="0" applyFont="1" applyBorder="1" applyAlignment="1">
      <alignment horizontal="left" wrapText="1"/>
    </xf>
    <xf numFmtId="0" fontId="17" fillId="0" borderId="9" xfId="0" applyFont="1" applyBorder="1" applyAlignment="1">
      <alignment horizontal="left" wrapText="1"/>
    </xf>
    <xf numFmtId="0" fontId="15" fillId="16" borderId="5" xfId="0" applyFont="1" applyFill="1" applyBorder="1" applyAlignment="1">
      <alignment horizontal="left" vertical="center" wrapText="1"/>
    </xf>
    <xf numFmtId="0" fontId="40" fillId="0" borderId="5" xfId="0" applyFont="1" applyBorder="1" applyAlignment="1">
      <alignment horizontal="left"/>
    </xf>
    <xf numFmtId="0" fontId="16" fillId="0" borderId="7" xfId="0" applyFont="1" applyBorder="1" applyAlignment="1">
      <alignment horizontal="left" vertical="center"/>
    </xf>
    <xf numFmtId="0" fontId="14" fillId="16" borderId="1" xfId="0" applyFont="1" applyFill="1" applyBorder="1" applyAlignment="1">
      <alignment horizontal="left" vertical="center"/>
    </xf>
    <xf numFmtId="0" fontId="14" fillId="0" borderId="0" xfId="0" applyFont="1" applyAlignment="1">
      <alignment horizontal="left"/>
    </xf>
    <xf numFmtId="0" fontId="16" fillId="0" borderId="1" xfId="0" applyFont="1" applyBorder="1" applyAlignment="1">
      <alignment horizontal="left" vertical="center"/>
    </xf>
    <xf numFmtId="0" fontId="36" fillId="0" borderId="5" xfId="0" applyFont="1" applyBorder="1" applyAlignment="1">
      <alignment horizontal="left"/>
    </xf>
    <xf numFmtId="14" fontId="14" fillId="33" borderId="5" xfId="0" applyNumberFormat="1" applyFont="1" applyFill="1" applyBorder="1" applyAlignment="1">
      <alignment horizontal="left" vertical="center"/>
    </xf>
    <xf numFmtId="14" fontId="16" fillId="13" borderId="5" xfId="0" applyNumberFormat="1" applyFont="1" applyFill="1" applyBorder="1" applyAlignment="1">
      <alignment horizontal="left" vertical="center"/>
    </xf>
    <xf numFmtId="14" fontId="17" fillId="13" borderId="5" xfId="0" applyNumberFormat="1" applyFont="1" applyFill="1" applyBorder="1" applyAlignment="1">
      <alignment horizontal="left" vertical="center"/>
    </xf>
    <xf numFmtId="14" fontId="17" fillId="33" borderId="5" xfId="0" applyNumberFormat="1" applyFont="1" applyFill="1" applyBorder="1" applyAlignment="1">
      <alignment horizontal="left" vertical="center"/>
    </xf>
    <xf numFmtId="14" fontId="14" fillId="9" borderId="5" xfId="0" applyNumberFormat="1" applyFont="1" applyFill="1" applyBorder="1" applyAlignment="1">
      <alignment horizontal="left" vertical="center"/>
    </xf>
    <xf numFmtId="14" fontId="16" fillId="33" borderId="5" xfId="0" applyNumberFormat="1" applyFont="1" applyFill="1" applyBorder="1" applyAlignment="1">
      <alignment horizontal="left" vertical="center"/>
    </xf>
    <xf numFmtId="0" fontId="15" fillId="8" borderId="5" xfId="0" applyFont="1" applyFill="1" applyBorder="1" applyAlignment="1">
      <alignment horizontal="left"/>
    </xf>
    <xf numFmtId="0" fontId="16" fillId="8" borderId="5" xfId="0" applyFont="1" applyFill="1" applyBorder="1" applyAlignment="1">
      <alignment horizontal="left"/>
    </xf>
    <xf numFmtId="14" fontId="16" fillId="9" borderId="5" xfId="0" applyNumberFormat="1" applyFont="1" applyFill="1" applyBorder="1" applyAlignment="1">
      <alignment horizontal="left" vertical="center"/>
    </xf>
    <xf numFmtId="14" fontId="14" fillId="33" borderId="5" xfId="0" applyNumberFormat="1" applyFont="1" applyFill="1" applyBorder="1" applyAlignment="1">
      <alignment horizontal="left" vertical="center" wrapText="1"/>
    </xf>
    <xf numFmtId="14" fontId="15" fillId="5" borderId="5" xfId="0" applyNumberFormat="1" applyFont="1" applyFill="1" applyBorder="1" applyAlignment="1">
      <alignment horizontal="left"/>
    </xf>
    <xf numFmtId="14" fontId="15" fillId="33" borderId="5" xfId="0" applyNumberFormat="1" applyFont="1" applyFill="1" applyBorder="1" applyAlignment="1">
      <alignment horizontal="left"/>
    </xf>
    <xf numFmtId="14" fontId="15" fillId="13" borderId="5" xfId="0" applyNumberFormat="1" applyFont="1" applyFill="1" applyBorder="1" applyAlignment="1">
      <alignment horizontal="left"/>
    </xf>
    <xf numFmtId="14" fontId="14" fillId="0" borderId="5" xfId="0" applyNumberFormat="1" applyFont="1" applyBorder="1" applyAlignment="1">
      <alignment horizontal="left" vertical="center" wrapText="1"/>
    </xf>
    <xf numFmtId="14" fontId="14" fillId="35" borderId="5" xfId="0" applyNumberFormat="1" applyFont="1" applyFill="1" applyBorder="1" applyAlignment="1">
      <alignment horizontal="left"/>
    </xf>
    <xf numFmtId="0" fontId="16" fillId="0" borderId="0" xfId="0" applyFont="1" applyAlignment="1">
      <alignment horizontal="left" vertical="center"/>
    </xf>
    <xf numFmtId="14" fontId="14" fillId="33" borderId="7" xfId="0" applyNumberFormat="1" applyFont="1" applyFill="1" applyBorder="1" applyAlignment="1">
      <alignment horizontal="left" vertical="center"/>
    </xf>
    <xf numFmtId="14" fontId="14" fillId="33" borderId="0" xfId="0" applyNumberFormat="1" applyFont="1" applyFill="1" applyAlignment="1">
      <alignment horizontal="left" vertical="center"/>
    </xf>
    <xf numFmtId="14" fontId="17" fillId="9" borderId="5" xfId="0" applyNumberFormat="1" applyFont="1" applyFill="1" applyBorder="1" applyAlignment="1">
      <alignment horizontal="left" vertical="center"/>
    </xf>
    <xf numFmtId="14" fontId="14" fillId="33" borderId="6" xfId="0" applyNumberFormat="1" applyFont="1" applyFill="1" applyBorder="1" applyAlignment="1">
      <alignment horizontal="left" vertical="center"/>
    </xf>
    <xf numFmtId="14" fontId="14" fillId="9" borderId="6" xfId="0" applyNumberFormat="1" applyFont="1" applyFill="1" applyBorder="1" applyAlignment="1">
      <alignment horizontal="left" vertical="center"/>
    </xf>
    <xf numFmtId="14" fontId="14" fillId="33" borderId="41" xfId="0" applyNumberFormat="1" applyFont="1" applyFill="1" applyBorder="1" applyAlignment="1">
      <alignment horizontal="left" vertical="center"/>
    </xf>
    <xf numFmtId="0" fontId="14" fillId="0" borderId="2" xfId="0" applyFont="1" applyBorder="1" applyAlignment="1">
      <alignment horizontal="left" vertical="center"/>
    </xf>
    <xf numFmtId="14" fontId="14" fillId="13" borderId="7" xfId="0" applyNumberFormat="1" applyFont="1" applyFill="1" applyBorder="1" applyAlignment="1">
      <alignment horizontal="left" vertical="center"/>
    </xf>
    <xf numFmtId="14" fontId="14" fillId="33" borderId="1" xfId="0" applyNumberFormat="1" applyFont="1" applyFill="1" applyBorder="1" applyAlignment="1">
      <alignment horizontal="left" vertical="center"/>
    </xf>
    <xf numFmtId="14" fontId="14" fillId="0" borderId="6" xfId="0" applyNumberFormat="1" applyFont="1" applyBorder="1" applyAlignment="1">
      <alignment horizontal="left" vertical="center"/>
    </xf>
    <xf numFmtId="14" fontId="14" fillId="33" borderId="5" xfId="0" applyNumberFormat="1" applyFont="1" applyFill="1" applyBorder="1" applyAlignment="1">
      <alignment horizontal="left"/>
    </xf>
    <xf numFmtId="14" fontId="43" fillId="0" borderId="6" xfId="0" applyNumberFormat="1" applyFont="1" applyBorder="1" applyAlignment="1">
      <alignment horizontal="left" vertical="center"/>
    </xf>
    <xf numFmtId="14" fontId="14" fillId="0" borderId="7" xfId="0" applyNumberFormat="1" applyFont="1" applyBorder="1" applyAlignment="1">
      <alignment horizontal="left" vertical="center"/>
    </xf>
    <xf numFmtId="0" fontId="17" fillId="0" borderId="6" xfId="0" applyFont="1" applyBorder="1" applyAlignment="1">
      <alignment horizontal="left" vertical="center"/>
    </xf>
    <xf numFmtId="0" fontId="14" fillId="0" borderId="3" xfId="0" applyFont="1" applyBorder="1" applyAlignment="1">
      <alignment horizontal="left" vertical="center"/>
    </xf>
    <xf numFmtId="0" fontId="11" fillId="16" borderId="16" xfId="0" applyFont="1" applyFill="1" applyBorder="1" applyAlignment="1">
      <alignment readingOrder="1"/>
    </xf>
    <xf numFmtId="0" fontId="11" fillId="7" borderId="16" xfId="0" applyFont="1" applyFill="1" applyBorder="1" applyAlignment="1">
      <alignment readingOrder="1"/>
    </xf>
    <xf numFmtId="0" fontId="6" fillId="5" borderId="5" xfId="0" applyFont="1" applyFill="1" applyBorder="1" applyAlignment="1">
      <alignment horizontal="center" vertical="center" wrapText="1"/>
    </xf>
    <xf numFmtId="0" fontId="20" fillId="24" borderId="5" xfId="0" applyFont="1" applyFill="1" applyBorder="1" applyAlignment="1">
      <alignment horizontal="center"/>
    </xf>
    <xf numFmtId="0" fontId="14" fillId="16" borderId="5" xfId="0" applyFont="1" applyFill="1" applyBorder="1" applyAlignment="1">
      <alignment horizontal="center"/>
    </xf>
    <xf numFmtId="14" fontId="34" fillId="16" borderId="5" xfId="0" applyNumberFormat="1" applyFont="1" applyFill="1" applyBorder="1" applyAlignment="1">
      <alignment horizontal="center"/>
    </xf>
    <xf numFmtId="0" fontId="17" fillId="0" borderId="5" xfId="0" applyFont="1" applyBorder="1" applyAlignment="1">
      <alignment horizontal="center"/>
    </xf>
    <xf numFmtId="0" fontId="16" fillId="0" borderId="5" xfId="0" applyFont="1" applyBorder="1" applyAlignment="1">
      <alignment horizontal="center"/>
    </xf>
    <xf numFmtId="0" fontId="17" fillId="16" borderId="5" xfId="0" applyFont="1" applyFill="1" applyBorder="1" applyAlignment="1">
      <alignment horizontal="center"/>
    </xf>
    <xf numFmtId="0" fontId="14" fillId="0" borderId="1" xfId="0" applyFont="1" applyBorder="1" applyAlignment="1">
      <alignment horizontal="center"/>
    </xf>
    <xf numFmtId="0" fontId="15" fillId="16" borderId="5" xfId="0" applyFont="1" applyFill="1" applyBorder="1" applyAlignment="1">
      <alignment horizontal="center" wrapText="1"/>
    </xf>
    <xf numFmtId="0" fontId="15" fillId="0" borderId="5" xfId="0" applyFont="1" applyBorder="1" applyAlignment="1">
      <alignment horizontal="center" wrapText="1"/>
    </xf>
    <xf numFmtId="0" fontId="15" fillId="0" borderId="4" xfId="0" applyFont="1" applyBorder="1" applyAlignment="1">
      <alignment horizontal="center" wrapText="1"/>
    </xf>
    <xf numFmtId="0" fontId="15" fillId="0" borderId="8" xfId="0" applyFont="1" applyBorder="1" applyAlignment="1">
      <alignment horizontal="center" wrapText="1"/>
    </xf>
    <xf numFmtId="0" fontId="36" fillId="0" borderId="0" xfId="0" applyFont="1" applyAlignment="1">
      <alignment horizontal="center"/>
    </xf>
    <xf numFmtId="0" fontId="15" fillId="0" borderId="6" xfId="0" applyFont="1" applyBorder="1" applyAlignment="1">
      <alignment horizontal="center"/>
    </xf>
    <xf numFmtId="0" fontId="14" fillId="0" borderId="5" xfId="0" applyFont="1" applyBorder="1" applyAlignment="1">
      <alignment horizontal="center" wrapText="1"/>
    </xf>
    <xf numFmtId="0" fontId="15" fillId="0" borderId="5" xfId="0" applyFont="1" applyBorder="1" applyAlignment="1">
      <alignment horizontal="center"/>
    </xf>
    <xf numFmtId="14" fontId="14" fillId="0" borderId="6" xfId="0" applyNumberFormat="1" applyFont="1" applyFill="1" applyBorder="1" applyAlignment="1">
      <alignment horizontal="center"/>
    </xf>
    <xf numFmtId="14" fontId="17" fillId="0" borderId="5" xfId="0" applyNumberFormat="1" applyFont="1" applyFill="1" applyBorder="1" applyAlignment="1">
      <alignment horizontal="center"/>
    </xf>
    <xf numFmtId="14" fontId="16" fillId="0" borderId="6" xfId="0" applyNumberFormat="1" applyFont="1" applyFill="1" applyBorder="1" applyAlignment="1">
      <alignment horizontal="center"/>
    </xf>
    <xf numFmtId="14" fontId="15" fillId="0" borderId="5" xfId="0" applyNumberFormat="1" applyFont="1" applyFill="1" applyBorder="1" applyAlignment="1">
      <alignment horizontal="center"/>
    </xf>
    <xf numFmtId="14" fontId="15" fillId="0" borderId="1" xfId="0" applyNumberFormat="1" applyFont="1" applyFill="1" applyBorder="1" applyAlignment="1">
      <alignment horizontal="center"/>
    </xf>
    <xf numFmtId="0" fontId="14" fillId="16" borderId="1" xfId="0" applyFont="1" applyFill="1" applyBorder="1" applyAlignment="1">
      <alignment horizontal="center"/>
    </xf>
    <xf numFmtId="14" fontId="15" fillId="16" borderId="5" xfId="0" applyNumberFormat="1" applyFont="1" applyFill="1" applyBorder="1" applyAlignment="1">
      <alignment horizontal="center" wrapText="1"/>
    </xf>
    <xf numFmtId="14" fontId="14" fillId="0" borderId="5" xfId="0" applyNumberFormat="1" applyFont="1" applyBorder="1" applyAlignment="1">
      <alignment horizontal="center"/>
    </xf>
    <xf numFmtId="14" fontId="17" fillId="16" borderId="5" xfId="0" applyNumberFormat="1" applyFont="1" applyFill="1" applyBorder="1" applyAlignment="1">
      <alignment horizontal="center"/>
    </xf>
    <xf numFmtId="14" fontId="17" fillId="0" borderId="5" xfId="0" applyNumberFormat="1" applyFont="1" applyBorder="1" applyAlignment="1">
      <alignment horizontal="center"/>
    </xf>
    <xf numFmtId="14" fontId="16" fillId="0" borderId="5" xfId="0" applyNumberFormat="1" applyFont="1" applyBorder="1" applyAlignment="1">
      <alignment horizontal="center"/>
    </xf>
    <xf numFmtId="14" fontId="14" fillId="0" borderId="1" xfId="0" applyNumberFormat="1" applyFont="1" applyBorder="1" applyAlignment="1">
      <alignment horizontal="center"/>
    </xf>
    <xf numFmtId="14" fontId="15" fillId="0" borderId="5" xfId="0" applyNumberFormat="1" applyFont="1" applyBorder="1" applyAlignment="1">
      <alignment horizontal="center"/>
    </xf>
    <xf numFmtId="14" fontId="15" fillId="0" borderId="39" xfId="0" applyNumberFormat="1" applyFont="1" applyBorder="1" applyAlignment="1">
      <alignment horizontal="center"/>
    </xf>
    <xf numFmtId="14" fontId="15" fillId="16" borderId="42" xfId="0" applyNumberFormat="1" applyFont="1" applyFill="1" applyBorder="1" applyAlignment="1">
      <alignment horizontal="center"/>
    </xf>
    <xf numFmtId="0" fontId="55" fillId="0" borderId="0" xfId="0" applyFont="1" applyAlignment="1"/>
    <xf numFmtId="14" fontId="14" fillId="0" borderId="9" xfId="0" applyNumberFormat="1" applyFont="1" applyBorder="1" applyAlignment="1">
      <alignment horizontal="center"/>
    </xf>
    <xf numFmtId="0" fontId="37" fillId="0" borderId="1" xfId="0" applyFont="1" applyBorder="1" applyAlignment="1">
      <alignment horizontal="left"/>
    </xf>
    <xf numFmtId="0" fontId="14" fillId="0" borderId="7" xfId="0" applyFont="1" applyBorder="1" applyAlignment="1">
      <alignment horizontal="center"/>
    </xf>
    <xf numFmtId="0" fontId="39" fillId="0" borderId="0" xfId="0" applyFont="1" applyAlignment="1">
      <alignment horizontal="center"/>
    </xf>
    <xf numFmtId="0" fontId="17" fillId="16" borderId="5" xfId="0" applyFont="1" applyFill="1" applyBorder="1" applyAlignment="1">
      <alignment horizontal="center" wrapText="1"/>
    </xf>
    <xf numFmtId="0" fontId="17" fillId="0" borderId="7" xfId="0" applyFont="1" applyBorder="1" applyAlignment="1">
      <alignment horizontal="center"/>
    </xf>
    <xf numFmtId="0" fontId="15" fillId="0" borderId="39" xfId="0" applyFont="1" applyBorder="1" applyAlignment="1">
      <alignment horizontal="center"/>
    </xf>
    <xf numFmtId="0" fontId="0" fillId="0" borderId="1" xfId="0" applyFont="1" applyFill="1" applyBorder="1" applyAlignment="1">
      <alignment horizontal="center"/>
    </xf>
    <xf numFmtId="0" fontId="21" fillId="0" borderId="0" xfId="0" applyFont="1" applyAlignment="1">
      <alignment horizontal="center"/>
    </xf>
    <xf numFmtId="0" fontId="35" fillId="0" borderId="5" xfId="0" applyFont="1" applyBorder="1" applyAlignment="1">
      <alignment horizontal="center"/>
    </xf>
    <xf numFmtId="0" fontId="17" fillId="0" borderId="0" xfId="0" applyFont="1" applyAlignment="1">
      <alignment horizontal="center"/>
    </xf>
    <xf numFmtId="14" fontId="17" fillId="0" borderId="0" xfId="0" applyNumberFormat="1" applyFont="1" applyAlignment="1">
      <alignment horizontal="center"/>
    </xf>
    <xf numFmtId="14" fontId="14" fillId="28" borderId="5" xfId="0" applyNumberFormat="1" applyFont="1" applyFill="1" applyBorder="1" applyAlignment="1">
      <alignment horizontal="center"/>
    </xf>
    <xf numFmtId="0" fontId="35" fillId="16" borderId="5" xfId="0" applyFont="1" applyFill="1" applyBorder="1" applyAlignment="1">
      <alignment horizontal="center"/>
    </xf>
    <xf numFmtId="0" fontId="17" fillId="0" borderId="1" xfId="0" applyFont="1" applyBorder="1" applyAlignment="1">
      <alignment horizontal="center"/>
    </xf>
    <xf numFmtId="0" fontId="15" fillId="16" borderId="42" xfId="0" applyFont="1" applyFill="1" applyBorder="1" applyAlignment="1">
      <alignment horizontal="center"/>
    </xf>
    <xf numFmtId="14" fontId="14" fillId="0" borderId="7" xfId="0" applyNumberFormat="1" applyFont="1" applyBorder="1" applyAlignment="1">
      <alignment horizontal="center"/>
    </xf>
    <xf numFmtId="14" fontId="17" fillId="0" borderId="39" xfId="0" applyNumberFormat="1" applyFont="1" applyBorder="1" applyAlignment="1">
      <alignment horizontal="center"/>
    </xf>
    <xf numFmtId="14" fontId="35" fillId="0" borderId="5" xfId="0" applyNumberFormat="1" applyFont="1" applyBorder="1" applyAlignment="1">
      <alignment horizontal="center"/>
    </xf>
    <xf numFmtId="14" fontId="15" fillId="0" borderId="5" xfId="0" applyNumberFormat="1" applyFont="1" applyBorder="1" applyAlignment="1">
      <alignment horizontal="center" wrapText="1"/>
    </xf>
    <xf numFmtId="14" fontId="15" fillId="0" borderId="7" xfId="0" applyNumberFormat="1" applyFont="1" applyFill="1" applyBorder="1" applyAlignment="1">
      <alignment horizontal="center"/>
    </xf>
    <xf numFmtId="14" fontId="16" fillId="0" borderId="7" xfId="0" applyNumberFormat="1" applyFont="1" applyFill="1" applyBorder="1" applyAlignment="1">
      <alignment horizontal="center"/>
    </xf>
    <xf numFmtId="14" fontId="16" fillId="0" borderId="5" xfId="0" applyNumberFormat="1" applyFont="1" applyFill="1" applyBorder="1" applyAlignment="1">
      <alignment horizontal="center"/>
    </xf>
    <xf numFmtId="14" fontId="14" fillId="0" borderId="5" xfId="0" applyNumberFormat="1" applyFont="1" applyFill="1" applyBorder="1" applyAlignment="1">
      <alignment horizontal="center"/>
    </xf>
    <xf numFmtId="14" fontId="14" fillId="5" borderId="5" xfId="0" applyNumberFormat="1" applyFont="1" applyFill="1" applyBorder="1" applyAlignment="1">
      <alignment horizontal="center"/>
    </xf>
    <xf numFmtId="14" fontId="16" fillId="5" borderId="5" xfId="0" applyNumberFormat="1" applyFont="1" applyFill="1" applyBorder="1" applyAlignment="1">
      <alignment horizontal="center"/>
    </xf>
    <xf numFmtId="14" fontId="15" fillId="5" borderId="5" xfId="0" applyNumberFormat="1" applyFont="1" applyFill="1" applyBorder="1" applyAlignment="1">
      <alignment horizontal="center"/>
    </xf>
    <xf numFmtId="0" fontId="15" fillId="0" borderId="8" xfId="0" applyFont="1" applyBorder="1" applyAlignment="1">
      <alignment horizontal="center"/>
    </xf>
    <xf numFmtId="0" fontId="15" fillId="0" borderId="7" xfId="0" applyFont="1" applyBorder="1" applyAlignment="1">
      <alignment horizontal="center"/>
    </xf>
    <xf numFmtId="14" fontId="14" fillId="5" borderId="1" xfId="0" applyNumberFormat="1" applyFont="1" applyFill="1" applyBorder="1" applyAlignment="1">
      <alignment horizontal="center"/>
    </xf>
    <xf numFmtId="0" fontId="17" fillId="0" borderId="4" xfId="0" applyFont="1" applyBorder="1" applyAlignment="1">
      <alignment horizontal="center"/>
    </xf>
    <xf numFmtId="14" fontId="14" fillId="5" borderId="5" xfId="0" applyNumberFormat="1" applyFont="1" applyFill="1" applyBorder="1" applyAlignment="1">
      <alignment horizontal="center" vertical="center"/>
    </xf>
    <xf numFmtId="0" fontId="14" fillId="0" borderId="5" xfId="0" applyFont="1" applyBorder="1" applyAlignment="1">
      <alignment horizontal="center" vertical="center"/>
    </xf>
    <xf numFmtId="14" fontId="14" fillId="0" borderId="5" xfId="0" applyNumberFormat="1" applyFont="1" applyBorder="1" applyAlignment="1">
      <alignment horizontal="center"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14" fontId="14" fillId="13" borderId="5" xfId="0" applyNumberFormat="1" applyFont="1" applyFill="1" applyBorder="1" applyAlignment="1">
      <alignment horizontal="center" vertical="center"/>
    </xf>
    <xf numFmtId="0" fontId="15" fillId="0" borderId="5" xfId="0" applyFont="1" applyBorder="1" applyAlignment="1">
      <alignment horizontal="center" vertical="center"/>
    </xf>
    <xf numFmtId="0" fontId="14" fillId="5" borderId="5" xfId="0" applyFont="1" applyFill="1" applyBorder="1" applyAlignment="1">
      <alignment horizontal="center" vertical="center"/>
    </xf>
    <xf numFmtId="0" fontId="14" fillId="13" borderId="5" xfId="0" applyFont="1" applyFill="1" applyBorder="1" applyAlignment="1">
      <alignment horizontal="center" vertical="center"/>
    </xf>
    <xf numFmtId="14" fontId="15" fillId="13" borderId="5" xfId="0" applyNumberFormat="1" applyFont="1" applyFill="1" applyBorder="1" applyAlignment="1">
      <alignment horizontal="center" vertical="center"/>
    </xf>
    <xf numFmtId="14" fontId="15" fillId="0" borderId="5" xfId="0" applyNumberFormat="1" applyFont="1" applyBorder="1" applyAlignment="1">
      <alignment horizontal="center" vertical="center"/>
    </xf>
    <xf numFmtId="14" fontId="15" fillId="16" borderId="5" xfId="0" applyNumberFormat="1" applyFont="1" applyFill="1" applyBorder="1" applyAlignment="1">
      <alignment horizontal="center" vertical="center" wrapText="1"/>
    </xf>
    <xf numFmtId="0" fontId="17" fillId="0" borderId="5" xfId="0" applyFont="1" applyBorder="1" applyAlignment="1">
      <alignment horizontal="center" vertical="center"/>
    </xf>
    <xf numFmtId="0" fontId="14" fillId="16" borderId="5" xfId="0" applyFont="1" applyFill="1" applyBorder="1" applyAlignment="1">
      <alignment horizontal="center" vertical="center"/>
    </xf>
    <xf numFmtId="14" fontId="15" fillId="5" borderId="5" xfId="0" applyNumberFormat="1" applyFont="1" applyFill="1" applyBorder="1" applyAlignment="1">
      <alignment horizontal="center" vertical="center"/>
    </xf>
    <xf numFmtId="14" fontId="15" fillId="5" borderId="5" xfId="0" applyNumberFormat="1" applyFont="1" applyFill="1" applyBorder="1" applyAlignment="1">
      <alignment horizontal="center" vertical="center" wrapText="1"/>
    </xf>
    <xf numFmtId="14" fontId="15" fillId="0" borderId="5" xfId="0" applyNumberFormat="1" applyFont="1" applyBorder="1" applyAlignment="1">
      <alignment horizontal="center" vertical="center" wrapText="1"/>
    </xf>
    <xf numFmtId="0" fontId="15" fillId="4" borderId="5" xfId="0" applyFont="1" applyFill="1" applyBorder="1" applyAlignment="1">
      <alignment horizontal="center" wrapText="1"/>
    </xf>
    <xf numFmtId="14" fontId="17" fillId="0" borderId="5" xfId="0" applyNumberFormat="1" applyFont="1" applyBorder="1" applyAlignment="1">
      <alignment horizontal="center" vertical="center" wrapText="1"/>
    </xf>
    <xf numFmtId="14" fontId="14" fillId="5" borderId="5" xfId="0" applyNumberFormat="1" applyFont="1" applyFill="1" applyBorder="1" applyAlignment="1">
      <alignment horizontal="center" vertical="center" wrapText="1"/>
    </xf>
    <xf numFmtId="0" fontId="14" fillId="5" borderId="5" xfId="0" applyFont="1" applyFill="1" applyBorder="1" applyAlignment="1">
      <alignment horizontal="center"/>
    </xf>
    <xf numFmtId="14" fontId="16" fillId="5" borderId="5" xfId="0" applyNumberFormat="1" applyFont="1" applyFill="1" applyBorder="1" applyAlignment="1">
      <alignment horizontal="center" vertical="center"/>
    </xf>
    <xf numFmtId="0" fontId="14"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xf>
    <xf numFmtId="0" fontId="14" fillId="16" borderId="1" xfId="0" applyFont="1" applyFill="1" applyBorder="1" applyAlignment="1">
      <alignment horizontal="center" vertical="center"/>
    </xf>
    <xf numFmtId="14" fontId="17" fillId="5" borderId="5" xfId="0" applyNumberFormat="1" applyFont="1" applyFill="1" applyBorder="1" applyAlignment="1">
      <alignment horizontal="center" vertical="center" wrapText="1"/>
    </xf>
    <xf numFmtId="0" fontId="14" fillId="0" borderId="1" xfId="0" applyFont="1" applyBorder="1" applyAlignment="1">
      <alignment horizontal="center" vertical="center"/>
    </xf>
    <xf numFmtId="0" fontId="16" fillId="0" borderId="1" xfId="0" applyFont="1" applyBorder="1" applyAlignment="1">
      <alignment horizontal="center" vertical="center"/>
    </xf>
    <xf numFmtId="0" fontId="14" fillId="5" borderId="1" xfId="0" applyFont="1" applyFill="1" applyBorder="1" applyAlignment="1">
      <alignment horizontal="center" vertical="center"/>
    </xf>
    <xf numFmtId="14" fontId="34" fillId="0" borderId="5" xfId="0" applyNumberFormat="1" applyFont="1" applyBorder="1" applyAlignment="1">
      <alignment horizontal="center" vertical="center" wrapText="1"/>
    </xf>
    <xf numFmtId="0" fontId="15" fillId="16"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5" fillId="16" borderId="5" xfId="0" applyFont="1" applyFill="1" applyBorder="1" applyAlignment="1">
      <alignment horizontal="center" vertical="center"/>
    </xf>
    <xf numFmtId="0" fontId="15" fillId="28" borderId="5" xfId="0" applyFont="1" applyFill="1" applyBorder="1" applyAlignment="1">
      <alignment horizontal="center" vertical="center"/>
    </xf>
    <xf numFmtId="0" fontId="15" fillId="4" borderId="5" xfId="0" applyFont="1" applyFill="1" applyBorder="1" applyAlignment="1">
      <alignment horizontal="center"/>
    </xf>
    <xf numFmtId="0" fontId="14" fillId="28" borderId="5" xfId="0" applyFont="1" applyFill="1" applyBorder="1" applyAlignment="1">
      <alignment horizontal="center" vertical="center"/>
    </xf>
    <xf numFmtId="0" fontId="17" fillId="0" borderId="5" xfId="0" applyFont="1" applyBorder="1" applyAlignment="1">
      <alignment horizontal="center" vertical="center" wrapText="1"/>
    </xf>
    <xf numFmtId="0" fontId="14" fillId="31" borderId="5" xfId="0" applyFont="1" applyFill="1" applyBorder="1" applyAlignment="1">
      <alignment horizontal="center"/>
    </xf>
    <xf numFmtId="49" fontId="14" fillId="0" borderId="5" xfId="0" applyNumberFormat="1" applyFont="1" applyBorder="1" applyAlignment="1">
      <alignment horizontal="center" vertical="center" wrapText="1"/>
    </xf>
    <xf numFmtId="0" fontId="40" fillId="0" borderId="5" xfId="0" applyFont="1" applyBorder="1" applyAlignment="1">
      <alignment horizontal="center"/>
    </xf>
    <xf numFmtId="0" fontId="18" fillId="0" borderId="5" xfId="0" applyFont="1" applyBorder="1" applyAlignment="1">
      <alignment horizontal="center"/>
    </xf>
    <xf numFmtId="0" fontId="15" fillId="31" borderId="5" xfId="0" applyFont="1" applyFill="1" applyBorder="1" applyAlignment="1">
      <alignment horizontal="center"/>
    </xf>
    <xf numFmtId="0" fontId="14" fillId="0" borderId="0" xfId="0" applyFont="1" applyAlignment="1">
      <alignment horizontal="center" vertical="center"/>
    </xf>
    <xf numFmtId="0" fontId="17" fillId="32" borderId="5" xfId="0" applyFont="1" applyFill="1" applyBorder="1" applyAlignment="1">
      <alignment horizontal="center" vertical="center"/>
    </xf>
    <xf numFmtId="0" fontId="14" fillId="0" borderId="0" xfId="0" applyFont="1" applyAlignment="1">
      <alignment horizontal="center"/>
    </xf>
    <xf numFmtId="0" fontId="33" fillId="0" borderId="0" xfId="0" applyFont="1" applyAlignment="1">
      <alignment horizontal="center"/>
    </xf>
    <xf numFmtId="0" fontId="41" fillId="0" borderId="0" xfId="0" applyFont="1" applyAlignment="1">
      <alignment horizontal="center"/>
    </xf>
    <xf numFmtId="16" fontId="15" fillId="16" borderId="5" xfId="0" applyNumberFormat="1" applyFont="1" applyFill="1" applyBorder="1" applyAlignment="1">
      <alignment horizontal="left" vertical="center" wrapText="1"/>
    </xf>
    <xf numFmtId="0" fontId="40" fillId="16" borderId="5" xfId="0" applyFont="1" applyFill="1" applyBorder="1" applyAlignment="1">
      <alignment horizontal="left"/>
    </xf>
    <xf numFmtId="0" fontId="17" fillId="16" borderId="5" xfId="0" applyFont="1" applyFill="1" applyBorder="1" applyAlignment="1">
      <alignment horizontal="left" vertical="center" wrapText="1"/>
    </xf>
    <xf numFmtId="14" fontId="14" fillId="16" borderId="5" xfId="0" applyNumberFormat="1" applyFont="1" applyFill="1" applyBorder="1" applyAlignment="1">
      <alignment horizontal="left"/>
    </xf>
    <xf numFmtId="0" fontId="16" fillId="16" borderId="5" xfId="0" applyFont="1" applyFill="1" applyBorder="1" applyAlignment="1">
      <alignment horizontal="left" vertical="center" wrapText="1"/>
    </xf>
    <xf numFmtId="0" fontId="16" fillId="16" borderId="7" xfId="0" applyFont="1" applyFill="1" applyBorder="1" applyAlignment="1">
      <alignment horizontal="left" vertical="center"/>
    </xf>
    <xf numFmtId="0" fontId="16" fillId="16" borderId="1" xfId="0" applyFont="1" applyFill="1" applyBorder="1" applyAlignment="1">
      <alignment horizontal="left" vertical="center"/>
    </xf>
    <xf numFmtId="20" fontId="14" fillId="0" borderId="5" xfId="0" applyNumberFormat="1" applyFont="1" applyBorder="1" applyAlignment="1">
      <alignment horizontal="center" vertical="center"/>
    </xf>
    <xf numFmtId="0" fontId="15" fillId="5" borderId="5" xfId="0" applyFont="1" applyFill="1" applyBorder="1" applyAlignment="1">
      <alignment horizontal="center" vertical="center"/>
    </xf>
    <xf numFmtId="0" fontId="36" fillId="0" borderId="5" xfId="0" applyFont="1" applyBorder="1" applyAlignment="1">
      <alignment horizontal="center"/>
    </xf>
    <xf numFmtId="14" fontId="16" fillId="0" borderId="5" xfId="0" applyNumberFormat="1" applyFont="1" applyBorder="1" applyAlignment="1">
      <alignment horizontal="center" vertical="center"/>
    </xf>
    <xf numFmtId="14" fontId="17" fillId="0" borderId="5" xfId="0" applyNumberFormat="1" applyFont="1" applyBorder="1" applyAlignment="1">
      <alignment horizontal="center" vertical="center"/>
    </xf>
    <xf numFmtId="14" fontId="16" fillId="16" borderId="5" xfId="0" applyNumberFormat="1" applyFont="1" applyFill="1" applyBorder="1" applyAlignment="1">
      <alignment horizontal="center" vertical="center" wrapText="1"/>
    </xf>
    <xf numFmtId="14" fontId="15" fillId="0" borderId="5" xfId="0" applyNumberFormat="1" applyFont="1" applyBorder="1" applyAlignment="1">
      <alignment horizontal="center" vertical="center" wrapText="1" readingOrder="1"/>
    </xf>
    <xf numFmtId="14" fontId="17" fillId="0" borderId="5" xfId="0" applyNumberFormat="1" applyFont="1" applyBorder="1" applyAlignment="1">
      <alignment horizontal="center" vertical="center" wrapText="1" readingOrder="1"/>
    </xf>
    <xf numFmtId="14" fontId="16" fillId="0" borderId="5" xfId="0" applyNumberFormat="1" applyFont="1" applyBorder="1" applyAlignment="1">
      <alignment horizontal="center" vertical="center" wrapText="1" readingOrder="1"/>
    </xf>
    <xf numFmtId="14" fontId="14" fillId="16" borderId="5" xfId="0" applyNumberFormat="1" applyFont="1" applyFill="1" applyBorder="1" applyAlignment="1">
      <alignment horizontal="center" vertical="center"/>
    </xf>
    <xf numFmtId="14" fontId="15" fillId="16" borderId="5" xfId="0" applyNumberFormat="1" applyFont="1" applyFill="1" applyBorder="1" applyAlignment="1">
      <alignment horizontal="center" vertical="center"/>
    </xf>
    <xf numFmtId="14" fontId="15" fillId="4" borderId="5" xfId="0" applyNumberFormat="1" applyFont="1" applyFill="1" applyBorder="1" applyAlignment="1">
      <alignment horizontal="center" wrapText="1"/>
    </xf>
    <xf numFmtId="14" fontId="15" fillId="34" borderId="5" xfId="0" applyNumberFormat="1" applyFont="1" applyFill="1" applyBorder="1" applyAlignment="1">
      <alignment horizontal="center" vertical="center" wrapText="1"/>
    </xf>
    <xf numFmtId="14" fontId="14" fillId="0" borderId="5" xfId="0" applyNumberFormat="1" applyFont="1" applyBorder="1" applyAlignment="1">
      <alignment horizontal="center" vertical="center" wrapText="1"/>
    </xf>
    <xf numFmtId="14" fontId="16" fillId="0" borderId="5" xfId="0" applyNumberFormat="1" applyFont="1" applyBorder="1" applyAlignment="1">
      <alignment horizontal="center" vertical="center" wrapText="1"/>
    </xf>
    <xf numFmtId="14" fontId="16" fillId="0" borderId="7" xfId="0" applyNumberFormat="1" applyFont="1" applyBorder="1" applyAlignment="1">
      <alignment horizontal="center" vertical="center"/>
    </xf>
    <xf numFmtId="14" fontId="16" fillId="0" borderId="1" xfId="0" applyNumberFormat="1" applyFont="1" applyBorder="1" applyAlignment="1">
      <alignment horizontal="center" vertical="center"/>
    </xf>
    <xf numFmtId="14" fontId="14" fillId="0" borderId="1"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9" xfId="0" applyNumberFormat="1"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4" fillId="0" borderId="41" xfId="0" applyFont="1" applyBorder="1" applyAlignment="1">
      <alignment horizontal="center" vertical="center"/>
    </xf>
    <xf numFmtId="0" fontId="14" fillId="0" borderId="7" xfId="0" applyFont="1" applyBorder="1" applyAlignment="1">
      <alignment horizontal="center" vertical="center"/>
    </xf>
    <xf numFmtId="0" fontId="16" fillId="16" borderId="5" xfId="0" applyFont="1" applyFill="1" applyBorder="1" applyAlignment="1">
      <alignment horizontal="center" vertical="center"/>
    </xf>
    <xf numFmtId="14" fontId="16" fillId="16" borderId="5" xfId="0" applyNumberFormat="1" applyFont="1" applyFill="1" applyBorder="1" applyAlignment="1">
      <alignment horizontal="center" vertical="center"/>
    </xf>
    <xf numFmtId="0" fontId="17" fillId="16" borderId="5" xfId="0" applyFont="1" applyFill="1" applyBorder="1" applyAlignment="1">
      <alignment horizontal="center" vertical="center"/>
    </xf>
    <xf numFmtId="0" fontId="14" fillId="16" borderId="5" xfId="0" applyFont="1" applyFill="1" applyBorder="1" applyAlignment="1">
      <alignment horizontal="center" vertical="center" wrapText="1"/>
    </xf>
    <xf numFmtId="14" fontId="15" fillId="16" borderId="44" xfId="0" applyNumberFormat="1" applyFont="1" applyFill="1" applyBorder="1" applyAlignment="1">
      <alignment horizontal="center"/>
    </xf>
    <xf numFmtId="0" fontId="14" fillId="16" borderId="9" xfId="0" applyFont="1" applyFill="1" applyBorder="1" applyAlignment="1">
      <alignment horizontal="center" vertical="center"/>
    </xf>
    <xf numFmtId="0" fontId="15" fillId="0" borderId="9" xfId="0" applyFont="1" applyBorder="1" applyAlignment="1">
      <alignment horizontal="center" vertical="center"/>
    </xf>
    <xf numFmtId="0" fontId="17" fillId="16" borderId="9" xfId="0" applyFont="1" applyFill="1" applyBorder="1" applyAlignment="1">
      <alignment horizontal="center" vertical="center"/>
    </xf>
    <xf numFmtId="0" fontId="15" fillId="16" borderId="9" xfId="0" applyFont="1" applyFill="1" applyBorder="1" applyAlignment="1">
      <alignment horizontal="center" vertical="center"/>
    </xf>
    <xf numFmtId="0" fontId="14" fillId="16" borderId="9" xfId="0" applyFont="1" applyFill="1" applyBorder="1" applyAlignment="1">
      <alignment horizontal="center" vertical="center" wrapText="1"/>
    </xf>
    <xf numFmtId="0" fontId="16" fillId="16" borderId="9" xfId="0" applyFont="1" applyFill="1" applyBorder="1" applyAlignment="1">
      <alignment horizontal="center" vertical="center"/>
    </xf>
    <xf numFmtId="0" fontId="15" fillId="16" borderId="9" xfId="0" applyFont="1" applyFill="1" applyBorder="1" applyAlignment="1">
      <alignment horizontal="center"/>
    </xf>
    <xf numFmtId="0" fontId="14" fillId="16" borderId="0" xfId="0" applyFont="1" applyFill="1" applyAlignment="1">
      <alignment horizontal="center" vertical="center"/>
    </xf>
    <xf numFmtId="14" fontId="15" fillId="16" borderId="9" xfId="0" applyNumberFormat="1" applyFont="1" applyFill="1" applyBorder="1" applyAlignment="1">
      <alignment horizontal="center"/>
    </xf>
    <xf numFmtId="0" fontId="15" fillId="16" borderId="13" xfId="0" applyFont="1" applyFill="1" applyBorder="1" applyAlignment="1">
      <alignment horizontal="center"/>
    </xf>
    <xf numFmtId="0" fontId="14" fillId="16" borderId="13" xfId="0" applyFont="1" applyFill="1" applyBorder="1" applyAlignment="1">
      <alignment horizontal="center" vertical="center"/>
    </xf>
    <xf numFmtId="0" fontId="14" fillId="0" borderId="9" xfId="0" applyFont="1" applyBorder="1" applyAlignment="1">
      <alignment horizontal="center" vertical="center"/>
    </xf>
    <xf numFmtId="0" fontId="14" fillId="0" borderId="13" xfId="0" applyFont="1" applyBorder="1" applyAlignment="1">
      <alignment horizontal="center" vertical="center"/>
    </xf>
    <xf numFmtId="0" fontId="16" fillId="16" borderId="13" xfId="0" applyFont="1" applyFill="1" applyBorder="1" applyAlignment="1">
      <alignment horizontal="center" vertical="center"/>
    </xf>
    <xf numFmtId="14" fontId="14" fillId="0" borderId="5" xfId="0" applyNumberFormat="1" applyFont="1" applyFill="1" applyBorder="1" applyAlignment="1">
      <alignment horizontal="center" vertical="center"/>
    </xf>
    <xf numFmtId="0" fontId="15" fillId="0" borderId="9" xfId="0" applyFont="1" applyFill="1" applyBorder="1" applyAlignment="1">
      <alignment horizontal="center" vertical="center"/>
    </xf>
    <xf numFmtId="14" fontId="15" fillId="0" borderId="9" xfId="0" applyNumberFormat="1" applyFont="1" applyFill="1" applyBorder="1" applyAlignment="1">
      <alignment horizontal="center"/>
    </xf>
    <xf numFmtId="0" fontId="14" fillId="0" borderId="9" xfId="0" applyFont="1" applyFill="1" applyBorder="1" applyAlignment="1">
      <alignment horizontal="center" vertical="center"/>
    </xf>
    <xf numFmtId="0" fontId="16" fillId="0" borderId="9" xfId="0" applyFont="1" applyFill="1" applyBorder="1" applyAlignment="1">
      <alignment horizontal="center" vertical="center"/>
    </xf>
    <xf numFmtId="14" fontId="16" fillId="0" borderId="9" xfId="0" applyNumberFormat="1" applyFont="1" applyFill="1" applyBorder="1" applyAlignment="1">
      <alignment horizontal="center" vertical="center"/>
    </xf>
    <xf numFmtId="0" fontId="15" fillId="0" borderId="9" xfId="0" applyFont="1" applyFill="1" applyBorder="1" applyAlignment="1">
      <alignment horizontal="center"/>
    </xf>
    <xf numFmtId="0" fontId="14" fillId="0" borderId="5" xfId="0" applyFont="1" applyFill="1" applyBorder="1" applyAlignment="1">
      <alignment horizontal="center" vertical="center"/>
    </xf>
    <xf numFmtId="0" fontId="14" fillId="0" borderId="5" xfId="0" applyFont="1" applyFill="1" applyBorder="1" applyAlignment="1">
      <alignment horizontal="center" vertical="center" wrapText="1"/>
    </xf>
    <xf numFmtId="0" fontId="17" fillId="0" borderId="5" xfId="0" applyFont="1" applyFill="1" applyBorder="1" applyAlignment="1">
      <alignment horizontal="center" vertical="center"/>
    </xf>
    <xf numFmtId="14" fontId="14" fillId="0" borderId="0" xfId="0" applyNumberFormat="1" applyFont="1" applyFill="1" applyAlignment="1">
      <alignment horizontal="center" vertical="center"/>
    </xf>
    <xf numFmtId="0" fontId="49" fillId="34" borderId="5" xfId="0" applyFont="1" applyFill="1" applyBorder="1" applyAlignment="1">
      <alignment horizontal="center" vertical="center"/>
    </xf>
    <xf numFmtId="0" fontId="15" fillId="34" borderId="5" xfId="0" applyFont="1" applyFill="1" applyBorder="1" applyAlignment="1">
      <alignment horizontal="center" vertical="center"/>
    </xf>
    <xf numFmtId="14" fontId="17" fillId="28" borderId="5" xfId="0" applyNumberFormat="1" applyFont="1" applyFill="1" applyBorder="1" applyAlignment="1">
      <alignment horizontal="center"/>
    </xf>
    <xf numFmtId="14" fontId="15" fillId="28" borderId="5" xfId="0" applyNumberFormat="1" applyFont="1" applyFill="1" applyBorder="1" applyAlignment="1">
      <alignment horizontal="center" vertical="center"/>
    </xf>
    <xf numFmtId="14" fontId="17" fillId="28" borderId="5" xfId="0" applyNumberFormat="1" applyFont="1" applyFill="1" applyBorder="1" applyAlignment="1">
      <alignment horizontal="center" vertical="center"/>
    </xf>
    <xf numFmtId="0" fontId="15" fillId="30" borderId="9" xfId="0" applyFont="1" applyFill="1" applyBorder="1" applyAlignment="1">
      <alignment horizontal="center" vertical="center"/>
    </xf>
    <xf numFmtId="0" fontId="14" fillId="13" borderId="5" xfId="0" applyFont="1" applyFill="1" applyBorder="1" applyAlignment="1">
      <alignment horizontal="left"/>
    </xf>
    <xf numFmtId="14" fontId="14" fillId="9" borderId="5" xfId="0" applyNumberFormat="1" applyFont="1" applyFill="1" applyBorder="1" applyAlignment="1">
      <alignment horizontal="left"/>
    </xf>
    <xf numFmtId="0" fontId="14" fillId="0" borderId="4" xfId="0" applyFont="1" applyBorder="1" applyAlignment="1">
      <alignment horizontal="center"/>
    </xf>
    <xf numFmtId="0" fontId="14" fillId="13" borderId="42" xfId="0" applyFont="1" applyFill="1" applyBorder="1" applyAlignment="1">
      <alignment horizontal="left"/>
    </xf>
    <xf numFmtId="0" fontId="14" fillId="0" borderId="4" xfId="0" applyFont="1" applyBorder="1"/>
    <xf numFmtId="0" fontId="14" fillId="0" borderId="4" xfId="0" applyFont="1" applyBorder="1" applyAlignment="1">
      <alignment horizontal="left"/>
    </xf>
    <xf numFmtId="0" fontId="14" fillId="0" borderId="42" xfId="0" applyFont="1" applyBorder="1" applyAlignment="1">
      <alignment horizontal="left"/>
    </xf>
    <xf numFmtId="0" fontId="14" fillId="0" borderId="42" xfId="0" applyFont="1" applyBorder="1" applyAlignment="1">
      <alignment horizontal="center"/>
    </xf>
    <xf numFmtId="0" fontId="14" fillId="0" borderId="8" xfId="0" applyFont="1" applyBorder="1" applyAlignment="1">
      <alignment horizontal="center"/>
    </xf>
    <xf numFmtId="0" fontId="14" fillId="13" borderId="39" xfId="0" applyFont="1" applyFill="1" applyBorder="1" applyAlignment="1">
      <alignment horizontal="left"/>
    </xf>
    <xf numFmtId="0" fontId="14" fillId="0" borderId="8" xfId="0" applyFont="1" applyBorder="1"/>
    <xf numFmtId="0" fontId="14" fillId="0" borderId="8" xfId="0" applyFont="1" applyBorder="1" applyAlignment="1">
      <alignment horizontal="left"/>
    </xf>
    <xf numFmtId="0" fontId="14" fillId="0" borderId="39" xfId="0" applyFont="1" applyBorder="1" applyAlignment="1">
      <alignment horizontal="left"/>
    </xf>
    <xf numFmtId="0" fontId="14" fillId="0" borderId="39" xfId="0" applyFont="1" applyBorder="1" applyAlignment="1">
      <alignment horizontal="center"/>
    </xf>
    <xf numFmtId="0" fontId="45" fillId="4" borderId="5" xfId="0" applyFont="1" applyFill="1" applyBorder="1" applyAlignment="1">
      <alignment horizontal="center"/>
    </xf>
    <xf numFmtId="0" fontId="45" fillId="13" borderId="5" xfId="0" applyFont="1" applyFill="1" applyBorder="1" applyAlignment="1">
      <alignment horizontal="left"/>
    </xf>
    <xf numFmtId="0" fontId="45" fillId="4" borderId="5" xfId="0" applyFont="1" applyFill="1" applyBorder="1"/>
    <xf numFmtId="0" fontId="45" fillId="0" borderId="5" xfId="0" applyFont="1" applyBorder="1" applyAlignment="1">
      <alignment horizontal="left"/>
    </xf>
    <xf numFmtId="0" fontId="45" fillId="0" borderId="5" xfId="0" applyFont="1" applyBorder="1" applyAlignment="1">
      <alignment horizontal="center"/>
    </xf>
    <xf numFmtId="0" fontId="45" fillId="13" borderId="0" xfId="0" applyFont="1" applyFill="1" applyAlignment="1">
      <alignment horizontal="left"/>
    </xf>
    <xf numFmtId="0" fontId="14" fillId="0" borderId="10" xfId="0" applyFont="1" applyBorder="1" applyAlignment="1">
      <alignment horizontal="center"/>
    </xf>
    <xf numFmtId="0" fontId="43" fillId="13" borderId="5" xfId="0" applyFont="1" applyFill="1" applyBorder="1" applyAlignment="1">
      <alignment horizontal="left"/>
    </xf>
    <xf numFmtId="0" fontId="43" fillId="0" borderId="0" xfId="0" applyFont="1" applyAlignment="1">
      <alignment horizontal="left"/>
    </xf>
    <xf numFmtId="0" fontId="49" fillId="4" borderId="5" xfId="0" applyFont="1" applyFill="1" applyBorder="1" applyAlignment="1">
      <alignment horizontal="center"/>
    </xf>
    <xf numFmtId="0" fontId="49" fillId="13" borderId="5" xfId="0" applyFont="1" applyFill="1" applyBorder="1" applyAlignment="1">
      <alignment horizontal="left"/>
    </xf>
    <xf numFmtId="0" fontId="49" fillId="4" borderId="5" xfId="0" applyFont="1" applyFill="1" applyBorder="1"/>
    <xf numFmtId="0" fontId="49" fillId="4" borderId="5" xfId="0" applyFont="1" applyFill="1" applyBorder="1" applyAlignment="1">
      <alignment horizontal="left"/>
    </xf>
    <xf numFmtId="0" fontId="47" fillId="0" borderId="5" xfId="0" applyFont="1" applyBorder="1" applyAlignment="1">
      <alignment horizontal="left"/>
    </xf>
    <xf numFmtId="0" fontId="47" fillId="0" borderId="5" xfId="0" applyFont="1" applyBorder="1" applyAlignment="1">
      <alignment horizontal="center"/>
    </xf>
    <xf numFmtId="0" fontId="47" fillId="13" borderId="5" xfId="0" applyFont="1" applyFill="1" applyBorder="1" applyAlignment="1">
      <alignment horizontal="left"/>
    </xf>
    <xf numFmtId="14" fontId="47" fillId="0" borderId="5" xfId="0" applyNumberFormat="1" applyFont="1" applyBorder="1" applyAlignment="1">
      <alignment horizontal="left"/>
    </xf>
    <xf numFmtId="0" fontId="48" fillId="0" borderId="5" xfId="0" applyFont="1" applyBorder="1" applyAlignment="1">
      <alignment horizontal="center"/>
    </xf>
    <xf numFmtId="14" fontId="15" fillId="9" borderId="5" xfId="0" applyNumberFormat="1" applyFont="1" applyFill="1" applyBorder="1" applyAlignment="1">
      <alignment horizontal="left"/>
    </xf>
    <xf numFmtId="0" fontId="14" fillId="0" borderId="42" xfId="0" applyFont="1" applyBorder="1"/>
    <xf numFmtId="0" fontId="45" fillId="4" borderId="5" xfId="0" applyFont="1" applyFill="1" applyBorder="1" applyAlignment="1">
      <alignment horizontal="left"/>
    </xf>
    <xf numFmtId="0" fontId="51" fillId="0" borderId="5" xfId="1" applyFont="1" applyFill="1" applyBorder="1" applyAlignment="1">
      <alignment horizontal="left"/>
    </xf>
    <xf numFmtId="0" fontId="47" fillId="4" borderId="8" xfId="0" applyFont="1" applyFill="1" applyBorder="1" applyAlignment="1">
      <alignment horizontal="center"/>
    </xf>
    <xf numFmtId="0" fontId="47" fillId="13" borderId="39" xfId="0" applyFont="1" applyFill="1" applyBorder="1" applyAlignment="1">
      <alignment horizontal="left"/>
    </xf>
    <xf numFmtId="0" fontId="47" fillId="4" borderId="5" xfId="0" applyFont="1" applyFill="1" applyBorder="1" applyAlignment="1">
      <alignment horizontal="left"/>
    </xf>
    <xf numFmtId="0" fontId="14" fillId="5" borderId="5" xfId="0" applyFont="1" applyFill="1" applyBorder="1" applyAlignment="1">
      <alignment horizontal="left"/>
    </xf>
    <xf numFmtId="0" fontId="45" fillId="4" borderId="8" xfId="0" applyFont="1" applyFill="1" applyBorder="1" applyAlignment="1">
      <alignment horizontal="center"/>
    </xf>
    <xf numFmtId="0" fontId="45" fillId="13" borderId="39" xfId="0" applyFont="1" applyFill="1" applyBorder="1" applyAlignment="1">
      <alignment horizontal="left"/>
    </xf>
    <xf numFmtId="0" fontId="45" fillId="4" borderId="8" xfId="0" applyFont="1" applyFill="1" applyBorder="1" applyAlignment="1">
      <alignment horizontal="left"/>
    </xf>
    <xf numFmtId="0" fontId="45" fillId="4" borderId="39" xfId="0" applyFont="1" applyFill="1" applyBorder="1" applyAlignment="1">
      <alignment horizontal="left"/>
    </xf>
    <xf numFmtId="0" fontId="43" fillId="0" borderId="5" xfId="0" applyFont="1" applyBorder="1"/>
    <xf numFmtId="0" fontId="47" fillId="4" borderId="5" xfId="0" applyFont="1" applyFill="1" applyBorder="1" applyAlignment="1">
      <alignment horizontal="center"/>
    </xf>
    <xf numFmtId="0" fontId="47" fillId="4" borderId="5" xfId="0" applyFont="1" applyFill="1" applyBorder="1"/>
    <xf numFmtId="0" fontId="47" fillId="4" borderId="8" xfId="0" applyFont="1" applyFill="1" applyBorder="1"/>
    <xf numFmtId="0" fontId="47" fillId="4" borderId="8" xfId="0" applyFont="1" applyFill="1" applyBorder="1" applyAlignment="1">
      <alignment horizontal="left"/>
    </xf>
    <xf numFmtId="0" fontId="47" fillId="4" borderId="39" xfId="0" applyFont="1" applyFill="1" applyBorder="1" applyAlignment="1">
      <alignment horizontal="left"/>
    </xf>
    <xf numFmtId="0" fontId="47" fillId="4" borderId="39" xfId="0" applyFont="1" applyFill="1" applyBorder="1" applyAlignment="1">
      <alignment horizontal="center"/>
    </xf>
    <xf numFmtId="0" fontId="45" fillId="4" borderId="39" xfId="0" applyFont="1" applyFill="1" applyBorder="1" applyAlignment="1">
      <alignment horizontal="center"/>
    </xf>
    <xf numFmtId="0" fontId="45" fillId="4" borderId="8" xfId="0" applyFont="1" applyFill="1" applyBorder="1" applyAlignment="1">
      <alignment horizontal="center" wrapText="1"/>
    </xf>
    <xf numFmtId="0" fontId="45" fillId="13" borderId="39" xfId="0" applyFont="1" applyFill="1" applyBorder="1" applyAlignment="1">
      <alignment wrapText="1"/>
    </xf>
    <xf numFmtId="0" fontId="45" fillId="4" borderId="5" xfId="0" applyFont="1" applyFill="1" applyBorder="1" applyAlignment="1">
      <alignment wrapText="1"/>
    </xf>
    <xf numFmtId="0" fontId="45" fillId="4" borderId="39" xfId="0" applyFont="1" applyFill="1" applyBorder="1" applyAlignment="1">
      <alignment wrapText="1"/>
    </xf>
    <xf numFmtId="0" fontId="45" fillId="4" borderId="39" xfId="0" applyFont="1" applyFill="1" applyBorder="1" applyAlignment="1">
      <alignment horizontal="center" wrapText="1"/>
    </xf>
    <xf numFmtId="0" fontId="56" fillId="36" borderId="8" xfId="0" applyFont="1" applyFill="1" applyBorder="1" applyAlignment="1">
      <alignment horizontal="center" wrapText="1"/>
    </xf>
    <xf numFmtId="0" fontId="47" fillId="0" borderId="5" xfId="0" applyFont="1" applyBorder="1" applyAlignment="1">
      <alignment wrapText="1"/>
    </xf>
    <xf numFmtId="0" fontId="45" fillId="4" borderId="5" xfId="0" applyFont="1" applyFill="1" applyBorder="1" applyAlignment="1">
      <alignment horizontal="center" wrapText="1"/>
    </xf>
    <xf numFmtId="0" fontId="45" fillId="4" borderId="49" xfId="0" applyFont="1" applyFill="1" applyBorder="1" applyAlignment="1">
      <alignment wrapText="1"/>
    </xf>
    <xf numFmtId="0" fontId="45" fillId="0" borderId="8" xfId="0" applyFont="1" applyBorder="1" applyAlignment="1">
      <alignment horizontal="center"/>
    </xf>
    <xf numFmtId="0" fontId="45" fillId="13" borderId="39" xfId="0" applyFont="1" applyFill="1" applyBorder="1"/>
    <xf numFmtId="0" fontId="45" fillId="0" borderId="5" xfId="0" applyFont="1" applyBorder="1"/>
    <xf numFmtId="0" fontId="47" fillId="13" borderId="39" xfId="0" applyFont="1" applyFill="1" applyBorder="1" applyAlignment="1">
      <alignment wrapText="1"/>
    </xf>
    <xf numFmtId="0" fontId="47" fillId="4" borderId="5" xfId="0" applyFont="1" applyFill="1" applyBorder="1" applyAlignment="1">
      <alignment wrapText="1"/>
    </xf>
    <xf numFmtId="0" fontId="47" fillId="4" borderId="5" xfId="0" applyFont="1" applyFill="1" applyBorder="1" applyAlignment="1">
      <alignment horizontal="center" wrapText="1"/>
    </xf>
    <xf numFmtId="0" fontId="47" fillId="0" borderId="7" xfId="0" applyFont="1" applyBorder="1" applyAlignment="1">
      <alignment horizontal="center" wrapText="1"/>
    </xf>
    <xf numFmtId="0" fontId="47" fillId="13" borderId="43" xfId="0" applyFont="1" applyFill="1" applyBorder="1" applyAlignment="1">
      <alignment wrapText="1"/>
    </xf>
    <xf numFmtId="0" fontId="47" fillId="0" borderId="5" xfId="0" applyFont="1" applyBorder="1" applyAlignment="1">
      <alignment horizontal="center" wrapText="1"/>
    </xf>
    <xf numFmtId="0" fontId="43" fillId="0" borderId="7" xfId="0" applyFont="1" applyBorder="1" applyAlignment="1">
      <alignment horizontal="left"/>
    </xf>
    <xf numFmtId="0" fontId="47" fillId="0" borderId="8" xfId="0" applyFont="1" applyBorder="1" applyAlignment="1">
      <alignment horizontal="left"/>
    </xf>
    <xf numFmtId="0" fontId="47" fillId="0" borderId="8" xfId="0" applyFont="1" applyBorder="1"/>
    <xf numFmtId="0" fontId="43" fillId="5" borderId="1" xfId="0" applyFont="1" applyFill="1" applyBorder="1" applyAlignment="1">
      <alignment horizontal="left"/>
    </xf>
    <xf numFmtId="0" fontId="45" fillId="4" borderId="26" xfId="0" applyFont="1" applyFill="1" applyBorder="1" applyAlignment="1">
      <alignment wrapText="1"/>
    </xf>
    <xf numFmtId="0" fontId="45" fillId="13" borderId="49" xfId="0" applyFont="1" applyFill="1" applyBorder="1" applyAlignment="1">
      <alignment wrapText="1"/>
    </xf>
    <xf numFmtId="0" fontId="45" fillId="0" borderId="49" xfId="0" applyFont="1" applyBorder="1" applyAlignment="1">
      <alignment wrapText="1"/>
    </xf>
    <xf numFmtId="0" fontId="45" fillId="0" borderId="5" xfId="0" applyFont="1" applyBorder="1" applyAlignment="1">
      <alignment horizontal="left" wrapText="1"/>
    </xf>
    <xf numFmtId="0" fontId="45" fillId="13" borderId="5" xfId="0" applyFont="1" applyFill="1" applyBorder="1"/>
    <xf numFmtId="0" fontId="45" fillId="0" borderId="5" xfId="0" applyFont="1" applyBorder="1" applyAlignment="1">
      <alignment wrapText="1"/>
    </xf>
    <xf numFmtId="0" fontId="45" fillId="13" borderId="5" xfId="0" applyFont="1" applyFill="1" applyBorder="1" applyAlignment="1">
      <alignment wrapText="1"/>
    </xf>
    <xf numFmtId="0" fontId="57" fillId="0" borderId="5" xfId="0" applyFont="1" applyBorder="1"/>
    <xf numFmtId="0" fontId="57" fillId="13" borderId="5" xfId="0" applyFont="1" applyFill="1" applyBorder="1"/>
    <xf numFmtId="0" fontId="14" fillId="33" borderId="5" xfId="0" applyFont="1" applyFill="1" applyBorder="1" applyAlignment="1">
      <alignment horizontal="left"/>
    </xf>
    <xf numFmtId="0" fontId="15" fillId="16" borderId="9" xfId="0" applyFont="1" applyFill="1" applyBorder="1" applyAlignment="1">
      <alignment horizontal="left"/>
    </xf>
    <xf numFmtId="14" fontId="15" fillId="0" borderId="9" xfId="0" applyNumberFormat="1" applyFont="1" applyBorder="1" applyAlignment="1">
      <alignment horizontal="left"/>
    </xf>
    <xf numFmtId="0" fontId="12" fillId="6" borderId="17" xfId="0" applyFont="1" applyFill="1" applyBorder="1" applyAlignment="1">
      <alignment horizontal="center" vertical="center" readingOrder="1"/>
    </xf>
    <xf numFmtId="0" fontId="11" fillId="6" borderId="17" xfId="0" applyFont="1" applyFill="1" applyBorder="1" applyAlignment="1">
      <alignment horizontal="center" vertical="center" readingOrder="1"/>
    </xf>
    <xf numFmtId="0" fontId="10" fillId="0" borderId="21" xfId="0" applyFont="1" applyBorder="1" applyAlignment="1">
      <alignment vertical="center" readingOrder="1"/>
    </xf>
    <xf numFmtId="0" fontId="10" fillId="0" borderId="19" xfId="0" applyFont="1" applyBorder="1" applyAlignment="1">
      <alignment vertical="center" readingOrder="1"/>
    </xf>
    <xf numFmtId="0" fontId="0" fillId="0" borderId="0" xfId="0" applyFont="1" applyAlignment="1">
      <alignment vertical="center"/>
    </xf>
    <xf numFmtId="0" fontId="11" fillId="7" borderId="17" xfId="0" applyFont="1" applyFill="1" applyBorder="1" applyAlignment="1">
      <alignment horizontal="center" vertical="center" readingOrder="1"/>
    </xf>
    <xf numFmtId="0" fontId="11" fillId="10" borderId="17" xfId="0" applyFont="1" applyFill="1" applyBorder="1" applyAlignment="1">
      <alignment horizontal="center" vertical="center" readingOrder="1"/>
    </xf>
    <xf numFmtId="0" fontId="11" fillId="11" borderId="17" xfId="0" applyFont="1" applyFill="1" applyBorder="1" applyAlignment="1">
      <alignment horizontal="center" vertical="center" readingOrder="1"/>
    </xf>
    <xf numFmtId="0" fontId="11" fillId="12" borderId="17" xfId="0" applyFont="1" applyFill="1" applyBorder="1" applyAlignment="1">
      <alignment horizontal="center" vertical="center" readingOrder="1"/>
    </xf>
    <xf numFmtId="0" fontId="11" fillId="13" borderId="17" xfId="0" applyFont="1" applyFill="1" applyBorder="1" applyAlignment="1">
      <alignment horizontal="center" vertical="center" readingOrder="1"/>
    </xf>
    <xf numFmtId="0" fontId="11" fillId="15" borderId="17" xfId="0" applyFont="1" applyFill="1" applyBorder="1" applyAlignment="1">
      <alignment horizontal="center" vertical="center" readingOrder="1"/>
    </xf>
    <xf numFmtId="0" fontId="14" fillId="13" borderId="1" xfId="0" applyFont="1" applyFill="1" applyBorder="1" applyAlignment="1">
      <alignment horizontal="left"/>
    </xf>
    <xf numFmtId="14" fontId="43" fillId="0" borderId="1" xfId="0" applyNumberFormat="1" applyFont="1" applyBorder="1" applyAlignment="1">
      <alignment horizontal="left"/>
    </xf>
    <xf numFmtId="0" fontId="0" fillId="0" borderId="0" xfId="0" applyFont="1" applyBorder="1" applyAlignment="1"/>
    <xf numFmtId="0" fontId="14" fillId="0" borderId="0" xfId="0" applyFont="1" applyBorder="1" applyAlignment="1">
      <alignment horizontal="left"/>
    </xf>
    <xf numFmtId="0" fontId="45" fillId="4" borderId="9" xfId="0" applyFont="1" applyFill="1" applyBorder="1" applyAlignment="1">
      <alignment wrapText="1"/>
    </xf>
    <xf numFmtId="0" fontId="14" fillId="34" borderId="1" xfId="0" applyFont="1" applyFill="1" applyBorder="1" applyAlignment="1">
      <alignment horizontal="left"/>
    </xf>
    <xf numFmtId="0" fontId="11" fillId="5" borderId="17" xfId="0" applyFont="1" applyFill="1" applyBorder="1" applyAlignment="1">
      <alignment horizontal="center" readingOrder="1"/>
    </xf>
    <xf numFmtId="0" fontId="11" fillId="5" borderId="17" xfId="0" applyFont="1" applyFill="1" applyBorder="1" applyAlignment="1">
      <alignment horizontal="center" vertical="center" readingOrder="1"/>
    </xf>
    <xf numFmtId="0" fontId="11" fillId="5" borderId="17" xfId="0" applyFont="1" applyFill="1" applyBorder="1" applyAlignment="1">
      <alignment readingOrder="1"/>
    </xf>
    <xf numFmtId="0" fontId="11" fillId="5" borderId="19" xfId="0" applyFont="1" applyFill="1" applyBorder="1" applyAlignment="1">
      <alignment horizontal="center" readingOrder="1"/>
    </xf>
    <xf numFmtId="0" fontId="11" fillId="29" borderId="17" xfId="0" applyFont="1" applyFill="1" applyBorder="1" applyAlignment="1">
      <alignment horizontal="center" readingOrder="1"/>
    </xf>
    <xf numFmtId="0" fontId="11" fillId="29" borderId="17" xfId="0" applyFont="1" applyFill="1" applyBorder="1" applyAlignment="1">
      <alignment horizontal="center" vertical="center" readingOrder="1"/>
    </xf>
    <xf numFmtId="0" fontId="11" fillId="29" borderId="17" xfId="0" applyFont="1" applyFill="1" applyBorder="1" applyAlignment="1">
      <alignment readingOrder="1"/>
    </xf>
    <xf numFmtId="0" fontId="11" fillId="29" borderId="19" xfId="0" applyFont="1" applyFill="1" applyBorder="1" applyAlignment="1">
      <alignment horizontal="center" readingOrder="1"/>
    </xf>
    <xf numFmtId="0" fontId="11" fillId="0" borderId="17" xfId="0" applyFont="1" applyFill="1" applyBorder="1" applyAlignment="1">
      <alignment horizontal="center" vertical="center" readingOrder="1"/>
    </xf>
    <xf numFmtId="0" fontId="11" fillId="0" borderId="17" xfId="0" applyFont="1" applyFill="1" applyBorder="1" applyAlignment="1">
      <alignment readingOrder="1"/>
    </xf>
    <xf numFmtId="0" fontId="11" fillId="7" borderId="19" xfId="0" applyFont="1" applyFill="1" applyBorder="1" applyAlignment="1">
      <alignment horizontal="center" readingOrder="1"/>
    </xf>
    <xf numFmtId="14" fontId="49" fillId="33" borderId="5" xfId="0" applyNumberFormat="1" applyFont="1" applyFill="1" applyBorder="1" applyAlignment="1">
      <alignment horizontal="left"/>
    </xf>
    <xf numFmtId="14" fontId="15" fillId="9" borderId="6" xfId="0" applyNumberFormat="1" applyFont="1" applyFill="1" applyBorder="1" applyAlignment="1">
      <alignment horizontal="left"/>
    </xf>
    <xf numFmtId="14" fontId="43" fillId="33" borderId="5" xfId="0" applyNumberFormat="1" applyFont="1" applyFill="1" applyBorder="1" applyAlignment="1">
      <alignment horizontal="left" vertical="center"/>
    </xf>
    <xf numFmtId="0" fontId="14" fillId="16" borderId="9" xfId="0" applyFont="1" applyFill="1" applyBorder="1" applyAlignment="1">
      <alignment horizontal="left" vertical="center"/>
    </xf>
    <xf numFmtId="14" fontId="14" fillId="31" borderId="5" xfId="0" applyNumberFormat="1" applyFont="1" applyFill="1" applyBorder="1" applyAlignment="1">
      <alignment horizontal="left"/>
    </xf>
    <xf numFmtId="0" fontId="15" fillId="33" borderId="5" xfId="0" applyFont="1" applyFill="1" applyBorder="1" applyAlignment="1">
      <alignment horizontal="left"/>
    </xf>
    <xf numFmtId="14" fontId="14" fillId="33" borderId="6" xfId="0" applyNumberFormat="1" applyFont="1" applyFill="1" applyBorder="1" applyAlignment="1">
      <alignment horizontal="left"/>
    </xf>
    <xf numFmtId="0" fontId="45" fillId="0" borderId="45" xfId="0" applyFont="1" applyBorder="1" applyAlignment="1">
      <alignment horizontal="left"/>
    </xf>
    <xf numFmtId="0" fontId="45" fillId="0" borderId="43" xfId="0" applyFont="1" applyBorder="1" applyAlignment="1">
      <alignment horizontal="left"/>
    </xf>
    <xf numFmtId="14" fontId="45" fillId="33" borderId="43" xfId="0" applyNumberFormat="1" applyFont="1" applyFill="1" applyBorder="1" applyAlignment="1">
      <alignment horizontal="left"/>
    </xf>
    <xf numFmtId="0" fontId="58" fillId="0" borderId="5" xfId="0" applyFont="1" applyBorder="1" applyAlignment="1">
      <alignment horizontal="left"/>
    </xf>
    <xf numFmtId="0" fontId="60" fillId="0" borderId="5" xfId="0" applyFont="1" applyBorder="1" applyAlignment="1">
      <alignment horizontal="left"/>
    </xf>
    <xf numFmtId="14" fontId="45" fillId="9" borderId="43" xfId="0" applyNumberFormat="1" applyFont="1" applyFill="1" applyBorder="1" applyAlignment="1">
      <alignment horizontal="left"/>
    </xf>
    <xf numFmtId="14" fontId="14" fillId="0" borderId="43" xfId="0" applyNumberFormat="1" applyFont="1" applyBorder="1" applyAlignment="1">
      <alignment horizontal="left" vertical="center"/>
    </xf>
    <xf numFmtId="0" fontId="45" fillId="0" borderId="49" xfId="0" applyFont="1" applyBorder="1" applyAlignment="1">
      <alignment horizontal="left"/>
    </xf>
    <xf numFmtId="0" fontId="14" fillId="0" borderId="43" xfId="0" applyFont="1" applyBorder="1" applyAlignment="1">
      <alignment horizontal="left"/>
    </xf>
    <xf numFmtId="0" fontId="45" fillId="0" borderId="39" xfId="0" applyFont="1" applyBorder="1" applyAlignment="1">
      <alignment horizontal="left"/>
    </xf>
    <xf numFmtId="0" fontId="60" fillId="0" borderId="49" xfId="0" applyFont="1" applyBorder="1" applyAlignment="1">
      <alignment horizontal="left"/>
    </xf>
    <xf numFmtId="0" fontId="45" fillId="0" borderId="1" xfId="0" applyFont="1" applyBorder="1" applyAlignment="1">
      <alignment horizontal="left"/>
    </xf>
    <xf numFmtId="14" fontId="45" fillId="9" borderId="5" xfId="0" applyNumberFormat="1" applyFont="1" applyFill="1" applyBorder="1" applyAlignment="1">
      <alignment horizontal="left"/>
    </xf>
    <xf numFmtId="0" fontId="45" fillId="0" borderId="41" xfId="0" applyFont="1" applyBorder="1" applyAlignment="1">
      <alignment horizontal="left"/>
    </xf>
    <xf numFmtId="14" fontId="14" fillId="0" borderId="39" xfId="0" applyNumberFormat="1" applyFont="1" applyBorder="1" applyAlignment="1">
      <alignment horizontal="left" vertical="center"/>
    </xf>
    <xf numFmtId="14" fontId="14" fillId="33" borderId="43" xfId="0" applyNumberFormat="1" applyFont="1" applyFill="1" applyBorder="1" applyAlignment="1">
      <alignment horizontal="left"/>
    </xf>
    <xf numFmtId="0" fontId="60" fillId="0" borderId="39" xfId="0" applyFont="1" applyBorder="1" applyAlignment="1">
      <alignment horizontal="left"/>
    </xf>
    <xf numFmtId="0" fontId="58" fillId="0" borderId="39" xfId="0" applyFont="1" applyBorder="1" applyAlignment="1">
      <alignment horizontal="left"/>
    </xf>
    <xf numFmtId="0" fontId="60" fillId="0" borderId="8" xfId="0" applyFont="1" applyBorder="1" applyAlignment="1">
      <alignment horizontal="left"/>
    </xf>
    <xf numFmtId="0" fontId="58" fillId="0" borderId="0" xfId="0" applyFont="1" applyAlignment="1">
      <alignment horizontal="left"/>
    </xf>
    <xf numFmtId="14" fontId="45" fillId="33" borderId="5" xfId="0" applyNumberFormat="1" applyFont="1" applyFill="1" applyBorder="1" applyAlignment="1">
      <alignment horizontal="left"/>
    </xf>
    <xf numFmtId="0" fontId="11" fillId="16" borderId="17" xfId="0" applyFont="1" applyFill="1" applyBorder="1" applyAlignment="1">
      <alignment horizontal="center" readingOrder="1"/>
    </xf>
    <xf numFmtId="0" fontId="10" fillId="16" borderId="18" xfId="0" applyFont="1" applyFill="1" applyBorder="1" applyAlignment="1">
      <alignment horizontal="center" readingOrder="1"/>
    </xf>
    <xf numFmtId="0" fontId="10" fillId="16" borderId="18" xfId="0" applyFont="1" applyFill="1" applyBorder="1" applyAlignment="1">
      <alignment readingOrder="1"/>
    </xf>
    <xf numFmtId="0" fontId="11" fillId="29" borderId="5" xfId="0" applyFont="1" applyFill="1" applyBorder="1" applyAlignment="1">
      <alignment horizontal="center" readingOrder="1"/>
    </xf>
    <xf numFmtId="0" fontId="11" fillId="0" borderId="5" xfId="0" applyFont="1" applyFill="1" applyBorder="1" applyAlignment="1">
      <alignment horizontal="center" readingOrder="1"/>
    </xf>
    <xf numFmtId="0" fontId="11" fillId="29" borderId="36" xfId="0" applyFont="1" applyFill="1" applyBorder="1" applyAlignment="1">
      <alignment readingOrder="1"/>
    </xf>
    <xf numFmtId="0" fontId="11" fillId="0" borderId="36" xfId="0" applyFont="1" applyFill="1" applyBorder="1" applyAlignment="1">
      <alignment readingOrder="1"/>
    </xf>
    <xf numFmtId="0" fontId="10" fillId="16" borderId="50" xfId="0" applyFont="1" applyFill="1" applyBorder="1" applyAlignment="1">
      <alignment readingOrder="1"/>
    </xf>
    <xf numFmtId="0" fontId="10" fillId="0" borderId="50" xfId="0" applyFont="1" applyFill="1" applyBorder="1" applyAlignment="1">
      <alignment readingOrder="1"/>
    </xf>
    <xf numFmtId="0" fontId="11" fillId="29" borderId="51" xfId="0" applyFont="1" applyFill="1" applyBorder="1" applyAlignment="1">
      <alignment horizontal="center" readingOrder="1"/>
    </xf>
    <xf numFmtId="0" fontId="11" fillId="6" borderId="25" xfId="0" applyFont="1" applyFill="1" applyBorder="1" applyAlignment="1">
      <alignment horizontal="center" readingOrder="1"/>
    </xf>
    <xf numFmtId="0" fontId="11" fillId="37" borderId="16" xfId="0" applyFont="1" applyFill="1" applyBorder="1" applyAlignment="1">
      <alignment readingOrder="1"/>
    </xf>
    <xf numFmtId="17" fontId="15" fillId="0" borderId="9" xfId="0" applyNumberFormat="1" applyFont="1" applyFill="1" applyBorder="1" applyAlignment="1">
      <alignment horizontal="center" vertical="center"/>
    </xf>
    <xf numFmtId="0" fontId="14" fillId="25" borderId="9" xfId="0" applyFont="1" applyFill="1" applyBorder="1" applyAlignment="1">
      <alignment horizontal="center" vertical="center"/>
    </xf>
    <xf numFmtId="17" fontId="17" fillId="16" borderId="5" xfId="0" applyNumberFormat="1" applyFont="1" applyFill="1" applyBorder="1" applyAlignment="1">
      <alignment horizontal="center" wrapText="1"/>
    </xf>
    <xf numFmtId="0" fontId="14" fillId="7" borderId="5" xfId="0" applyFont="1" applyFill="1" applyBorder="1" applyAlignment="1">
      <alignment horizontal="center"/>
    </xf>
    <xf numFmtId="0" fontId="15" fillId="7" borderId="5" xfId="0" applyFont="1" applyFill="1" applyBorder="1" applyAlignment="1">
      <alignment horizontal="center" vertical="center"/>
    </xf>
    <xf numFmtId="17" fontId="14" fillId="0" borderId="9" xfId="0" applyNumberFormat="1" applyFont="1" applyFill="1" applyBorder="1" applyAlignment="1">
      <alignment horizontal="center" vertical="center"/>
    </xf>
    <xf numFmtId="17" fontId="15" fillId="16" borderId="5" xfId="0" applyNumberFormat="1" applyFont="1" applyFill="1" applyBorder="1" applyAlignment="1">
      <alignment horizontal="center" vertical="center"/>
    </xf>
    <xf numFmtId="0" fontId="15" fillId="25" borderId="9" xfId="0" applyFont="1" applyFill="1" applyBorder="1" applyAlignment="1">
      <alignment horizontal="center" vertical="center"/>
    </xf>
    <xf numFmtId="0" fontId="34" fillId="16" borderId="9" xfId="0" applyFont="1" applyFill="1" applyBorder="1" applyAlignment="1">
      <alignment horizontal="center" vertical="center"/>
    </xf>
    <xf numFmtId="0" fontId="34" fillId="0" borderId="9" xfId="0" applyFont="1" applyFill="1" applyBorder="1" applyAlignment="1">
      <alignment horizontal="center" vertical="center"/>
    </xf>
    <xf numFmtId="0" fontId="34" fillId="0" borderId="9" xfId="0" applyFont="1" applyFill="1" applyBorder="1" applyAlignment="1">
      <alignment horizontal="center"/>
    </xf>
    <xf numFmtId="0" fontId="37" fillId="0" borderId="9" xfId="0" applyFont="1" applyFill="1" applyBorder="1" applyAlignment="1">
      <alignment horizontal="center" vertical="center"/>
    </xf>
    <xf numFmtId="17" fontId="15" fillId="16" borderId="9" xfId="0" applyNumberFormat="1" applyFont="1" applyFill="1" applyBorder="1" applyAlignment="1">
      <alignment horizontal="center" vertical="center"/>
    </xf>
    <xf numFmtId="17" fontId="14" fillId="16" borderId="9" xfId="0" applyNumberFormat="1" applyFont="1" applyFill="1" applyBorder="1" applyAlignment="1">
      <alignment horizontal="center" vertical="center"/>
    </xf>
    <xf numFmtId="0" fontId="14" fillId="25" borderId="9" xfId="0" applyFont="1" applyFill="1" applyBorder="1" applyAlignment="1">
      <alignment horizontal="center" vertical="center" wrapText="1"/>
    </xf>
    <xf numFmtId="17" fontId="14" fillId="16" borderId="9" xfId="0" applyNumberFormat="1" applyFont="1" applyFill="1" applyBorder="1" applyAlignment="1">
      <alignment horizontal="center" vertical="center" wrapText="1"/>
    </xf>
    <xf numFmtId="0" fontId="37" fillId="0" borderId="5" xfId="0" applyFont="1" applyFill="1" applyBorder="1" applyAlignment="1">
      <alignment horizontal="center" vertical="center"/>
    </xf>
    <xf numFmtId="17" fontId="14" fillId="0" borderId="27" xfId="0" applyNumberFormat="1" applyFont="1" applyFill="1" applyBorder="1" applyAlignment="1">
      <alignment horizontal="center" vertical="center"/>
    </xf>
    <xf numFmtId="0" fontId="37" fillId="0" borderId="0" xfId="0" applyFont="1" applyFill="1" applyAlignment="1">
      <alignment horizontal="center" vertical="center"/>
    </xf>
    <xf numFmtId="0" fontId="37" fillId="0" borderId="13" xfId="0" applyFont="1" applyFill="1" applyBorder="1" applyAlignment="1">
      <alignment horizontal="center" vertical="center"/>
    </xf>
    <xf numFmtId="17" fontId="15" fillId="9" borderId="5" xfId="0" applyNumberFormat="1" applyFont="1" applyFill="1" applyBorder="1" applyAlignment="1">
      <alignment horizontal="center" vertical="center"/>
    </xf>
    <xf numFmtId="17" fontId="15" fillId="0" borderId="9" xfId="0" applyNumberFormat="1" applyFont="1" applyFill="1" applyBorder="1" applyAlignment="1">
      <alignment horizontal="center"/>
    </xf>
    <xf numFmtId="0" fontId="14" fillId="25" borderId="5" xfId="0" applyFont="1" applyFill="1" applyBorder="1" applyAlignment="1">
      <alignment horizontal="center" vertical="center"/>
    </xf>
    <xf numFmtId="17" fontId="14" fillId="0" borderId="5" xfId="0" applyNumberFormat="1" applyFont="1" applyFill="1" applyBorder="1" applyAlignment="1">
      <alignment horizontal="center" vertical="center"/>
    </xf>
    <xf numFmtId="17" fontId="14" fillId="16" borderId="5" xfId="0" applyNumberFormat="1" applyFont="1" applyFill="1" applyBorder="1" applyAlignment="1">
      <alignment horizontal="center" vertical="center"/>
    </xf>
    <xf numFmtId="14" fontId="14" fillId="25" borderId="5" xfId="0" applyNumberFormat="1" applyFont="1" applyFill="1" applyBorder="1" applyAlignment="1">
      <alignment horizontal="center" vertical="center"/>
    </xf>
    <xf numFmtId="17" fontId="14" fillId="25" borderId="5" xfId="0" applyNumberFormat="1" applyFont="1" applyFill="1" applyBorder="1" applyAlignment="1">
      <alignment horizontal="center" vertical="center"/>
    </xf>
    <xf numFmtId="17" fontId="14" fillId="30" borderId="5" xfId="0" applyNumberFormat="1" applyFont="1" applyFill="1" applyBorder="1" applyAlignment="1">
      <alignment horizontal="center" vertical="center"/>
    </xf>
    <xf numFmtId="17" fontId="34" fillId="0" borderId="9" xfId="0" applyNumberFormat="1" applyFont="1" applyFill="1" applyBorder="1" applyAlignment="1">
      <alignment horizontal="center" vertical="center"/>
    </xf>
    <xf numFmtId="17" fontId="15" fillId="30" borderId="9" xfId="0" applyNumberFormat="1" applyFont="1" applyFill="1" applyBorder="1" applyAlignment="1">
      <alignment horizontal="center" vertical="center"/>
    </xf>
    <xf numFmtId="17" fontId="15" fillId="25" borderId="9" xfId="0" applyNumberFormat="1" applyFont="1" applyFill="1" applyBorder="1" applyAlignment="1">
      <alignment horizontal="center" vertical="center"/>
    </xf>
    <xf numFmtId="17" fontId="17" fillId="24" borderId="9" xfId="0" applyNumberFormat="1" applyFont="1" applyFill="1" applyBorder="1" applyAlignment="1">
      <alignment horizontal="center" vertical="center"/>
    </xf>
    <xf numFmtId="0" fontId="34" fillId="0" borderId="5" xfId="0" applyFont="1" applyFill="1" applyBorder="1" applyAlignment="1">
      <alignment horizontal="center" vertical="center"/>
    </xf>
    <xf numFmtId="0" fontId="14" fillId="30" borderId="5" xfId="0" applyFont="1" applyFill="1" applyBorder="1" applyAlignment="1">
      <alignment horizontal="center"/>
    </xf>
    <xf numFmtId="0" fontId="14" fillId="30" borderId="9" xfId="0" applyFont="1" applyFill="1" applyBorder="1" applyAlignment="1">
      <alignment horizontal="center" vertical="center"/>
    </xf>
    <xf numFmtId="0" fontId="0" fillId="0" borderId="7" xfId="0" applyFont="1" applyBorder="1" applyAlignment="1"/>
    <xf numFmtId="0" fontId="0" fillId="0" borderId="1" xfId="0" applyFont="1" applyBorder="1" applyAlignment="1"/>
    <xf numFmtId="0" fontId="0" fillId="0" borderId="41" xfId="0" applyFont="1" applyBorder="1" applyAlignment="1"/>
    <xf numFmtId="0" fontId="17" fillId="0" borderId="5" xfId="0" applyFont="1" applyBorder="1" applyAlignment="1"/>
    <xf numFmtId="0" fontId="61" fillId="0" borderId="5" xfId="0" applyFont="1" applyBorder="1" applyAlignment="1"/>
    <xf numFmtId="0" fontId="17" fillId="16" borderId="5" xfId="0" applyFont="1" applyFill="1" applyBorder="1" applyAlignment="1"/>
    <xf numFmtId="0" fontId="15" fillId="16" borderId="5" xfId="0" applyFont="1" applyFill="1" applyBorder="1" applyAlignment="1"/>
    <xf numFmtId="0" fontId="17" fillId="0" borderId="7" xfId="0" applyFont="1" applyBorder="1" applyAlignment="1"/>
    <xf numFmtId="14" fontId="14" fillId="0" borderId="5" xfId="0" applyNumberFormat="1" applyFont="1" applyBorder="1" applyAlignment="1"/>
    <xf numFmtId="0" fontId="61" fillId="0" borderId="5" xfId="0" applyFont="1" applyBorder="1" applyAlignment="1">
      <alignment horizontal="left"/>
    </xf>
    <xf numFmtId="0" fontId="17" fillId="0" borderId="0" xfId="0" applyFont="1" applyAlignment="1">
      <alignment horizontal="left"/>
    </xf>
    <xf numFmtId="0" fontId="36" fillId="0" borderId="5" xfId="0" applyFont="1" applyBorder="1" applyAlignment="1"/>
    <xf numFmtId="0" fontId="14" fillId="0" borderId="41" xfId="0" applyFont="1" applyBorder="1" applyAlignment="1">
      <alignment horizontal="left"/>
    </xf>
    <xf numFmtId="0" fontId="17" fillId="0" borderId="5" xfId="0" applyFont="1" applyBorder="1" applyAlignment="1">
      <alignment horizontal="center" wrapText="1"/>
    </xf>
    <xf numFmtId="0" fontId="61" fillId="0" borderId="5" xfId="0" applyFont="1" applyBorder="1" applyAlignment="1">
      <alignment horizontal="center" wrapText="1"/>
    </xf>
    <xf numFmtId="0" fontId="14" fillId="0" borderId="6" xfId="0" applyFont="1" applyBorder="1" applyAlignment="1">
      <alignment horizontal="center" wrapText="1"/>
    </xf>
    <xf numFmtId="14" fontId="15" fillId="0" borderId="42" xfId="0" applyNumberFormat="1" applyFont="1" applyBorder="1" applyAlignment="1">
      <alignment horizontal="center"/>
    </xf>
    <xf numFmtId="0" fontId="44" fillId="0" borderId="9" xfId="0" applyFont="1" applyBorder="1" applyAlignment="1">
      <alignment horizontal="left"/>
    </xf>
    <xf numFmtId="0" fontId="43" fillId="0" borderId="9" xfId="0" applyFont="1" applyBorder="1" applyAlignment="1">
      <alignment horizontal="left" wrapText="1"/>
    </xf>
    <xf numFmtId="0" fontId="15" fillId="16" borderId="9" xfId="0" applyFont="1" applyFill="1" applyBorder="1" applyAlignment="1">
      <alignment horizontal="left" wrapText="1"/>
    </xf>
    <xf numFmtId="0" fontId="49" fillId="16" borderId="9" xfId="0" applyFont="1" applyFill="1" applyBorder="1" applyAlignment="1">
      <alignment horizontal="left" wrapText="1"/>
    </xf>
    <xf numFmtId="0" fontId="16" fillId="16" borderId="9" xfId="0" applyFont="1" applyFill="1" applyBorder="1" applyAlignment="1">
      <alignment horizontal="left" vertical="center"/>
    </xf>
    <xf numFmtId="0" fontId="49" fillId="16" borderId="9" xfId="0" applyFont="1" applyFill="1" applyBorder="1" applyAlignment="1">
      <alignment horizontal="left"/>
    </xf>
    <xf numFmtId="0" fontId="0" fillId="0" borderId="9" xfId="0" applyFont="1" applyBorder="1" applyAlignment="1">
      <alignment wrapText="1"/>
    </xf>
    <xf numFmtId="0" fontId="16" fillId="16" borderId="9" xfId="0" applyFont="1" applyFill="1" applyBorder="1" applyAlignment="1">
      <alignment horizontal="left"/>
    </xf>
    <xf numFmtId="14" fontId="44" fillId="0" borderId="9" xfId="0" applyNumberFormat="1" applyFont="1" applyBorder="1" applyAlignment="1">
      <alignment horizontal="left"/>
    </xf>
    <xf numFmtId="0" fontId="17" fillId="16" borderId="9" xfId="0" applyFont="1" applyFill="1" applyBorder="1" applyAlignment="1">
      <alignment horizontal="left"/>
    </xf>
    <xf numFmtId="0" fontId="45" fillId="4" borderId="27" xfId="0" applyFont="1" applyFill="1" applyBorder="1" applyAlignment="1">
      <alignment horizontal="left"/>
    </xf>
    <xf numFmtId="0" fontId="45" fillId="4" borderId="0" xfId="0" applyFont="1" applyFill="1" applyBorder="1" applyAlignment="1">
      <alignment horizontal="left"/>
    </xf>
    <xf numFmtId="0" fontId="45" fillId="4" borderId="46" xfId="0" applyFont="1" applyFill="1" applyBorder="1" applyAlignment="1">
      <alignment horizontal="left"/>
    </xf>
    <xf numFmtId="0" fontId="45" fillId="4" borderId="28" xfId="0" applyFont="1" applyFill="1" applyBorder="1" applyAlignment="1">
      <alignment horizontal="left"/>
    </xf>
    <xf numFmtId="0" fontId="45" fillId="4" borderId="9" xfId="0" applyFont="1" applyFill="1" applyBorder="1" applyAlignment="1">
      <alignment horizontal="left"/>
    </xf>
    <xf numFmtId="0" fontId="14" fillId="0" borderId="27" xfId="0" applyFont="1" applyBorder="1" applyAlignment="1">
      <alignment horizontal="left"/>
    </xf>
    <xf numFmtId="0" fontId="15" fillId="16" borderId="2" xfId="0" applyFont="1" applyFill="1" applyBorder="1" applyAlignment="1">
      <alignment horizontal="left"/>
    </xf>
    <xf numFmtId="0" fontId="0" fillId="0" borderId="9" xfId="0" applyFont="1" applyBorder="1" applyAlignment="1"/>
    <xf numFmtId="0" fontId="43" fillId="0" borderId="9" xfId="0" applyFont="1" applyBorder="1" applyAlignment="1">
      <alignment horizontal="left"/>
    </xf>
    <xf numFmtId="0" fontId="17" fillId="16" borderId="9" xfId="0" applyFont="1" applyFill="1" applyBorder="1" applyAlignment="1">
      <alignment horizontal="left" vertical="center"/>
    </xf>
    <xf numFmtId="14" fontId="15" fillId="16" borderId="9" xfId="0" applyNumberFormat="1" applyFont="1" applyFill="1" applyBorder="1" applyAlignment="1">
      <alignment horizontal="left"/>
    </xf>
    <xf numFmtId="0" fontId="20" fillId="24" borderId="1" xfId="0" applyFont="1" applyFill="1" applyBorder="1" applyAlignment="1">
      <alignment horizontal="center"/>
    </xf>
    <xf numFmtId="0" fontId="14" fillId="16" borderId="1" xfId="0" applyFont="1" applyFill="1" applyBorder="1" applyAlignment="1">
      <alignment horizontal="left"/>
    </xf>
    <xf numFmtId="0" fontId="20" fillId="24" borderId="7" xfId="0" applyFont="1" applyFill="1" applyBorder="1" applyAlignment="1">
      <alignment horizontal="center"/>
    </xf>
    <xf numFmtId="0" fontId="15" fillId="16" borderId="41" xfId="0" applyFont="1" applyFill="1" applyBorder="1" applyAlignment="1">
      <alignment horizontal="left"/>
    </xf>
    <xf numFmtId="0" fontId="20" fillId="24" borderId="41" xfId="0" applyFont="1" applyFill="1" applyBorder="1" applyAlignment="1">
      <alignment horizontal="center"/>
    </xf>
    <xf numFmtId="0" fontId="15" fillId="16" borderId="7" xfId="0" applyFont="1" applyFill="1" applyBorder="1" applyAlignment="1">
      <alignment horizontal="left"/>
    </xf>
    <xf numFmtId="0" fontId="16" fillId="16" borderId="41" xfId="0" applyFont="1" applyFill="1" applyBorder="1" applyAlignment="1">
      <alignment horizontal="left"/>
    </xf>
    <xf numFmtId="0" fontId="14" fillId="16" borderId="7" xfId="0" applyFont="1" applyFill="1" applyBorder="1" applyAlignment="1">
      <alignment horizontal="left"/>
    </xf>
    <xf numFmtId="0" fontId="0" fillId="0" borderId="0" xfId="0" applyAlignment="1"/>
    <xf numFmtId="0" fontId="43" fillId="0" borderId="0" xfId="0" applyFont="1" applyAlignment="1"/>
    <xf numFmtId="0" fontId="14" fillId="0" borderId="41" xfId="0" applyFont="1" applyBorder="1" applyAlignment="1">
      <alignment horizontal="left" vertical="center"/>
    </xf>
    <xf numFmtId="0" fontId="14" fillId="0" borderId="0" xfId="0" applyFont="1" applyAlignment="1"/>
    <xf numFmtId="0" fontId="17" fillId="0" borderId="0" xfId="0" applyFont="1" applyAlignment="1">
      <alignment horizontal="left" vertical="center"/>
    </xf>
    <xf numFmtId="0" fontId="14" fillId="0" borderId="44" xfId="0" applyFont="1" applyBorder="1" applyAlignment="1">
      <alignment horizontal="left" vertical="center"/>
    </xf>
    <xf numFmtId="0" fontId="0" fillId="0" borderId="27" xfId="0" applyFont="1" applyBorder="1" applyAlignment="1">
      <alignment horizontal="center"/>
    </xf>
    <xf numFmtId="14" fontId="14" fillId="0" borderId="9" xfId="0" applyNumberFormat="1" applyFont="1" applyBorder="1" applyAlignment="1">
      <alignment horizontal="left" vertical="center"/>
    </xf>
    <xf numFmtId="0" fontId="16" fillId="16" borderId="2" xfId="0" applyFont="1" applyFill="1" applyBorder="1" applyAlignment="1">
      <alignment horizontal="center" vertical="center"/>
    </xf>
    <xf numFmtId="14" fontId="14" fillId="25" borderId="9" xfId="0" applyNumberFormat="1" applyFont="1" applyFill="1" applyBorder="1" applyAlignment="1">
      <alignment horizontal="center" vertical="center"/>
    </xf>
    <xf numFmtId="17" fontId="61" fillId="0" borderId="9" xfId="0" applyNumberFormat="1" applyFont="1" applyFill="1" applyBorder="1" applyAlignment="1">
      <alignment horizontal="center" vertical="center"/>
    </xf>
    <xf numFmtId="0" fontId="10" fillId="18" borderId="17" xfId="0" applyFont="1" applyFill="1" applyBorder="1" applyAlignment="1">
      <alignment horizontal="center" readingOrder="1"/>
    </xf>
    <xf numFmtId="0" fontId="10" fillId="19" borderId="36" xfId="0" applyFont="1" applyFill="1" applyBorder="1" applyAlignment="1">
      <alignment horizontal="center" readingOrder="1"/>
    </xf>
    <xf numFmtId="0" fontId="10" fillId="20" borderId="5" xfId="0" applyFont="1" applyFill="1" applyBorder="1" applyAlignment="1">
      <alignment horizontal="center" readingOrder="1"/>
    </xf>
    <xf numFmtId="0" fontId="47" fillId="0" borderId="5" xfId="0" applyFont="1" applyBorder="1" applyAlignment="1"/>
    <xf numFmtId="14" fontId="47" fillId="38" borderId="5" xfId="0" applyNumberFormat="1" applyFont="1" applyFill="1" applyBorder="1" applyAlignment="1"/>
    <xf numFmtId="14" fontId="47" fillId="39" borderId="5" xfId="0" applyNumberFormat="1" applyFont="1" applyFill="1" applyBorder="1" applyAlignment="1"/>
    <xf numFmtId="0" fontId="47" fillId="4" borderId="5" xfId="0" applyFont="1" applyFill="1" applyBorder="1" applyAlignment="1"/>
    <xf numFmtId="0" fontId="45" fillId="0" borderId="5" xfId="0" applyFont="1" applyBorder="1" applyAlignment="1"/>
    <xf numFmtId="0" fontId="47" fillId="0" borderId="0" xfId="0" applyFont="1" applyBorder="1" applyAlignment="1"/>
    <xf numFmtId="0" fontId="63" fillId="0" borderId="0" xfId="0" applyFont="1" applyBorder="1" applyAlignment="1"/>
    <xf numFmtId="0" fontId="47" fillId="0" borderId="1" xfId="0" applyFont="1" applyBorder="1" applyAlignment="1"/>
    <xf numFmtId="14" fontId="0" fillId="0" borderId="0" xfId="0" applyNumberFormat="1" applyFont="1" applyAlignment="1"/>
    <xf numFmtId="14" fontId="47" fillId="40" borderId="5" xfId="0" applyNumberFormat="1" applyFont="1" applyFill="1" applyBorder="1" applyAlignment="1"/>
    <xf numFmtId="0" fontId="53" fillId="0" borderId="5" xfId="0" applyFont="1" applyBorder="1" applyAlignment="1"/>
    <xf numFmtId="14" fontId="53" fillId="0" borderId="5" xfId="0" applyNumberFormat="1" applyFont="1" applyBorder="1" applyAlignment="1"/>
    <xf numFmtId="0" fontId="53" fillId="0" borderId="5" xfId="0" applyFont="1" applyBorder="1" applyAlignment="1">
      <alignment wrapText="1"/>
    </xf>
    <xf numFmtId="0" fontId="53" fillId="40" borderId="5" xfId="0" applyFont="1" applyFill="1" applyBorder="1" applyAlignment="1"/>
    <xf numFmtId="14" fontId="53" fillId="40" borderId="5" xfId="0" applyNumberFormat="1" applyFont="1" applyFill="1" applyBorder="1" applyAlignment="1"/>
    <xf numFmtId="14" fontId="48" fillId="41" borderId="5" xfId="0" applyNumberFormat="1" applyFont="1" applyFill="1" applyBorder="1" applyAlignment="1"/>
    <xf numFmtId="0" fontId="48" fillId="0" borderId="5" xfId="0" applyFont="1" applyBorder="1" applyAlignment="1"/>
    <xf numFmtId="14" fontId="48" fillId="0" borderId="5" xfId="0" applyNumberFormat="1" applyFont="1" applyBorder="1" applyAlignment="1"/>
    <xf numFmtId="0" fontId="64" fillId="0" borderId="5" xfId="0" applyFont="1" applyBorder="1" applyAlignment="1"/>
    <xf numFmtId="14" fontId="64" fillId="0" borderId="5" xfId="0" applyNumberFormat="1" applyFont="1" applyBorder="1" applyAlignment="1"/>
    <xf numFmtId="14" fontId="65" fillId="40" borderId="5" xfId="0" applyNumberFormat="1" applyFont="1" applyFill="1" applyBorder="1" applyAlignment="1"/>
    <xf numFmtId="0" fontId="64" fillId="4" borderId="5" xfId="0" applyFont="1" applyFill="1" applyBorder="1" applyAlignment="1"/>
    <xf numFmtId="14" fontId="53" fillId="0" borderId="5" xfId="0" applyNumberFormat="1" applyFont="1" applyFill="1" applyBorder="1" applyAlignment="1"/>
    <xf numFmtId="14" fontId="65" fillId="0" borderId="5" xfId="0" applyNumberFormat="1" applyFont="1" applyFill="1" applyBorder="1" applyAlignment="1"/>
    <xf numFmtId="0" fontId="0" fillId="0" borderId="5" xfId="0" applyBorder="1" applyAlignment="1"/>
    <xf numFmtId="0" fontId="47" fillId="0" borderId="1" xfId="0" applyFont="1" applyFill="1" applyBorder="1" applyAlignment="1"/>
    <xf numFmtId="0" fontId="47" fillId="0" borderId="5" xfId="0" applyFont="1" applyFill="1" applyBorder="1" applyAlignment="1"/>
    <xf numFmtId="0" fontId="47" fillId="0" borderId="5" xfId="0" applyFont="1" applyFill="1" applyBorder="1" applyAlignment="1">
      <alignment wrapText="1"/>
    </xf>
    <xf numFmtId="14" fontId="47" fillId="0" borderId="5" xfId="0" applyNumberFormat="1" applyFont="1" applyFill="1" applyBorder="1" applyAlignment="1"/>
    <xf numFmtId="14" fontId="47" fillId="0" borderId="5" xfId="0" applyNumberFormat="1" applyFont="1" applyBorder="1" applyAlignment="1"/>
    <xf numFmtId="14" fontId="0" fillId="0" borderId="5" xfId="0" applyNumberFormat="1" applyFont="1" applyBorder="1" applyAlignment="1"/>
    <xf numFmtId="0" fontId="66" fillId="4" borderId="5" xfId="0" applyFont="1" applyFill="1" applyBorder="1" applyAlignment="1"/>
    <xf numFmtId="1" fontId="24" fillId="5" borderId="5" xfId="0" applyNumberFormat="1" applyFont="1" applyFill="1" applyBorder="1" applyAlignment="1">
      <alignment horizontal="center"/>
    </xf>
    <xf numFmtId="1" fontId="24" fillId="3" borderId="5" xfId="0" applyNumberFormat="1" applyFont="1" applyFill="1" applyBorder="1" applyAlignment="1">
      <alignment horizontal="center"/>
    </xf>
    <xf numFmtId="0" fontId="24" fillId="3" borderId="10" xfId="0" applyFont="1" applyFill="1" applyBorder="1" applyAlignment="1"/>
    <xf numFmtId="0" fontId="16" fillId="16" borderId="5" xfId="0" applyFont="1" applyFill="1" applyBorder="1" applyAlignment="1">
      <alignment horizontal="left"/>
    </xf>
    <xf numFmtId="0" fontId="25" fillId="4" borderId="5" xfId="0" applyFont="1" applyFill="1" applyBorder="1" applyAlignment="1">
      <alignment horizontal="center" readingOrder="1"/>
    </xf>
    <xf numFmtId="1" fontId="23" fillId="42" borderId="5" xfId="0" applyNumberFormat="1" applyFont="1" applyFill="1" applyBorder="1" applyAlignment="1">
      <alignment horizontal="center"/>
    </xf>
    <xf numFmtId="1" fontId="23" fillId="16" borderId="5" xfId="0" applyNumberFormat="1" applyFont="1" applyFill="1" applyBorder="1" applyAlignment="1">
      <alignment horizontal="center"/>
    </xf>
    <xf numFmtId="1" fontId="10" fillId="7" borderId="5" xfId="0" applyNumberFormat="1" applyFont="1" applyFill="1" applyBorder="1" applyAlignment="1">
      <alignment horizontal="center" readingOrder="1"/>
    </xf>
    <xf numFmtId="1" fontId="10" fillId="16" borderId="5" xfId="0" applyNumberFormat="1" applyFont="1" applyFill="1" applyBorder="1" applyAlignment="1">
      <alignment horizontal="center" readingOrder="1"/>
    </xf>
    <xf numFmtId="1" fontId="10" fillId="13" borderId="5" xfId="0" applyNumberFormat="1" applyFont="1" applyFill="1" applyBorder="1" applyAlignment="1">
      <alignment horizontal="center" readingOrder="1"/>
    </xf>
    <xf numFmtId="1" fontId="10" fillId="43" borderId="5" xfId="0" applyNumberFormat="1" applyFont="1" applyFill="1" applyBorder="1" applyAlignment="1">
      <alignment horizontal="center" readingOrder="1"/>
    </xf>
    <xf numFmtId="0" fontId="23" fillId="4" borderId="10" xfId="0" applyFont="1" applyFill="1" applyBorder="1" applyAlignment="1"/>
    <xf numFmtId="1" fontId="23" fillId="42" borderId="5" xfId="0" applyNumberFormat="1" applyFont="1" applyFill="1" applyBorder="1" applyAlignment="1">
      <alignment horizontal="center" vertical="center"/>
    </xf>
    <xf numFmtId="1" fontId="23" fillId="16" borderId="5" xfId="0" applyNumberFormat="1" applyFont="1" applyFill="1" applyBorder="1" applyAlignment="1">
      <alignment horizontal="center" vertical="center"/>
    </xf>
    <xf numFmtId="1" fontId="25" fillId="16" borderId="5" xfId="0" applyNumberFormat="1" applyFont="1" applyFill="1" applyBorder="1" applyAlignment="1">
      <alignment horizontal="center" vertical="center" readingOrder="1"/>
    </xf>
    <xf numFmtId="1" fontId="23" fillId="22" borderId="5" xfId="0" applyNumberFormat="1" applyFont="1" applyFill="1" applyBorder="1" applyAlignment="1">
      <alignment horizontal="center"/>
    </xf>
    <xf numFmtId="0" fontId="25" fillId="22" borderId="5" xfId="0" applyFont="1" applyFill="1" applyBorder="1" applyAlignment="1">
      <alignment horizontal="center" readingOrder="1"/>
    </xf>
    <xf numFmtId="1" fontId="25" fillId="22" borderId="5" xfId="0" applyNumberFormat="1" applyFont="1" applyFill="1" applyBorder="1" applyAlignment="1">
      <alignment horizontal="center" readingOrder="1"/>
    </xf>
    <xf numFmtId="1" fontId="25" fillId="16" borderId="5" xfId="0" applyNumberFormat="1" applyFont="1" applyFill="1" applyBorder="1" applyAlignment="1">
      <alignment horizontal="center" readingOrder="1"/>
    </xf>
    <xf numFmtId="1" fontId="23" fillId="27" borderId="5" xfId="0" applyNumberFormat="1" applyFont="1" applyFill="1" applyBorder="1" applyAlignment="1">
      <alignment horizontal="center"/>
    </xf>
    <xf numFmtId="1" fontId="23" fillId="7" borderId="5" xfId="0" applyNumberFormat="1" applyFont="1" applyFill="1" applyBorder="1" applyAlignment="1">
      <alignment horizontal="center"/>
    </xf>
    <xf numFmtId="0" fontId="23" fillId="22" borderId="10" xfId="0" applyFont="1" applyFill="1" applyBorder="1" applyAlignment="1"/>
    <xf numFmtId="0" fontId="23" fillId="0" borderId="10" xfId="0" applyFont="1" applyFill="1" applyBorder="1" applyAlignment="1"/>
    <xf numFmtId="1" fontId="10" fillId="30" borderId="5" xfId="0" applyNumberFormat="1" applyFont="1" applyFill="1" applyBorder="1" applyAlignment="1">
      <alignment horizontal="center" readingOrder="1"/>
    </xf>
    <xf numFmtId="20" fontId="14" fillId="0" borderId="5" xfId="0" applyNumberFormat="1" applyFont="1" applyBorder="1" applyAlignment="1">
      <alignment horizontal="left"/>
    </xf>
    <xf numFmtId="14" fontId="15" fillId="35" borderId="5" xfId="0" applyNumberFormat="1" applyFont="1" applyFill="1" applyBorder="1" applyAlignment="1">
      <alignment horizontal="left"/>
    </xf>
    <xf numFmtId="0" fontId="67" fillId="0" borderId="5" xfId="0" applyFont="1" applyBorder="1" applyAlignment="1">
      <alignment horizontal="left"/>
    </xf>
    <xf numFmtId="14" fontId="43" fillId="33" borderId="5" xfId="0" applyNumberFormat="1" applyFont="1" applyFill="1" applyBorder="1" applyAlignment="1">
      <alignment horizontal="left"/>
    </xf>
    <xf numFmtId="0" fontId="46" fillId="0" borderId="5" xfId="0" applyFont="1" applyBorder="1" applyAlignment="1">
      <alignment horizontal="left" wrapText="1"/>
    </xf>
    <xf numFmtId="0" fontId="46" fillId="13" borderId="5" xfId="0" applyFont="1" applyFill="1" applyBorder="1" applyAlignment="1">
      <alignment horizontal="left" wrapText="1"/>
    </xf>
    <xf numFmtId="0" fontId="43" fillId="0" borderId="5" xfId="0" applyFont="1" applyBorder="1" applyAlignment="1">
      <alignment horizontal="left" wrapText="1"/>
    </xf>
    <xf numFmtId="0" fontId="68" fillId="0" borderId="5" xfId="0" applyFont="1" applyBorder="1" applyAlignment="1">
      <alignment horizontal="left" wrapText="1"/>
    </xf>
    <xf numFmtId="0" fontId="68" fillId="13" borderId="5" xfId="0" applyFont="1" applyFill="1" applyBorder="1" applyAlignment="1">
      <alignment horizontal="left" wrapText="1"/>
    </xf>
    <xf numFmtId="14" fontId="44" fillId="33" borderId="5" xfId="0" applyNumberFormat="1" applyFont="1" applyFill="1" applyBorder="1" applyAlignment="1">
      <alignment horizontal="left"/>
    </xf>
    <xf numFmtId="0" fontId="45" fillId="4" borderId="5" xfId="0" applyFont="1" applyFill="1" applyBorder="1" applyAlignment="1">
      <alignment horizontal="left" wrapText="1"/>
    </xf>
    <xf numFmtId="0" fontId="45" fillId="13" borderId="5" xfId="0" applyFont="1" applyFill="1" applyBorder="1" applyAlignment="1">
      <alignment horizontal="left" wrapText="1"/>
    </xf>
    <xf numFmtId="0" fontId="17" fillId="13" borderId="5" xfId="0" applyFont="1" applyFill="1" applyBorder="1" applyAlignment="1">
      <alignment horizontal="left"/>
    </xf>
    <xf numFmtId="0" fontId="69" fillId="0" borderId="5" xfId="0" applyFont="1" applyBorder="1" applyAlignment="1">
      <alignment horizontal="left"/>
    </xf>
    <xf numFmtId="14" fontId="17" fillId="35" borderId="5" xfId="0" applyNumberFormat="1" applyFont="1" applyFill="1" applyBorder="1" applyAlignment="1">
      <alignment horizontal="left"/>
    </xf>
    <xf numFmtId="0" fontId="43" fillId="5" borderId="5" xfId="0" applyFont="1" applyFill="1" applyBorder="1" applyAlignment="1">
      <alignment horizontal="left"/>
    </xf>
    <xf numFmtId="14" fontId="44" fillId="5" borderId="5" xfId="0" applyNumberFormat="1" applyFont="1" applyFill="1" applyBorder="1" applyAlignment="1">
      <alignment horizontal="left"/>
    </xf>
    <xf numFmtId="0" fontId="53" fillId="0" borderId="5" xfId="0" applyFont="1" applyBorder="1" applyAlignment="1">
      <alignment horizontal="left" wrapText="1"/>
    </xf>
    <xf numFmtId="0" fontId="53" fillId="13" borderId="5" xfId="0" applyFont="1" applyFill="1" applyBorder="1" applyAlignment="1">
      <alignment horizontal="left" wrapText="1"/>
    </xf>
    <xf numFmtId="14" fontId="43" fillId="5" borderId="5" xfId="0" applyNumberFormat="1" applyFont="1" applyFill="1" applyBorder="1" applyAlignment="1">
      <alignment horizontal="left"/>
    </xf>
    <xf numFmtId="0" fontId="15" fillId="13" borderId="5" xfId="0" applyFont="1" applyFill="1" applyBorder="1" applyAlignment="1">
      <alignment horizontal="left"/>
    </xf>
    <xf numFmtId="0" fontId="44" fillId="16" borderId="5" xfId="0" applyFont="1" applyFill="1" applyBorder="1" applyAlignment="1">
      <alignment horizontal="left"/>
    </xf>
    <xf numFmtId="0" fontId="44" fillId="13" borderId="5" xfId="0" applyFont="1" applyFill="1" applyBorder="1" applyAlignment="1">
      <alignment horizontal="left"/>
    </xf>
    <xf numFmtId="0" fontId="15" fillId="13" borderId="5" xfId="0" applyFont="1" applyFill="1" applyBorder="1" applyAlignment="1">
      <alignment horizontal="left" wrapText="1"/>
    </xf>
    <xf numFmtId="0" fontId="44" fillId="5" borderId="5" xfId="0" applyFont="1" applyFill="1" applyBorder="1" applyAlignment="1">
      <alignment horizontal="left"/>
    </xf>
    <xf numFmtId="0" fontId="48" fillId="0" borderId="5" xfId="0" applyFont="1" applyBorder="1" applyAlignment="1">
      <alignment horizontal="left"/>
    </xf>
    <xf numFmtId="0" fontId="48" fillId="13" borderId="5" xfId="0" applyFont="1" applyFill="1" applyBorder="1" applyAlignment="1">
      <alignment horizontal="left" wrapText="1"/>
    </xf>
    <xf numFmtId="0" fontId="54" fillId="4" borderId="5" xfId="0" applyFont="1" applyFill="1" applyBorder="1" applyAlignment="1">
      <alignment horizontal="left"/>
    </xf>
    <xf numFmtId="0" fontId="54" fillId="0" borderId="5" xfId="0" applyFont="1" applyBorder="1" applyAlignment="1">
      <alignment horizontal="left"/>
    </xf>
    <xf numFmtId="0" fontId="43" fillId="13" borderId="5" xfId="0" applyFont="1" applyFill="1" applyBorder="1" applyAlignment="1">
      <alignment horizontal="left" wrapText="1"/>
    </xf>
    <xf numFmtId="0" fontId="38" fillId="0" borderId="5" xfId="0" applyFont="1" applyBorder="1" applyAlignment="1">
      <alignment horizontal="left"/>
    </xf>
    <xf numFmtId="0" fontId="16" fillId="13" borderId="5" xfId="0" applyFont="1" applyFill="1" applyBorder="1" applyAlignment="1">
      <alignment horizontal="left"/>
    </xf>
    <xf numFmtId="14" fontId="37" fillId="0" borderId="5" xfId="0" applyNumberFormat="1" applyFont="1" applyBorder="1" applyAlignment="1">
      <alignment horizontal="left"/>
    </xf>
    <xf numFmtId="0" fontId="70" fillId="0" borderId="5" xfId="0" applyFont="1" applyBorder="1" applyAlignment="1">
      <alignment horizontal="left"/>
    </xf>
    <xf numFmtId="0" fontId="21" fillId="0" borderId="5" xfId="0" applyFont="1" applyBorder="1" applyAlignment="1">
      <alignment horizontal="left"/>
    </xf>
    <xf numFmtId="0" fontId="43" fillId="34" borderId="5" xfId="0" applyFont="1" applyFill="1" applyBorder="1" applyAlignment="1">
      <alignment horizontal="left"/>
    </xf>
    <xf numFmtId="0" fontId="45" fillId="34" borderId="5" xfId="0" applyFont="1" applyFill="1" applyBorder="1" applyAlignment="1">
      <alignment horizontal="left"/>
    </xf>
    <xf numFmtId="0" fontId="48" fillId="0" borderId="5" xfId="0" applyFont="1" applyBorder="1" applyAlignment="1">
      <alignment horizontal="left" wrapText="1"/>
    </xf>
    <xf numFmtId="0" fontId="54" fillId="4" borderId="5" xfId="0" applyFont="1" applyFill="1" applyBorder="1" applyAlignment="1">
      <alignment horizontal="left" wrapText="1"/>
    </xf>
    <xf numFmtId="0" fontId="0" fillId="0" borderId="5" xfId="0" applyBorder="1"/>
    <xf numFmtId="14" fontId="15" fillId="44" borderId="5" xfId="0" applyNumberFormat="1" applyFont="1" applyFill="1" applyBorder="1" applyAlignment="1">
      <alignment horizontal="left"/>
    </xf>
    <xf numFmtId="14" fontId="16" fillId="0" borderId="5" xfId="0" applyNumberFormat="1" applyFont="1" applyBorder="1" applyAlignment="1">
      <alignment horizontal="left"/>
    </xf>
    <xf numFmtId="0" fontId="71" fillId="0" borderId="5" xfId="0" applyFont="1" applyBorder="1" applyAlignment="1">
      <alignment horizontal="left"/>
    </xf>
    <xf numFmtId="14" fontId="16" fillId="9" borderId="5" xfId="0" applyNumberFormat="1" applyFont="1" applyFill="1" applyBorder="1" applyAlignment="1">
      <alignment horizontal="left"/>
    </xf>
    <xf numFmtId="14" fontId="17" fillId="44" borderId="5" xfId="0" applyNumberFormat="1" applyFont="1" applyFill="1" applyBorder="1" applyAlignment="1">
      <alignment horizontal="left"/>
    </xf>
    <xf numFmtId="14" fontId="43" fillId="35" borderId="5" xfId="0" applyNumberFormat="1" applyFont="1" applyFill="1" applyBorder="1" applyAlignment="1">
      <alignment horizontal="left"/>
    </xf>
    <xf numFmtId="14" fontId="71" fillId="0" borderId="5" xfId="0" applyNumberFormat="1" applyFont="1" applyBorder="1" applyAlignment="1">
      <alignment horizontal="left"/>
    </xf>
    <xf numFmtId="0" fontId="72" fillId="0" borderId="5" xfId="0" applyFont="1" applyBorder="1" applyAlignment="1">
      <alignment horizontal="left"/>
    </xf>
    <xf numFmtId="0" fontId="39" fillId="0" borderId="0" xfId="0" applyFont="1"/>
    <xf numFmtId="0" fontId="73" fillId="0" borderId="5" xfId="0" applyFont="1" applyBorder="1" applyAlignment="1">
      <alignment horizontal="left"/>
    </xf>
    <xf numFmtId="1" fontId="10" fillId="36" borderId="5" xfId="0" applyNumberFormat="1" applyFont="1" applyFill="1" applyBorder="1" applyAlignment="1">
      <alignment horizontal="center" readingOrder="1"/>
    </xf>
    <xf numFmtId="0" fontId="13" fillId="6" borderId="17" xfId="0" applyFont="1" applyFill="1" applyBorder="1" applyAlignment="1">
      <alignment vertical="center" wrapText="1" readingOrder="1"/>
    </xf>
    <xf numFmtId="0" fontId="10" fillId="0" borderId="18" xfId="0" applyFont="1" applyBorder="1" applyAlignment="1">
      <alignment vertical="center" readingOrder="1"/>
    </xf>
    <xf numFmtId="0" fontId="10" fillId="0" borderId="17" xfId="0" applyFont="1" applyBorder="1" applyAlignment="1">
      <alignment vertical="center" readingOrder="1"/>
    </xf>
    <xf numFmtId="0" fontId="10" fillId="0" borderId="18" xfId="0" applyFont="1" applyBorder="1" applyAlignment="1">
      <alignment horizontal="center" readingOrder="1"/>
    </xf>
    <xf numFmtId="0" fontId="74" fillId="0" borderId="0" xfId="0" applyFont="1" applyAlignment="1"/>
    <xf numFmtId="0" fontId="74" fillId="0" borderId="5" xfId="0" applyFont="1" applyBorder="1" applyAlignment="1"/>
    <xf numFmtId="0" fontId="74" fillId="0" borderId="5" xfId="0" applyFont="1" applyBorder="1" applyAlignment="1">
      <alignment horizontal="center"/>
    </xf>
    <xf numFmtId="0" fontId="15" fillId="0" borderId="0" xfId="0" applyFont="1" applyAlignment="1">
      <alignment horizontal="center" vertical="center"/>
    </xf>
    <xf numFmtId="0" fontId="15" fillId="0" borderId="0" xfId="0" applyFont="1" applyAlignment="1">
      <alignment horizontal="left" vertical="center"/>
    </xf>
    <xf numFmtId="0" fontId="15" fillId="0" borderId="6" xfId="0" applyFont="1" applyBorder="1" applyAlignment="1">
      <alignment horizontal="left" vertical="center"/>
    </xf>
    <xf numFmtId="0" fontId="34" fillId="0" borderId="5" xfId="0" applyFont="1" applyBorder="1" applyAlignment="1">
      <alignment horizontal="left"/>
    </xf>
    <xf numFmtId="0" fontId="49" fillId="0" borderId="5" xfId="0" applyFont="1" applyBorder="1" applyAlignment="1">
      <alignment horizontal="center"/>
    </xf>
    <xf numFmtId="0" fontId="74" fillId="0" borderId="41" xfId="0" applyFont="1" applyBorder="1" applyAlignment="1"/>
    <xf numFmtId="0" fontId="49" fillId="0" borderId="5" xfId="0" applyFont="1" applyBorder="1" applyAlignment="1">
      <alignment horizontal="left"/>
    </xf>
    <xf numFmtId="0" fontId="49" fillId="0" borderId="5" xfId="0" applyFont="1" applyFill="1" applyBorder="1" applyAlignment="1">
      <alignment horizontal="left"/>
    </xf>
    <xf numFmtId="14" fontId="49" fillId="0" borderId="5" xfId="0" applyNumberFormat="1" applyFont="1" applyBorder="1" applyAlignment="1">
      <alignment horizontal="left"/>
    </xf>
    <xf numFmtId="0" fontId="49" fillId="0" borderId="9" xfId="0" applyFont="1" applyBorder="1" applyAlignment="1">
      <alignment horizontal="left"/>
    </xf>
    <xf numFmtId="0" fontId="15" fillId="0" borderId="9" xfId="0" applyFont="1" applyBorder="1" applyAlignment="1">
      <alignment horizontal="center"/>
    </xf>
    <xf numFmtId="14" fontId="15" fillId="0" borderId="5" xfId="0" applyNumberFormat="1" applyFont="1" applyBorder="1" applyAlignment="1">
      <alignment horizontal="left" vertical="center"/>
    </xf>
    <xf numFmtId="14" fontId="49" fillId="16" borderId="5" xfId="0" applyNumberFormat="1" applyFont="1" applyFill="1" applyBorder="1" applyAlignment="1">
      <alignment horizontal="left"/>
    </xf>
    <xf numFmtId="0" fontId="49" fillId="16" borderId="5" xfId="0" applyFont="1" applyFill="1" applyBorder="1" applyAlignment="1">
      <alignment horizontal="center"/>
    </xf>
    <xf numFmtId="0" fontId="74" fillId="16" borderId="5" xfId="0" applyFont="1" applyFill="1" applyBorder="1" applyAlignment="1"/>
    <xf numFmtId="0" fontId="74" fillId="16" borderId="0" xfId="0" applyFont="1" applyFill="1" applyAlignment="1"/>
    <xf numFmtId="17" fontId="74" fillId="0" borderId="41" xfId="0" applyNumberFormat="1" applyFont="1" applyBorder="1" applyAlignment="1">
      <alignment horizontal="center"/>
    </xf>
    <xf numFmtId="14" fontId="74" fillId="16" borderId="5" xfId="0" applyNumberFormat="1" applyFont="1" applyFill="1" applyBorder="1" applyAlignment="1">
      <alignment horizontal="center"/>
    </xf>
    <xf numFmtId="0" fontId="74" fillId="0" borderId="41" xfId="0" applyFont="1" applyBorder="1" applyAlignment="1">
      <alignment horizontal="center"/>
    </xf>
    <xf numFmtId="0" fontId="74" fillId="16" borderId="5" xfId="0" applyFont="1" applyFill="1" applyBorder="1" applyAlignment="1">
      <alignment horizontal="center"/>
    </xf>
    <xf numFmtId="14" fontId="74" fillId="25" borderId="5" xfId="0" applyNumberFormat="1" applyFont="1" applyFill="1" applyBorder="1" applyAlignment="1"/>
    <xf numFmtId="0" fontId="74" fillId="25" borderId="5" xfId="0" applyFont="1" applyFill="1" applyBorder="1" applyAlignment="1"/>
    <xf numFmtId="0" fontId="15" fillId="25" borderId="5" xfId="0" applyFont="1" applyFill="1" applyBorder="1" applyAlignment="1">
      <alignment horizontal="center" vertical="center"/>
    </xf>
    <xf numFmtId="14" fontId="15" fillId="25" borderId="9" xfId="0" applyNumberFormat="1" applyFont="1" applyFill="1" applyBorder="1" applyAlignment="1">
      <alignment horizontal="left"/>
    </xf>
    <xf numFmtId="0" fontId="15" fillId="29" borderId="5" xfId="0" applyFont="1" applyFill="1" applyBorder="1" applyAlignment="1">
      <alignment horizontal="left" vertical="center"/>
    </xf>
    <xf numFmtId="0" fontId="15" fillId="29" borderId="5" xfId="0" applyFont="1" applyFill="1" applyBorder="1" applyAlignment="1">
      <alignment horizontal="center"/>
    </xf>
    <xf numFmtId="0" fontId="15" fillId="29" borderId="5" xfId="0" applyFont="1" applyFill="1" applyBorder="1" applyAlignment="1">
      <alignment horizontal="center" vertical="center"/>
    </xf>
    <xf numFmtId="0" fontId="15" fillId="29" borderId="9" xfId="0" applyFont="1" applyFill="1" applyBorder="1" applyAlignment="1">
      <alignment horizontal="left" vertical="center"/>
    </xf>
    <xf numFmtId="0" fontId="45" fillId="29" borderId="5" xfId="0" applyFont="1" applyFill="1" applyBorder="1" applyAlignment="1">
      <alignment horizontal="center"/>
    </xf>
    <xf numFmtId="14" fontId="15" fillId="29" borderId="5" xfId="0" applyNumberFormat="1" applyFont="1" applyFill="1" applyBorder="1" applyAlignment="1">
      <alignment horizontal="left" vertical="center"/>
    </xf>
    <xf numFmtId="14" fontId="15" fillId="29" borderId="5" xfId="0" applyNumberFormat="1" applyFont="1" applyFill="1" applyBorder="1" applyAlignment="1">
      <alignment horizontal="center" vertical="center"/>
    </xf>
    <xf numFmtId="17" fontId="15" fillId="29" borderId="9" xfId="0" applyNumberFormat="1" applyFont="1" applyFill="1" applyBorder="1" applyAlignment="1">
      <alignment horizontal="center" vertical="center"/>
    </xf>
    <xf numFmtId="17" fontId="74" fillId="29" borderId="5" xfId="0" applyNumberFormat="1" applyFont="1" applyFill="1" applyBorder="1" applyAlignment="1">
      <alignment horizontal="center"/>
    </xf>
    <xf numFmtId="0" fontId="74" fillId="29" borderId="5" xfId="0" applyFont="1" applyFill="1" applyBorder="1" applyAlignment="1">
      <alignment horizontal="center"/>
    </xf>
    <xf numFmtId="0" fontId="74" fillId="29" borderId="5" xfId="0" applyFont="1" applyFill="1" applyBorder="1" applyAlignment="1"/>
    <xf numFmtId="0" fontId="75" fillId="29" borderId="0" xfId="0" applyFont="1" applyFill="1" applyAlignment="1">
      <alignment horizontal="center"/>
    </xf>
    <xf numFmtId="0" fontId="15" fillId="29" borderId="5" xfId="0" applyFont="1" applyFill="1" applyBorder="1" applyAlignment="1">
      <alignment horizontal="left"/>
    </xf>
    <xf numFmtId="17" fontId="15" fillId="29" borderId="5" xfId="0" applyNumberFormat="1" applyFont="1" applyFill="1" applyBorder="1" applyAlignment="1">
      <alignment horizontal="center" vertical="center"/>
    </xf>
    <xf numFmtId="0" fontId="15" fillId="29" borderId="5" xfId="0" applyFont="1" applyFill="1" applyBorder="1"/>
    <xf numFmtId="14" fontId="15" fillId="29" borderId="5" xfId="0" applyNumberFormat="1" applyFont="1" applyFill="1" applyBorder="1" applyAlignment="1">
      <alignment horizontal="center"/>
    </xf>
    <xf numFmtId="0" fontId="15" fillId="29" borderId="5" xfId="0" applyFont="1" applyFill="1" applyBorder="1" applyAlignment="1"/>
    <xf numFmtId="0" fontId="15" fillId="29" borderId="5" xfId="0" applyFont="1" applyFill="1" applyBorder="1" applyAlignment="1">
      <alignment horizontal="center" wrapText="1"/>
    </xf>
    <xf numFmtId="17" fontId="15" fillId="29" borderId="5" xfId="0" applyNumberFormat="1" applyFont="1" applyFill="1" applyBorder="1" applyAlignment="1">
      <alignment horizontal="center"/>
    </xf>
    <xf numFmtId="49" fontId="14" fillId="0" borderId="5" xfId="0" applyNumberFormat="1" applyFont="1" applyBorder="1" applyAlignment="1">
      <alignment horizontal="left"/>
    </xf>
    <xf numFmtId="0" fontId="43" fillId="33" borderId="5" xfId="0" applyFont="1" applyFill="1" applyBorder="1" applyAlignment="1">
      <alignment horizontal="left"/>
    </xf>
    <xf numFmtId="49" fontId="14" fillId="0" borderId="1" xfId="0" applyNumberFormat="1" applyFont="1" applyBorder="1" applyAlignment="1">
      <alignment horizontal="left"/>
    </xf>
    <xf numFmtId="0" fontId="67" fillId="0" borderId="1" xfId="0" applyFont="1" applyBorder="1" applyAlignment="1">
      <alignment horizontal="left"/>
    </xf>
    <xf numFmtId="14" fontId="15" fillId="33" borderId="1" xfId="0" applyNumberFormat="1" applyFont="1" applyFill="1" applyBorder="1" applyAlignment="1">
      <alignment horizontal="left"/>
    </xf>
    <xf numFmtId="0" fontId="49" fillId="16" borderId="5" xfId="0" applyFont="1" applyFill="1" applyBorder="1" applyAlignment="1">
      <alignment horizontal="left"/>
    </xf>
    <xf numFmtId="0" fontId="67" fillId="0" borderId="5" xfId="0" applyFont="1" applyBorder="1" applyAlignment="1">
      <alignment horizontal="left" wrapText="1"/>
    </xf>
    <xf numFmtId="0" fontId="43" fillId="0" borderId="1" xfId="0" applyFont="1" applyBorder="1" applyAlignment="1">
      <alignment horizontal="left"/>
    </xf>
    <xf numFmtId="49" fontId="45" fillId="0" borderId="5" xfId="0" applyNumberFormat="1" applyFont="1" applyBorder="1"/>
    <xf numFmtId="14" fontId="45" fillId="0" borderId="5" xfId="0" applyNumberFormat="1" applyFont="1" applyBorder="1"/>
    <xf numFmtId="0" fontId="76" fillId="0" borderId="5" xfId="0" applyFont="1" applyBorder="1" applyAlignment="1">
      <alignment horizontal="left"/>
    </xf>
    <xf numFmtId="49" fontId="44" fillId="0" borderId="5" xfId="0" applyNumberFormat="1" applyFont="1" applyBorder="1" applyAlignment="1">
      <alignment horizontal="left"/>
    </xf>
    <xf numFmtId="0" fontId="44" fillId="0" borderId="5" xfId="0" applyFont="1" applyBorder="1" applyAlignment="1">
      <alignment horizontal="left" wrapText="1"/>
    </xf>
    <xf numFmtId="49" fontId="45" fillId="4" borderId="5" xfId="0" applyNumberFormat="1" applyFont="1" applyFill="1" applyBorder="1"/>
    <xf numFmtId="49" fontId="15" fillId="0" borderId="5" xfId="0" applyNumberFormat="1" applyFont="1" applyBorder="1" applyAlignment="1">
      <alignment horizontal="left" vertical="center" wrapText="1"/>
    </xf>
    <xf numFmtId="0" fontId="15" fillId="13" borderId="5" xfId="0" applyFont="1" applyFill="1" applyBorder="1" applyAlignment="1">
      <alignment horizontal="left" vertical="center"/>
    </xf>
    <xf numFmtId="14" fontId="49" fillId="33" borderId="1" xfId="0" applyNumberFormat="1" applyFont="1" applyFill="1" applyBorder="1" applyAlignment="1">
      <alignment horizontal="left"/>
    </xf>
    <xf numFmtId="0" fontId="43" fillId="16" borderId="1" xfId="0" applyFont="1" applyFill="1" applyBorder="1" applyAlignment="1">
      <alignment horizontal="left"/>
    </xf>
    <xf numFmtId="0" fontId="49" fillId="16" borderId="1" xfId="0" applyFont="1" applyFill="1" applyBorder="1" applyAlignment="1">
      <alignment horizontal="left"/>
    </xf>
    <xf numFmtId="0" fontId="77" fillId="0" borderId="5" xfId="1" applyFont="1" applyFill="1" applyBorder="1" applyAlignment="1">
      <alignment horizontal="left"/>
    </xf>
    <xf numFmtId="49" fontId="15" fillId="0" borderId="5" xfId="0" applyNumberFormat="1" applyFont="1" applyBorder="1" applyAlignment="1">
      <alignment horizontal="left" wrapText="1"/>
    </xf>
    <xf numFmtId="49" fontId="14" fillId="16" borderId="5" xfId="0" applyNumberFormat="1" applyFont="1" applyFill="1" applyBorder="1" applyAlignment="1">
      <alignment horizontal="left"/>
    </xf>
    <xf numFmtId="0" fontId="78" fillId="0" borderId="5" xfId="1" applyFont="1" applyBorder="1" applyAlignment="1">
      <alignment horizontal="left"/>
    </xf>
    <xf numFmtId="14" fontId="49" fillId="35" borderId="5" xfId="0" applyNumberFormat="1" applyFont="1" applyFill="1" applyBorder="1" applyAlignment="1">
      <alignment horizontal="left"/>
    </xf>
    <xf numFmtId="49" fontId="15" fillId="0" borderId="5" xfId="0" applyNumberFormat="1" applyFont="1" applyBorder="1" applyAlignment="1">
      <alignment horizontal="left"/>
    </xf>
    <xf numFmtId="49" fontId="15" fillId="0" borderId="1" xfId="0" applyNumberFormat="1" applyFont="1" applyBorder="1" applyAlignment="1">
      <alignment horizontal="left"/>
    </xf>
    <xf numFmtId="0" fontId="79" fillId="0" borderId="0" xfId="0" applyFont="1"/>
    <xf numFmtId="14" fontId="37" fillId="16" borderId="5" xfId="0" applyNumberFormat="1" applyFont="1" applyFill="1" applyBorder="1" applyAlignment="1">
      <alignment horizontal="left"/>
    </xf>
    <xf numFmtId="49" fontId="45" fillId="16" borderId="5" xfId="0" applyNumberFormat="1" applyFont="1" applyFill="1" applyBorder="1"/>
    <xf numFmtId="0" fontId="45" fillId="16" borderId="5" xfId="0" applyFont="1" applyFill="1" applyBorder="1"/>
    <xf numFmtId="0" fontId="47" fillId="16" borderId="5" xfId="0" applyFont="1" applyFill="1" applyBorder="1" applyAlignment="1">
      <alignment wrapText="1"/>
    </xf>
    <xf numFmtId="0" fontId="41" fillId="0" borderId="0" xfId="0" applyFont="1"/>
    <xf numFmtId="0" fontId="37" fillId="0" borderId="7" xfId="0" applyFont="1" applyBorder="1" applyAlignment="1">
      <alignment horizontal="left"/>
    </xf>
    <xf numFmtId="0" fontId="14" fillId="0" borderId="7" xfId="0" applyFont="1" applyBorder="1" applyAlignment="1">
      <alignment horizontal="left"/>
    </xf>
    <xf numFmtId="49" fontId="14" fillId="0" borderId="7" xfId="0" applyNumberFormat="1" applyFont="1" applyBorder="1" applyAlignment="1">
      <alignment horizontal="left"/>
    </xf>
    <xf numFmtId="0" fontId="14" fillId="13" borderId="7" xfId="0" applyFont="1" applyFill="1" applyBorder="1" applyAlignment="1">
      <alignment horizontal="left"/>
    </xf>
    <xf numFmtId="0" fontId="67" fillId="0" borderId="7" xfId="0" applyFont="1" applyBorder="1" applyAlignment="1">
      <alignment horizontal="left"/>
    </xf>
    <xf numFmtId="0" fontId="78" fillId="0" borderId="0" xfId="1" applyFont="1" applyAlignment="1">
      <alignment horizontal="left"/>
    </xf>
    <xf numFmtId="0" fontId="14" fillId="13" borderId="0" xfId="0" applyFont="1" applyFill="1" applyAlignment="1">
      <alignment horizontal="left"/>
    </xf>
    <xf numFmtId="14" fontId="14" fillId="0" borderId="0" xfId="0" applyNumberFormat="1" applyFont="1" applyAlignment="1">
      <alignment horizontal="left"/>
    </xf>
    <xf numFmtId="49" fontId="45" fillId="4" borderId="8" xfId="0" applyNumberFormat="1" applyFont="1" applyFill="1" applyBorder="1"/>
    <xf numFmtId="0" fontId="45" fillId="4" borderId="8" xfId="0" applyFont="1" applyFill="1" applyBorder="1"/>
    <xf numFmtId="0" fontId="45" fillId="4" borderId="39" xfId="0" applyFont="1" applyFill="1" applyBorder="1"/>
    <xf numFmtId="0" fontId="47" fillId="4" borderId="7" xfId="0" applyFont="1" applyFill="1" applyBorder="1" applyAlignment="1">
      <alignment wrapText="1"/>
    </xf>
    <xf numFmtId="0" fontId="67" fillId="0" borderId="0" xfId="0" applyFont="1" applyAlignment="1">
      <alignment horizontal="left" wrapText="1"/>
    </xf>
    <xf numFmtId="0" fontId="37" fillId="0" borderId="0" xfId="0" applyFont="1" applyAlignment="1">
      <alignment horizontal="left"/>
    </xf>
    <xf numFmtId="49" fontId="14" fillId="0" borderId="0" xfId="0" applyNumberFormat="1" applyFont="1" applyAlignment="1">
      <alignment horizontal="left"/>
    </xf>
    <xf numFmtId="0" fontId="45" fillId="4" borderId="4" xfId="0" applyFont="1" applyFill="1" applyBorder="1"/>
    <xf numFmtId="0" fontId="45" fillId="13" borderId="42" xfId="0" applyFont="1" applyFill="1" applyBorder="1"/>
    <xf numFmtId="0" fontId="45" fillId="4" borderId="42" xfId="0" applyFont="1" applyFill="1" applyBorder="1"/>
    <xf numFmtId="0" fontId="45" fillId="0" borderId="4" xfId="0" applyFont="1" applyBorder="1"/>
    <xf numFmtId="49" fontId="14" fillId="0" borderId="5" xfId="0" applyNumberFormat="1" applyFont="1" applyBorder="1" applyAlignment="1">
      <alignment horizontal="center"/>
    </xf>
    <xf numFmtId="0" fontId="19" fillId="0" borderId="5" xfId="0" applyFont="1" applyBorder="1" applyAlignment="1">
      <alignment wrapText="1"/>
    </xf>
    <xf numFmtId="0" fontId="19" fillId="13" borderId="5" xfId="0" applyFont="1" applyFill="1" applyBorder="1" applyAlignment="1">
      <alignment wrapText="1"/>
    </xf>
    <xf numFmtId="0" fontId="80" fillId="4" borderId="5" xfId="0" applyFont="1" applyFill="1" applyBorder="1"/>
    <xf numFmtId="0" fontId="80" fillId="13" borderId="5" xfId="0" applyFont="1" applyFill="1" applyBorder="1"/>
    <xf numFmtId="14" fontId="0" fillId="0" borderId="0" xfId="0" applyNumberFormat="1" applyFont="1" applyFill="1" applyAlignment="1"/>
    <xf numFmtId="0" fontId="80" fillId="0" borderId="5" xfId="0" applyFont="1" applyBorder="1"/>
    <xf numFmtId="0" fontId="47" fillId="13" borderId="5" xfId="0" applyFont="1" applyFill="1" applyBorder="1" applyAlignment="1">
      <alignment wrapText="1"/>
    </xf>
    <xf numFmtId="0" fontId="80" fillId="4" borderId="5" xfId="0" applyFont="1" applyFill="1" applyBorder="1" applyAlignment="1">
      <alignment horizontal="center"/>
    </xf>
    <xf numFmtId="14" fontId="43" fillId="45" borderId="5" xfId="0" applyNumberFormat="1" applyFont="1" applyFill="1" applyBorder="1" applyAlignment="1">
      <alignment horizontal="left"/>
    </xf>
    <xf numFmtId="0" fontId="82" fillId="29" borderId="5" xfId="0" applyFont="1" applyFill="1" applyBorder="1" applyAlignment="1">
      <alignment horizontal="center" wrapText="1"/>
    </xf>
    <xf numFmtId="0" fontId="17" fillId="26" borderId="5" xfId="0" applyFont="1" applyFill="1" applyBorder="1" applyAlignment="1">
      <alignment horizontal="left"/>
    </xf>
    <xf numFmtId="0" fontId="17" fillId="26" borderId="8" xfId="0" applyFont="1" applyFill="1" applyBorder="1" applyAlignment="1">
      <alignment horizontal="left" wrapText="1"/>
    </xf>
    <xf numFmtId="0" fontId="17" fillId="26" borderId="39" xfId="0" applyFont="1" applyFill="1" applyBorder="1" applyAlignment="1">
      <alignment horizontal="left" wrapText="1"/>
    </xf>
    <xf numFmtId="0" fontId="17" fillId="26" borderId="10" xfId="0" applyFont="1" applyFill="1" applyBorder="1" applyAlignment="1">
      <alignment horizontal="left" wrapText="1"/>
    </xf>
    <xf numFmtId="0" fontId="53" fillId="26" borderId="5" xfId="0" applyFont="1" applyFill="1" applyBorder="1" applyAlignment="1">
      <alignment wrapText="1"/>
    </xf>
    <xf numFmtId="14" fontId="17" fillId="26" borderId="5" xfId="0" applyNumberFormat="1" applyFont="1" applyFill="1" applyBorder="1" applyAlignment="1">
      <alignment horizontal="left"/>
    </xf>
    <xf numFmtId="0" fontId="20" fillId="26" borderId="5" xfId="0" applyFont="1" applyFill="1" applyBorder="1" applyAlignment="1">
      <alignment horizontal="center"/>
    </xf>
    <xf numFmtId="0" fontId="81" fillId="26" borderId="0" xfId="0" applyFont="1" applyFill="1" applyAlignment="1"/>
    <xf numFmtId="0" fontId="12" fillId="6" borderId="17" xfId="0" applyFont="1" applyFill="1" applyBorder="1" applyAlignment="1">
      <alignment readingOrder="1"/>
    </xf>
    <xf numFmtId="0" fontId="11" fillId="6" borderId="17" xfId="0" applyFont="1" applyFill="1" applyBorder="1" applyAlignment="1">
      <alignment readingOrder="1"/>
    </xf>
    <xf numFmtId="0" fontId="11" fillId="0" borderId="17" xfId="0" applyFont="1" applyFill="1" applyBorder="1" applyAlignment="1">
      <alignment horizontal="center" readingOrder="1"/>
    </xf>
    <xf numFmtId="20" fontId="15" fillId="0" borderId="5" xfId="0" applyNumberFormat="1" applyFont="1" applyBorder="1" applyAlignment="1">
      <alignment horizontal="left"/>
    </xf>
    <xf numFmtId="0" fontId="83" fillId="0" borderId="5" xfId="0" applyFont="1" applyBorder="1" applyAlignment="1">
      <alignment horizontal="left"/>
    </xf>
    <xf numFmtId="20" fontId="49" fillId="0" borderId="5" xfId="0" applyNumberFormat="1" applyFont="1" applyBorder="1" applyAlignment="1">
      <alignment horizontal="left"/>
    </xf>
    <xf numFmtId="0" fontId="45" fillId="16" borderId="5" xfId="0" applyFont="1" applyFill="1" applyBorder="1" applyAlignment="1">
      <alignment horizontal="left"/>
    </xf>
    <xf numFmtId="0" fontId="45" fillId="0" borderId="5" xfId="0" applyFont="1" applyBorder="1" applyAlignment="1">
      <alignment horizontal="center" wrapText="1"/>
    </xf>
    <xf numFmtId="0" fontId="45" fillId="16" borderId="7" xfId="0" applyFont="1" applyFill="1" applyBorder="1" applyAlignment="1">
      <alignment horizontal="center"/>
    </xf>
    <xf numFmtId="0" fontId="45" fillId="16" borderId="5" xfId="0" applyFont="1" applyFill="1" applyBorder="1" applyAlignment="1">
      <alignment horizontal="center"/>
    </xf>
    <xf numFmtId="49" fontId="15" fillId="16" borderId="5" xfId="0" applyNumberFormat="1" applyFont="1" applyFill="1" applyBorder="1" applyAlignment="1">
      <alignment horizontal="center"/>
    </xf>
    <xf numFmtId="49" fontId="45" fillId="16" borderId="5" xfId="0" applyNumberFormat="1" applyFont="1" applyFill="1" applyBorder="1" applyAlignment="1">
      <alignment horizontal="center"/>
    </xf>
    <xf numFmtId="49" fontId="49" fillId="16" borderId="5" xfId="0" applyNumberFormat="1" applyFont="1" applyFill="1" applyBorder="1" applyAlignment="1">
      <alignment horizontal="center"/>
    </xf>
    <xf numFmtId="14" fontId="49" fillId="16" borderId="5" xfId="0" applyNumberFormat="1" applyFont="1" applyFill="1" applyBorder="1" applyAlignment="1">
      <alignment horizontal="center"/>
    </xf>
    <xf numFmtId="0" fontId="15" fillId="25" borderId="5" xfId="0" applyFont="1" applyFill="1" applyBorder="1" applyAlignment="1">
      <alignment horizontal="left" vertical="center"/>
    </xf>
    <xf numFmtId="14" fontId="49" fillId="33" borderId="0" xfId="0" applyNumberFormat="1" applyFont="1" applyFill="1" applyAlignment="1">
      <alignment horizontal="left"/>
    </xf>
    <xf numFmtId="0" fontId="43" fillId="0" borderId="0" xfId="0" applyFont="1" applyAlignment="1">
      <alignment horizontal="left" wrapText="1"/>
    </xf>
    <xf numFmtId="14" fontId="43" fillId="35" borderId="0" xfId="0" applyNumberFormat="1" applyFont="1" applyFill="1" applyAlignment="1">
      <alignment horizontal="left"/>
    </xf>
    <xf numFmtId="0" fontId="67" fillId="0" borderId="1" xfId="0" applyFont="1" applyBorder="1" applyAlignment="1">
      <alignment horizontal="left" wrapText="1"/>
    </xf>
    <xf numFmtId="0" fontId="84" fillId="0" borderId="5" xfId="0" applyFont="1" applyBorder="1" applyAlignment="1">
      <alignment wrapText="1"/>
    </xf>
    <xf numFmtId="14" fontId="14" fillId="44" borderId="6" xfId="0" applyNumberFormat="1" applyFont="1" applyFill="1" applyBorder="1" applyAlignment="1">
      <alignment horizontal="left"/>
    </xf>
    <xf numFmtId="0" fontId="43" fillId="0" borderId="5" xfId="0" applyFont="1" applyBorder="1" applyAlignment="1">
      <alignment wrapText="1"/>
    </xf>
    <xf numFmtId="0" fontId="84" fillId="0" borderId="0" xfId="0" applyFont="1" applyAlignment="1">
      <alignment wrapText="1"/>
    </xf>
    <xf numFmtId="0" fontId="43" fillId="0" borderId="0" xfId="0" applyFont="1" applyAlignment="1">
      <alignment wrapText="1"/>
    </xf>
    <xf numFmtId="0" fontId="43" fillId="0" borderId="5" xfId="0" applyFont="1" applyBorder="1" applyAlignment="1">
      <alignment horizontal="left" vertical="center"/>
    </xf>
    <xf numFmtId="0" fontId="57" fillId="0" borderId="0" xfId="0" applyFont="1" applyAlignment="1">
      <alignment wrapText="1"/>
    </xf>
    <xf numFmtId="0" fontId="84" fillId="0" borderId="0" xfId="0" applyFont="1"/>
    <xf numFmtId="0" fontId="0" fillId="0" borderId="4" xfId="0" applyFont="1" applyFill="1" applyBorder="1" applyAlignment="1">
      <alignment wrapText="1"/>
    </xf>
    <xf numFmtId="0" fontId="85" fillId="6" borderId="19" xfId="0" applyFont="1" applyFill="1" applyBorder="1" applyAlignment="1">
      <alignment horizontal="center" readingOrder="1"/>
    </xf>
    <xf numFmtId="0" fontId="85" fillId="15" borderId="17" xfId="0" applyFont="1" applyFill="1" applyBorder="1" applyAlignment="1">
      <alignment horizontal="center" readingOrder="1"/>
    </xf>
    <xf numFmtId="0" fontId="85" fillId="15" borderId="17" xfId="0" applyFont="1" applyFill="1" applyBorder="1" applyAlignment="1">
      <alignment horizontal="center" vertical="center" readingOrder="1"/>
    </xf>
    <xf numFmtId="0" fontId="85" fillId="13" borderId="17" xfId="0" applyFont="1" applyFill="1" applyBorder="1" applyAlignment="1">
      <alignment horizontal="center" readingOrder="1"/>
    </xf>
    <xf numFmtId="0" fontId="85" fillId="13" borderId="17" xfId="0" applyFont="1" applyFill="1" applyBorder="1" applyAlignment="1">
      <alignment horizontal="center" vertical="center" readingOrder="1"/>
    </xf>
    <xf numFmtId="0" fontId="37" fillId="5" borderId="40" xfId="0" applyFont="1" applyFill="1" applyBorder="1" applyAlignment="1">
      <alignment horizontal="left" vertical="center" wrapText="1"/>
    </xf>
    <xf numFmtId="49" fontId="37" fillId="5" borderId="40" xfId="0" applyNumberFormat="1" applyFont="1" applyFill="1" applyBorder="1" applyAlignment="1">
      <alignment horizontal="left" vertical="center" wrapText="1"/>
    </xf>
    <xf numFmtId="14" fontId="37" fillId="5" borderId="40" xfId="0" applyNumberFormat="1" applyFont="1" applyFill="1" applyBorder="1" applyAlignment="1">
      <alignment horizontal="left" vertical="center" wrapText="1"/>
    </xf>
    <xf numFmtId="0" fontId="37" fillId="5" borderId="47" xfId="0" applyFont="1" applyFill="1" applyBorder="1" applyAlignment="1">
      <alignment horizontal="left" vertical="center" wrapText="1"/>
    </xf>
    <xf numFmtId="0" fontId="86" fillId="5" borderId="1" xfId="0" applyFont="1" applyFill="1" applyBorder="1" applyAlignment="1">
      <alignment horizontal="left" vertical="center"/>
    </xf>
    <xf numFmtId="0" fontId="37" fillId="5" borderId="48" xfId="0" applyFont="1" applyFill="1" applyBorder="1" applyAlignment="1">
      <alignment horizontal="left" vertical="center" wrapText="1"/>
    </xf>
    <xf numFmtId="0" fontId="37" fillId="5" borderId="40" xfId="0" applyFont="1" applyFill="1" applyBorder="1" applyAlignment="1">
      <alignment horizontal="left" vertical="center"/>
    </xf>
    <xf numFmtId="0" fontId="37" fillId="16" borderId="40"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57" fillId="0" borderId="5" xfId="0" applyFont="1" applyBorder="1" applyAlignment="1">
      <alignment horizontal="left"/>
    </xf>
    <xf numFmtId="0" fontId="57" fillId="13" borderId="5" xfId="0" applyFont="1" applyFill="1" applyBorder="1" applyAlignment="1"/>
    <xf numFmtId="14" fontId="57" fillId="0" borderId="5" xfId="0" applyNumberFormat="1" applyFont="1" applyBorder="1" applyAlignment="1"/>
    <xf numFmtId="0" fontId="57" fillId="0" borderId="5" xfId="0" applyFont="1" applyBorder="1" applyAlignment="1"/>
    <xf numFmtId="0" fontId="57" fillId="16" borderId="5" xfId="0" applyFont="1" applyFill="1" applyBorder="1" applyAlignment="1"/>
    <xf numFmtId="0" fontId="77" fillId="0" borderId="5" xfId="0" applyFont="1" applyBorder="1" applyAlignment="1">
      <alignment vertical="center" wrapText="1"/>
    </xf>
    <xf numFmtId="0" fontId="88" fillId="0" borderId="5" xfId="0" applyFont="1" applyBorder="1" applyAlignment="1"/>
    <xf numFmtId="14" fontId="88" fillId="0" borderId="5" xfId="0" applyNumberFormat="1" applyFont="1" applyBorder="1" applyAlignment="1"/>
    <xf numFmtId="20" fontId="57" fillId="0" borderId="5" xfId="0" applyNumberFormat="1" applyFont="1" applyBorder="1" applyAlignment="1"/>
    <xf numFmtId="14" fontId="88" fillId="0" borderId="9" xfId="0" applyNumberFormat="1" applyFont="1" applyBorder="1" applyAlignment="1"/>
    <xf numFmtId="0" fontId="89" fillId="0" borderId="5" xfId="0" applyFont="1" applyBorder="1" applyAlignment="1">
      <alignment horizontal="left" wrapText="1"/>
    </xf>
    <xf numFmtId="14" fontId="15" fillId="35" borderId="6" xfId="0" applyNumberFormat="1" applyFont="1" applyFill="1" applyBorder="1" applyAlignment="1">
      <alignment horizontal="left"/>
    </xf>
    <xf numFmtId="0" fontId="82" fillId="16" borderId="5" xfId="0" applyFont="1" applyFill="1" applyBorder="1" applyAlignment="1">
      <alignment horizontal="left"/>
    </xf>
    <xf numFmtId="0" fontId="37" fillId="0" borderId="5" xfId="0" applyFont="1" applyBorder="1" applyAlignment="1"/>
    <xf numFmtId="14" fontId="15" fillId="33" borderId="6" xfId="0" applyNumberFormat="1" applyFont="1" applyFill="1" applyBorder="1" applyAlignment="1">
      <alignment horizontal="left"/>
    </xf>
    <xf numFmtId="0" fontId="90" fillId="4" borderId="5" xfId="0" applyFont="1" applyFill="1" applyBorder="1" applyAlignment="1">
      <alignment horizontal="left"/>
    </xf>
    <xf numFmtId="0" fontId="90" fillId="13" borderId="5" xfId="0" applyFont="1" applyFill="1" applyBorder="1" applyAlignment="1"/>
    <xf numFmtId="0" fontId="90" fillId="4" borderId="5" xfId="0" applyFont="1" applyFill="1" applyBorder="1" applyAlignment="1"/>
    <xf numFmtId="14" fontId="90" fillId="4" borderId="5" xfId="0" applyNumberFormat="1" applyFont="1" applyFill="1" applyBorder="1" applyAlignment="1"/>
    <xf numFmtId="49" fontId="88" fillId="0" borderId="5" xfId="0" applyNumberFormat="1" applyFont="1" applyBorder="1" applyAlignment="1">
      <alignment horizontal="left"/>
    </xf>
    <xf numFmtId="0" fontId="88" fillId="13" borderId="5" xfId="0" applyFont="1" applyFill="1" applyBorder="1" applyAlignment="1"/>
    <xf numFmtId="20" fontId="88" fillId="0" borderId="5" xfId="0" applyNumberFormat="1" applyFont="1" applyBorder="1" applyAlignment="1"/>
    <xf numFmtId="14" fontId="37" fillId="5" borderId="5" xfId="0" applyNumberFormat="1" applyFont="1" applyFill="1" applyBorder="1" applyAlignment="1"/>
    <xf numFmtId="49" fontId="14" fillId="0" borderId="5" xfId="0" applyNumberFormat="1" applyFont="1" applyBorder="1" applyAlignment="1"/>
    <xf numFmtId="0" fontId="14" fillId="13" borderId="5" xfId="0" applyFont="1" applyFill="1" applyBorder="1" applyAlignment="1"/>
    <xf numFmtId="14" fontId="14" fillId="0" borderId="1" xfId="0" applyNumberFormat="1" applyFont="1" applyBorder="1" applyAlignment="1"/>
    <xf numFmtId="20" fontId="14" fillId="0" borderId="1" xfId="0" applyNumberFormat="1" applyFont="1" applyBorder="1" applyAlignment="1"/>
    <xf numFmtId="14" fontId="14" fillId="0" borderId="2" xfId="0" applyNumberFormat="1" applyFont="1" applyBorder="1" applyAlignment="1"/>
    <xf numFmtId="0" fontId="84" fillId="0" borderId="1" xfId="0" applyFont="1" applyBorder="1" applyAlignment="1">
      <alignment wrapText="1"/>
    </xf>
    <xf numFmtId="0" fontId="89" fillId="0" borderId="1" xfId="0" applyFont="1" applyBorder="1" applyAlignment="1">
      <alignment horizontal="left" wrapText="1"/>
    </xf>
    <xf numFmtId="14" fontId="15" fillId="33" borderId="3" xfId="0" applyNumberFormat="1" applyFont="1" applyFill="1" applyBorder="1" applyAlignment="1">
      <alignment horizontal="left"/>
    </xf>
    <xf numFmtId="0" fontId="57" fillId="0" borderId="9" xfId="0" applyFont="1" applyBorder="1" applyAlignment="1"/>
    <xf numFmtId="0" fontId="49" fillId="0" borderId="5" xfId="0" applyFont="1" applyBorder="1" applyAlignment="1">
      <alignment vertical="center" wrapText="1"/>
    </xf>
    <xf numFmtId="0" fontId="14" fillId="16" borderId="6" xfId="0" applyFont="1" applyFill="1" applyBorder="1" applyAlignment="1">
      <alignment horizontal="left"/>
    </xf>
    <xf numFmtId="0" fontId="15" fillId="0" borderId="9" xfId="0" applyFont="1" applyBorder="1" applyAlignment="1">
      <alignment horizontal="left" vertical="center" wrapText="1"/>
    </xf>
    <xf numFmtId="20" fontId="14" fillId="0" borderId="5" xfId="0" applyNumberFormat="1" applyFont="1" applyBorder="1" applyAlignment="1"/>
    <xf numFmtId="0" fontId="15" fillId="0" borderId="9" xfId="0" applyFont="1" applyBorder="1" applyAlignment="1">
      <alignment vertical="center" wrapText="1"/>
    </xf>
    <xf numFmtId="0" fontId="89" fillId="0" borderId="5" xfId="0" applyFont="1" applyBorder="1" applyAlignment="1">
      <alignment horizontal="left"/>
    </xf>
    <xf numFmtId="0" fontId="84" fillId="0" borderId="5" xfId="0" applyFont="1" applyBorder="1" applyAlignment="1"/>
    <xf numFmtId="0" fontId="15" fillId="0" borderId="5" xfId="0" applyFont="1" applyBorder="1" applyAlignment="1">
      <alignment vertical="center" wrapText="1"/>
    </xf>
    <xf numFmtId="0" fontId="14" fillId="0" borderId="7" xfId="0" applyFont="1" applyBorder="1" applyAlignment="1"/>
    <xf numFmtId="14" fontId="14" fillId="0" borderId="7" xfId="0" applyNumberFormat="1" applyFont="1" applyBorder="1" applyAlignment="1"/>
    <xf numFmtId="20" fontId="14" fillId="0" borderId="7" xfId="0" applyNumberFormat="1" applyFont="1" applyBorder="1" applyAlignment="1"/>
    <xf numFmtId="0" fontId="67" fillId="0" borderId="7" xfId="0" applyFont="1" applyBorder="1" applyAlignment="1">
      <alignment horizontal="left" wrapText="1"/>
    </xf>
    <xf numFmtId="0" fontId="84" fillId="0" borderId="0" xfId="0" applyFont="1" applyAlignment="1"/>
    <xf numFmtId="14" fontId="49" fillId="44" borderId="5" xfId="0" applyNumberFormat="1" applyFont="1" applyFill="1" applyBorder="1" applyAlignment="1">
      <alignment horizontal="left"/>
    </xf>
    <xf numFmtId="0" fontId="16" fillId="0" borderId="5" xfId="0" applyFont="1" applyBorder="1" applyAlignment="1"/>
    <xf numFmtId="49" fontId="16" fillId="0" borderId="5" xfId="0" applyNumberFormat="1" applyFont="1" applyBorder="1" applyAlignment="1">
      <alignment horizontal="left"/>
    </xf>
    <xf numFmtId="14" fontId="16" fillId="0" borderId="5" xfId="0" applyNumberFormat="1" applyFont="1" applyBorder="1" applyAlignment="1"/>
    <xf numFmtId="20" fontId="16" fillId="0" borderId="5" xfId="0" applyNumberFormat="1" applyFont="1" applyBorder="1" applyAlignment="1"/>
    <xf numFmtId="0" fontId="91" fillId="0" borderId="0" xfId="0" applyFont="1" applyAlignment="1"/>
    <xf numFmtId="0" fontId="92" fillId="0" borderId="5" xfId="0" applyFont="1" applyBorder="1" applyAlignment="1">
      <alignment horizontal="left"/>
    </xf>
    <xf numFmtId="0" fontId="92" fillId="16" borderId="5" xfId="0" applyFont="1" applyFill="1" applyBorder="1" applyAlignment="1">
      <alignment horizontal="left"/>
    </xf>
    <xf numFmtId="0" fontId="16" fillId="0" borderId="0" xfId="0" applyFont="1" applyAlignment="1">
      <alignment horizontal="left"/>
    </xf>
    <xf numFmtId="0" fontId="82" fillId="16" borderId="5" xfId="0" applyFont="1" applyFill="1" applyBorder="1" applyAlignment="1"/>
    <xf numFmtId="0" fontId="16" fillId="0" borderId="5" xfId="0" applyFont="1" applyBorder="1" applyAlignment="1">
      <alignment vertical="center" wrapText="1"/>
    </xf>
    <xf numFmtId="0" fontId="72" fillId="0" borderId="5" xfId="0" applyFont="1" applyBorder="1" applyAlignment="1">
      <alignment horizontal="left" wrapText="1"/>
    </xf>
    <xf numFmtId="0" fontId="93" fillId="0" borderId="0" xfId="0" applyFont="1" applyAlignment="1"/>
    <xf numFmtId="14" fontId="14" fillId="0" borderId="5" xfId="0" applyNumberFormat="1" applyFont="1" applyBorder="1" applyAlignment="1">
      <alignment horizontal="right"/>
    </xf>
    <xf numFmtId="0" fontId="14" fillId="0" borderId="5" xfId="0" applyFont="1" applyBorder="1" applyAlignment="1">
      <alignment horizontal="right"/>
    </xf>
    <xf numFmtId="14" fontId="43" fillId="0" borderId="5" xfId="0" applyNumberFormat="1" applyFont="1" applyBorder="1" applyAlignment="1"/>
    <xf numFmtId="20" fontId="43" fillId="0" borderId="5" xfId="0" applyNumberFormat="1" applyFont="1" applyBorder="1" applyAlignment="1"/>
    <xf numFmtId="20" fontId="43" fillId="0" borderId="5" xfId="0" applyNumberFormat="1" applyFont="1" applyBorder="1" applyAlignment="1">
      <alignment horizontal="left"/>
    </xf>
    <xf numFmtId="0" fontId="88" fillId="0" borderId="1" xfId="0" applyFont="1" applyBorder="1" applyAlignment="1">
      <alignment horizontal="left"/>
    </xf>
    <xf numFmtId="0" fontId="40" fillId="13" borderId="42" xfId="0" applyFont="1" applyFill="1" applyBorder="1" applyAlignment="1">
      <alignment horizontal="left"/>
    </xf>
    <xf numFmtId="14" fontId="88" fillId="0" borderId="1" xfId="0" applyNumberFormat="1" applyFont="1" applyBorder="1" applyAlignment="1">
      <alignment horizontal="right"/>
    </xf>
    <xf numFmtId="0" fontId="88" fillId="0" borderId="1" xfId="0" applyFont="1" applyBorder="1" applyAlignment="1">
      <alignment horizontal="right"/>
    </xf>
    <xf numFmtId="14" fontId="88" fillId="0" borderId="1" xfId="0" applyNumberFormat="1" applyFont="1" applyBorder="1" applyAlignment="1">
      <alignment horizontal="left"/>
    </xf>
    <xf numFmtId="0" fontId="40" fillId="4" borderId="39" xfId="0" applyFont="1" applyFill="1" applyBorder="1" applyAlignment="1">
      <alignment horizontal="left"/>
    </xf>
    <xf numFmtId="0" fontId="40" fillId="4" borderId="8" xfId="0" applyFont="1" applyFill="1" applyBorder="1" applyAlignment="1">
      <alignment horizontal="left"/>
    </xf>
    <xf numFmtId="0" fontId="40" fillId="4" borderId="39" xfId="0" applyFont="1" applyFill="1" applyBorder="1" applyAlignment="1">
      <alignment horizontal="right"/>
    </xf>
    <xf numFmtId="0" fontId="88" fillId="0" borderId="1" xfId="0" applyFont="1" applyBorder="1" applyAlignment="1">
      <alignment horizontal="left" wrapText="1"/>
    </xf>
    <xf numFmtId="0" fontId="94" fillId="0" borderId="0" xfId="0" applyFont="1" applyAlignment="1"/>
    <xf numFmtId="0" fontId="84" fillId="0" borderId="1" xfId="0" applyFont="1" applyBorder="1" applyAlignment="1"/>
    <xf numFmtId="0" fontId="57" fillId="0" borderId="1" xfId="0" applyFont="1" applyBorder="1" applyAlignment="1"/>
    <xf numFmtId="0" fontId="57" fillId="0" borderId="0" xfId="0" applyFont="1" applyAlignment="1"/>
    <xf numFmtId="0" fontId="88" fillId="13" borderId="1" xfId="0" applyFont="1" applyFill="1" applyBorder="1" applyAlignment="1">
      <alignment horizontal="left"/>
    </xf>
    <xf numFmtId="0" fontId="88" fillId="0" borderId="3" xfId="0" applyFont="1" applyBorder="1" applyAlignment="1">
      <alignment horizontal="left"/>
    </xf>
    <xf numFmtId="0" fontId="95" fillId="0" borderId="5" xfId="0" applyFont="1" applyBorder="1" applyAlignment="1">
      <alignment horizontal="left"/>
    </xf>
    <xf numFmtId="0" fontId="95" fillId="13" borderId="5" xfId="0" applyFont="1" applyFill="1" applyBorder="1" applyAlignment="1">
      <alignment horizontal="left"/>
    </xf>
    <xf numFmtId="14" fontId="95" fillId="0" borderId="5" xfId="0" applyNumberFormat="1" applyFont="1" applyBorder="1" applyAlignment="1">
      <alignment horizontal="right"/>
    </xf>
    <xf numFmtId="0" fontId="95" fillId="0" borderId="9" xfId="0" applyFont="1" applyBorder="1" applyAlignment="1">
      <alignment horizontal="right"/>
    </xf>
    <xf numFmtId="0" fontId="95" fillId="0" borderId="6" xfId="0" applyFont="1" applyBorder="1" applyAlignment="1">
      <alignment horizontal="right"/>
    </xf>
    <xf numFmtId="0" fontId="95" fillId="0" borderId="5" xfId="0" applyFont="1" applyBorder="1" applyAlignment="1">
      <alignment horizontal="right"/>
    </xf>
    <xf numFmtId="0" fontId="96" fillId="0" borderId="5" xfId="0" applyFont="1" applyBorder="1" applyAlignment="1"/>
    <xf numFmtId="0" fontId="44" fillId="0" borderId="1" xfId="0" applyFont="1" applyBorder="1" applyAlignment="1">
      <alignment horizontal="left"/>
    </xf>
    <xf numFmtId="14" fontId="95" fillId="0" borderId="5" xfId="0" applyNumberFormat="1" applyFont="1" applyBorder="1" applyAlignment="1">
      <alignment horizontal="left"/>
    </xf>
    <xf numFmtId="20" fontId="44" fillId="0" borderId="5" xfId="0" applyNumberFormat="1" applyFont="1" applyBorder="1" applyAlignment="1"/>
    <xf numFmtId="14" fontId="44" fillId="0" borderId="5" xfId="0" applyNumberFormat="1" applyFont="1" applyBorder="1" applyAlignment="1"/>
    <xf numFmtId="0" fontId="95" fillId="0" borderId="5" xfId="0" applyFont="1" applyBorder="1" applyAlignment="1">
      <alignment horizontal="left" wrapText="1"/>
    </xf>
    <xf numFmtId="0" fontId="85" fillId="0" borderId="0" xfId="0" applyFont="1" applyAlignment="1"/>
    <xf numFmtId="0" fontId="97" fillId="0" borderId="5" xfId="0" applyFont="1" applyBorder="1" applyAlignment="1"/>
    <xf numFmtId="0" fontId="96" fillId="0" borderId="3" xfId="0" applyFont="1" applyBorder="1" applyAlignment="1"/>
    <xf numFmtId="0" fontId="96" fillId="0" borderId="1" xfId="0" applyFont="1" applyBorder="1" applyAlignment="1"/>
    <xf numFmtId="0" fontId="96" fillId="0" borderId="0" xfId="0" applyFont="1" applyAlignment="1"/>
    <xf numFmtId="14" fontId="14" fillId="0" borderId="7" xfId="0" applyNumberFormat="1" applyFont="1" applyBorder="1" applyAlignment="1">
      <alignment horizontal="left"/>
    </xf>
    <xf numFmtId="0" fontId="88" fillId="0" borderId="5" xfId="0" applyFont="1" applyBorder="1" applyAlignment="1">
      <alignment horizontal="left"/>
    </xf>
    <xf numFmtId="0" fontId="88" fillId="13" borderId="5" xfId="0" applyFont="1" applyFill="1" applyBorder="1" applyAlignment="1">
      <alignment horizontal="left"/>
    </xf>
    <xf numFmtId="14" fontId="88" fillId="0" borderId="5" xfId="0" applyNumberFormat="1" applyFont="1" applyBorder="1" applyAlignment="1">
      <alignment horizontal="right"/>
    </xf>
    <xf numFmtId="0" fontId="88" fillId="0" borderId="5" xfId="0" applyFont="1" applyBorder="1" applyAlignment="1">
      <alignment horizontal="right"/>
    </xf>
    <xf numFmtId="14" fontId="88" fillId="0" borderId="5" xfId="0" applyNumberFormat="1" applyFont="1" applyBorder="1" applyAlignment="1">
      <alignment horizontal="left"/>
    </xf>
    <xf numFmtId="0" fontId="88" fillId="0" borderId="5" xfId="0" applyFont="1" applyBorder="1" applyAlignment="1">
      <alignment horizontal="left" wrapText="1"/>
    </xf>
    <xf numFmtId="0" fontId="57" fillId="0" borderId="3" xfId="0" applyFont="1" applyBorder="1" applyAlignment="1"/>
    <xf numFmtId="0" fontId="98" fillId="0" borderId="1" xfId="0" applyFont="1" applyBorder="1" applyAlignment="1">
      <alignment horizontal="left"/>
    </xf>
    <xf numFmtId="0" fontId="98" fillId="0" borderId="5" xfId="0" applyFont="1" applyBorder="1" applyAlignment="1">
      <alignment horizontal="left"/>
    </xf>
    <xf numFmtId="0" fontId="16" fillId="4" borderId="5" xfId="0" applyFont="1" applyFill="1" applyBorder="1" applyAlignment="1">
      <alignment horizontal="left" wrapText="1"/>
    </xf>
    <xf numFmtId="0" fontId="16" fillId="13" borderId="5" xfId="0" applyFont="1" applyFill="1" applyBorder="1" applyAlignment="1">
      <alignment horizontal="left" wrapText="1"/>
    </xf>
    <xf numFmtId="14" fontId="98" fillId="0" borderId="5" xfId="0" applyNumberFormat="1" applyFont="1" applyBorder="1" applyAlignment="1">
      <alignment horizontal="right"/>
    </xf>
    <xf numFmtId="0" fontId="16" fillId="4" borderId="5" xfId="0" applyFont="1" applyFill="1" applyBorder="1" applyAlignment="1">
      <alignment horizontal="right" wrapText="1"/>
    </xf>
    <xf numFmtId="14" fontId="16" fillId="4" borderId="5" xfId="0" applyNumberFormat="1" applyFont="1" applyFill="1" applyBorder="1" applyAlignment="1">
      <alignment horizontal="left" wrapText="1"/>
    </xf>
    <xf numFmtId="14" fontId="98" fillId="0" borderId="3" xfId="0" applyNumberFormat="1" applyFont="1" applyBorder="1" applyAlignment="1">
      <alignment horizontal="right"/>
    </xf>
    <xf numFmtId="0" fontId="98" fillId="0" borderId="2" xfId="0" applyFont="1" applyBorder="1" applyAlignment="1">
      <alignment horizontal="left"/>
    </xf>
    <xf numFmtId="0" fontId="98" fillId="0" borderId="3" xfId="0" applyFont="1" applyBorder="1" applyAlignment="1">
      <alignment horizontal="left"/>
    </xf>
    <xf numFmtId="0" fontId="99" fillId="0" borderId="5" xfId="0" applyFont="1" applyBorder="1" applyAlignment="1"/>
    <xf numFmtId="0" fontId="71" fillId="0" borderId="1" xfId="0" applyFont="1" applyBorder="1" applyAlignment="1">
      <alignment horizontal="left"/>
    </xf>
    <xf numFmtId="0" fontId="16" fillId="0" borderId="1" xfId="0" applyFont="1" applyBorder="1" applyAlignment="1">
      <alignment horizontal="left"/>
    </xf>
    <xf numFmtId="14" fontId="98" fillId="0" borderId="1" xfId="0" applyNumberFormat="1" applyFont="1" applyBorder="1" applyAlignment="1">
      <alignment horizontal="left"/>
    </xf>
    <xf numFmtId="20" fontId="71" fillId="0" borderId="5" xfId="0" applyNumberFormat="1" applyFont="1" applyBorder="1" applyAlignment="1"/>
    <xf numFmtId="14" fontId="71" fillId="0" borderId="5" xfId="0" applyNumberFormat="1" applyFont="1" applyBorder="1" applyAlignment="1"/>
    <xf numFmtId="0" fontId="98" fillId="0" borderId="1" xfId="0" applyFont="1" applyBorder="1" applyAlignment="1">
      <alignment horizontal="left" wrapText="1"/>
    </xf>
    <xf numFmtId="0" fontId="100" fillId="0" borderId="0" xfId="0" applyFont="1" applyAlignment="1"/>
    <xf numFmtId="0" fontId="101" fillId="0" borderId="1" xfId="0" applyFont="1" applyBorder="1" applyAlignment="1"/>
    <xf numFmtId="0" fontId="99" fillId="0" borderId="1" xfId="0" applyFont="1" applyBorder="1" applyAlignment="1"/>
    <xf numFmtId="0" fontId="99" fillId="0" borderId="0" xfId="0" applyFont="1" applyAlignment="1"/>
    <xf numFmtId="0" fontId="15" fillId="4" borderId="5" xfId="0" applyFont="1" applyFill="1" applyBorder="1" applyAlignment="1">
      <alignment horizontal="right" wrapText="1"/>
    </xf>
    <xf numFmtId="14" fontId="15" fillId="4" borderId="5" xfId="0" applyNumberFormat="1" applyFont="1" applyFill="1" applyBorder="1" applyAlignment="1">
      <alignment horizontal="left" wrapText="1"/>
    </xf>
    <xf numFmtId="14" fontId="88" fillId="0" borderId="3" xfId="0" applyNumberFormat="1" applyFont="1" applyBorder="1" applyAlignment="1">
      <alignment horizontal="right"/>
    </xf>
    <xf numFmtId="0" fontId="88" fillId="0" borderId="2" xfId="0" applyFont="1" applyBorder="1" applyAlignment="1">
      <alignment horizontal="left"/>
    </xf>
    <xf numFmtId="20" fontId="88" fillId="0" borderId="1" xfId="0" applyNumberFormat="1" applyFont="1" applyBorder="1" applyAlignment="1">
      <alignment horizontal="left"/>
    </xf>
    <xf numFmtId="0" fontId="88" fillId="16" borderId="1" xfId="0" applyFont="1" applyFill="1" applyBorder="1" applyAlignment="1">
      <alignment horizontal="left"/>
    </xf>
    <xf numFmtId="0" fontId="15" fillId="4" borderId="1" xfId="0" applyFont="1" applyFill="1" applyBorder="1" applyAlignment="1">
      <alignment horizontal="left" wrapText="1"/>
    </xf>
    <xf numFmtId="0" fontId="15" fillId="13" borderId="1" xfId="0" applyFont="1" applyFill="1" applyBorder="1" applyAlignment="1">
      <alignment horizontal="left" wrapText="1"/>
    </xf>
    <xf numFmtId="0" fontId="15" fillId="4" borderId="1" xfId="0" applyFont="1" applyFill="1" applyBorder="1" applyAlignment="1">
      <alignment horizontal="right" wrapText="1"/>
    </xf>
    <xf numFmtId="14" fontId="15" fillId="4" borderId="1" xfId="0" applyNumberFormat="1" applyFont="1" applyFill="1" applyBorder="1" applyAlignment="1">
      <alignment horizontal="left" wrapText="1"/>
    </xf>
    <xf numFmtId="20" fontId="57" fillId="0" borderId="1" xfId="0" applyNumberFormat="1" applyFont="1" applyBorder="1" applyAlignment="1">
      <alignment horizontal="left"/>
    </xf>
    <xf numFmtId="0" fontId="88" fillId="0" borderId="7" xfId="0" applyFont="1" applyBorder="1" applyAlignment="1">
      <alignment horizontal="left"/>
    </xf>
    <xf numFmtId="0" fontId="88" fillId="13" borderId="7" xfId="0" applyFont="1" applyFill="1" applyBorder="1" applyAlignment="1">
      <alignment horizontal="left"/>
    </xf>
    <xf numFmtId="14" fontId="88" fillId="0" borderId="7" xfId="0" applyNumberFormat="1" applyFont="1" applyBorder="1" applyAlignment="1">
      <alignment horizontal="right"/>
    </xf>
    <xf numFmtId="0" fontId="88" fillId="0" borderId="7" xfId="0" applyFont="1" applyBorder="1" applyAlignment="1">
      <alignment horizontal="right"/>
    </xf>
    <xf numFmtId="14" fontId="88" fillId="0" borderId="7" xfId="0" applyNumberFormat="1" applyFont="1" applyBorder="1" applyAlignment="1">
      <alignment horizontal="left"/>
    </xf>
    <xf numFmtId="0" fontId="57" fillId="0" borderId="7" xfId="0" applyFont="1" applyBorder="1" applyAlignment="1"/>
    <xf numFmtId="0" fontId="88" fillId="0" borderId="1" xfId="0" applyFont="1" applyBorder="1" applyAlignment="1"/>
    <xf numFmtId="0" fontId="15" fillId="13" borderId="1" xfId="0" applyFont="1" applyFill="1" applyBorder="1" applyAlignment="1">
      <alignment horizontal="right"/>
    </xf>
    <xf numFmtId="0" fontId="88" fillId="0" borderId="2" xfId="0" applyFont="1" applyBorder="1" applyAlignment="1">
      <alignment horizontal="right"/>
    </xf>
    <xf numFmtId="0" fontId="15" fillId="4" borderId="2" xfId="0" applyFont="1" applyFill="1" applyBorder="1" applyAlignment="1">
      <alignment horizontal="right" wrapText="1"/>
    </xf>
    <xf numFmtId="0" fontId="14" fillId="0" borderId="45" xfId="0" applyFont="1" applyBorder="1" applyAlignment="1">
      <alignment horizontal="left"/>
    </xf>
    <xf numFmtId="0" fontId="88" fillId="0" borderId="1" xfId="0" applyFont="1" applyBorder="1" applyAlignment="1">
      <alignment horizontal="right" wrapText="1"/>
    </xf>
    <xf numFmtId="0" fontId="57" fillId="0" borderId="1" xfId="0" applyFont="1" applyBorder="1" applyAlignment="1">
      <alignment horizontal="right"/>
    </xf>
    <xf numFmtId="0" fontId="57" fillId="0" borderId="0" xfId="0" applyFont="1" applyAlignment="1">
      <alignment horizontal="right"/>
    </xf>
    <xf numFmtId="0" fontId="14" fillId="0" borderId="1" xfId="0" applyFont="1" applyBorder="1" applyAlignment="1">
      <alignment horizontal="right"/>
    </xf>
    <xf numFmtId="0" fontId="102" fillId="16" borderId="1" xfId="0" applyFont="1" applyFill="1" applyBorder="1" applyAlignment="1">
      <alignment horizontal="left" vertical="center"/>
    </xf>
    <xf numFmtId="0" fontId="102" fillId="13" borderId="1" xfId="0" applyFont="1" applyFill="1" applyBorder="1" applyAlignment="1">
      <alignment vertical="center"/>
    </xf>
    <xf numFmtId="14" fontId="80" fillId="4" borderId="1" xfId="0" applyNumberFormat="1" applyFont="1" applyFill="1" applyBorder="1" applyAlignment="1">
      <alignment horizontal="left"/>
    </xf>
    <xf numFmtId="0" fontId="102" fillId="16" borderId="1" xfId="0" applyFont="1" applyFill="1" applyBorder="1" applyAlignment="1">
      <alignment horizontal="right" vertical="center"/>
    </xf>
    <xf numFmtId="14" fontId="103" fillId="5" borderId="1" xfId="0" applyNumberFormat="1" applyFont="1" applyFill="1" applyBorder="1" applyAlignment="1">
      <alignment horizontal="left" vertical="center"/>
    </xf>
    <xf numFmtId="0" fontId="43" fillId="0" borderId="1" xfId="0" applyFont="1" applyBorder="1" applyAlignment="1">
      <alignment horizontal="right" vertical="center"/>
    </xf>
    <xf numFmtId="0" fontId="43" fillId="0" borderId="1" xfId="0" applyFont="1" applyBorder="1" applyAlignment="1">
      <alignment horizontal="left" vertical="center"/>
    </xf>
    <xf numFmtId="0" fontId="43" fillId="13" borderId="1" xfId="0" applyFont="1" applyFill="1" applyBorder="1" applyAlignment="1">
      <alignment horizontal="left" vertical="center"/>
    </xf>
    <xf numFmtId="14" fontId="43" fillId="0" borderId="1" xfId="0" applyNumberFormat="1" applyFont="1" applyBorder="1" applyAlignment="1">
      <alignment horizontal="right" vertical="center"/>
    </xf>
    <xf numFmtId="14" fontId="43" fillId="0" borderId="1" xfId="0" applyNumberFormat="1" applyFont="1" applyBorder="1" applyAlignment="1">
      <alignment horizontal="left" vertical="center"/>
    </xf>
    <xf numFmtId="0" fontId="43" fillId="0" borderId="1" xfId="0" applyFont="1" applyBorder="1" applyAlignment="1">
      <alignment horizontal="left" vertical="center" wrapText="1"/>
    </xf>
    <xf numFmtId="20" fontId="43" fillId="0" borderId="1" xfId="0" applyNumberFormat="1" applyFont="1" applyBorder="1" applyAlignment="1">
      <alignment horizontal="left" vertical="center"/>
    </xf>
    <xf numFmtId="0" fontId="57" fillId="0" borderId="0" xfId="0" applyFont="1" applyAlignment="1">
      <alignment horizontal="center"/>
    </xf>
    <xf numFmtId="14" fontId="103" fillId="0" borderId="1" xfId="0" applyNumberFormat="1" applyFont="1" applyBorder="1" applyAlignment="1">
      <alignment horizontal="left" vertical="center"/>
    </xf>
    <xf numFmtId="0" fontId="43" fillId="0" borderId="5" xfId="0" applyFont="1" applyBorder="1" applyAlignment="1"/>
    <xf numFmtId="0" fontId="80" fillId="4" borderId="4" xfId="0" applyFont="1" applyFill="1" applyBorder="1" applyAlignment="1">
      <alignment horizontal="left"/>
    </xf>
    <xf numFmtId="0" fontId="80" fillId="13" borderId="42" xfId="0" applyFont="1" applyFill="1" applyBorder="1" applyAlignment="1"/>
    <xf numFmtId="14" fontId="49" fillId="0" borderId="1" xfId="0" applyNumberFormat="1" applyFont="1" applyBorder="1" applyAlignment="1">
      <alignment horizontal="left" vertical="center"/>
    </xf>
    <xf numFmtId="0" fontId="80" fillId="4" borderId="42" xfId="0" applyFont="1" applyFill="1" applyBorder="1" applyAlignment="1"/>
    <xf numFmtId="0" fontId="80" fillId="4" borderId="4" xfId="0" applyFont="1" applyFill="1" applyBorder="1" applyAlignment="1"/>
    <xf numFmtId="0" fontId="103" fillId="0" borderId="1" xfId="0" applyFont="1" applyBorder="1" applyAlignment="1">
      <alignment horizontal="left" vertical="center"/>
    </xf>
    <xf numFmtId="0" fontId="57" fillId="0" borderId="1" xfId="0" applyFont="1" applyBorder="1" applyAlignment="1">
      <alignment horizontal="left"/>
    </xf>
    <xf numFmtId="20" fontId="103" fillId="0" borderId="1" xfId="0" applyNumberFormat="1" applyFont="1" applyBorder="1" applyAlignment="1">
      <alignment horizontal="left" vertical="center"/>
    </xf>
    <xf numFmtId="0" fontId="103" fillId="0" borderId="1" xfId="0" applyFont="1" applyBorder="1" applyAlignment="1">
      <alignment horizontal="left" vertical="center" wrapText="1"/>
    </xf>
    <xf numFmtId="0" fontId="103" fillId="0" borderId="1" xfId="0" applyFont="1" applyBorder="1" applyAlignment="1">
      <alignment horizontal="left"/>
    </xf>
    <xf numFmtId="0" fontId="104" fillId="0" borderId="0" xfId="0" applyFont="1" applyAlignment="1">
      <alignment horizontal="center"/>
    </xf>
    <xf numFmtId="49" fontId="17" fillId="0" borderId="5" xfId="0" applyNumberFormat="1" applyFont="1" applyBorder="1" applyAlignment="1">
      <alignment horizontal="left"/>
    </xf>
    <xf numFmtId="0" fontId="17" fillId="0" borderId="5" xfId="0" applyFont="1" applyBorder="1" applyAlignment="1">
      <alignment horizontal="right"/>
    </xf>
    <xf numFmtId="20" fontId="44" fillId="0" borderId="5" xfId="0" applyNumberFormat="1" applyFont="1" applyBorder="1" applyAlignment="1">
      <alignment horizontal="left"/>
    </xf>
    <xf numFmtId="0" fontId="17" fillId="0" borderId="6" xfId="0" applyFont="1" applyBorder="1" applyAlignment="1">
      <alignment horizontal="left"/>
    </xf>
    <xf numFmtId="0" fontId="40" fillId="13" borderId="0" xfId="0" applyFont="1" applyFill="1" applyAlignment="1">
      <alignment horizontal="left" wrapText="1"/>
    </xf>
    <xf numFmtId="0" fontId="40" fillId="4" borderId="0" xfId="0" applyFont="1" applyFill="1" applyAlignment="1">
      <alignment horizontal="right" wrapText="1"/>
    </xf>
    <xf numFmtId="14" fontId="40" fillId="4" borderId="0" xfId="0" applyNumberFormat="1" applyFont="1" applyFill="1" applyAlignment="1">
      <alignment horizontal="left"/>
    </xf>
    <xf numFmtId="0" fontId="40" fillId="4" borderId="5" xfId="0" applyFont="1" applyFill="1" applyBorder="1" applyAlignment="1">
      <alignment horizontal="left" wrapText="1"/>
    </xf>
    <xf numFmtId="0" fontId="88" fillId="5" borderId="5" xfId="0" applyFont="1" applyFill="1" applyBorder="1" applyAlignment="1">
      <alignment horizontal="left"/>
    </xf>
    <xf numFmtId="0" fontId="40" fillId="13" borderId="5" xfId="0" applyFont="1" applyFill="1" applyBorder="1" applyAlignment="1">
      <alignment horizontal="left" wrapText="1"/>
    </xf>
    <xf numFmtId="0" fontId="40" fillId="4" borderId="5" xfId="0" applyFont="1" applyFill="1" applyBorder="1" applyAlignment="1">
      <alignment horizontal="right" wrapText="1"/>
    </xf>
    <xf numFmtId="14" fontId="40" fillId="4" borderId="5" xfId="0" applyNumberFormat="1" applyFont="1" applyFill="1" applyBorder="1" applyAlignment="1">
      <alignment horizontal="left"/>
    </xf>
    <xf numFmtId="0" fontId="40" fillId="4" borderId="7" xfId="0" applyFont="1" applyFill="1" applyBorder="1" applyAlignment="1">
      <alignment horizontal="left" wrapText="1"/>
    </xf>
    <xf numFmtId="0" fontId="88" fillId="0" borderId="45" xfId="0" applyFont="1" applyBorder="1" applyAlignment="1">
      <alignment horizontal="left"/>
    </xf>
    <xf numFmtId="0" fontId="15" fillId="0" borderId="41" xfId="0" applyFont="1" applyBorder="1" applyAlignment="1">
      <alignment horizontal="left" vertical="center" wrapText="1"/>
    </xf>
    <xf numFmtId="0" fontId="88" fillId="0" borderId="41" xfId="0" applyFont="1" applyBorder="1" applyAlignment="1">
      <alignment horizontal="left"/>
    </xf>
    <xf numFmtId="14" fontId="88" fillId="0" borderId="41" xfId="0" applyNumberFormat="1" applyFont="1" applyBorder="1" applyAlignment="1">
      <alignment horizontal="left"/>
    </xf>
    <xf numFmtId="20" fontId="88" fillId="0" borderId="41" xfId="0" applyNumberFormat="1" applyFont="1" applyBorder="1" applyAlignment="1">
      <alignment horizontal="left"/>
    </xf>
    <xf numFmtId="0" fontId="57" fillId="0" borderId="45" xfId="0" applyFont="1" applyBorder="1" applyAlignment="1"/>
    <xf numFmtId="0" fontId="57" fillId="0" borderId="41" xfId="0" applyFont="1" applyBorder="1" applyAlignment="1"/>
    <xf numFmtId="0" fontId="40" fillId="4" borderId="1" xfId="0" applyFont="1" applyFill="1" applyBorder="1" applyAlignment="1">
      <alignment horizontal="left" wrapText="1"/>
    </xf>
    <xf numFmtId="0" fontId="40" fillId="13" borderId="1" xfId="0" applyFont="1" applyFill="1" applyBorder="1" applyAlignment="1">
      <alignment horizontal="left" wrapText="1"/>
    </xf>
    <xf numFmtId="0" fontId="40" fillId="4" borderId="1" xfId="0" applyFont="1" applyFill="1" applyBorder="1" applyAlignment="1">
      <alignment horizontal="right" wrapText="1"/>
    </xf>
    <xf numFmtId="14" fontId="40" fillId="4" borderId="1" xfId="0" applyNumberFormat="1" applyFont="1" applyFill="1" applyBorder="1" applyAlignment="1">
      <alignment horizontal="left"/>
    </xf>
    <xf numFmtId="20" fontId="88" fillId="0" borderId="5" xfId="0" applyNumberFormat="1" applyFont="1" applyBorder="1" applyAlignment="1">
      <alignment horizontal="left"/>
    </xf>
    <xf numFmtId="0" fontId="15" fillId="0" borderId="1" xfId="0" applyFont="1" applyBorder="1" applyAlignment="1">
      <alignment horizontal="left" vertical="center" wrapText="1"/>
    </xf>
    <xf numFmtId="14" fontId="43" fillId="0" borderId="5" xfId="0" applyNumberFormat="1" applyFont="1" applyBorder="1" applyAlignment="1">
      <alignment horizontal="left" vertical="center"/>
    </xf>
    <xf numFmtId="0" fontId="14" fillId="0" borderId="1" xfId="0" applyFont="1" applyBorder="1" applyAlignment="1">
      <alignment horizontal="right" vertical="center"/>
    </xf>
    <xf numFmtId="14" fontId="88" fillId="0" borderId="2" xfId="0" applyNumberFormat="1" applyFont="1" applyBorder="1" applyAlignment="1">
      <alignment horizontal="left"/>
    </xf>
    <xf numFmtId="14" fontId="88" fillId="0" borderId="3" xfId="0" applyNumberFormat="1" applyFont="1" applyBorder="1" applyAlignment="1">
      <alignment horizontal="left"/>
    </xf>
    <xf numFmtId="0" fontId="14" fillId="0" borderId="5" xfId="0" applyFont="1" applyBorder="1" applyAlignment="1">
      <alignment horizontal="right" vertical="center"/>
    </xf>
    <xf numFmtId="14" fontId="88" fillId="0" borderId="9" xfId="0" applyNumberFormat="1" applyFont="1" applyBorder="1" applyAlignment="1">
      <alignment horizontal="left"/>
    </xf>
    <xf numFmtId="14" fontId="88" fillId="0" borderId="6" xfId="0" applyNumberFormat="1" applyFont="1" applyBorder="1" applyAlignment="1">
      <alignment horizontal="left"/>
    </xf>
    <xf numFmtId="0" fontId="40" fillId="4" borderId="5" xfId="0" applyFont="1" applyFill="1" applyBorder="1" applyAlignment="1">
      <alignment wrapText="1"/>
    </xf>
    <xf numFmtId="14" fontId="40" fillId="4" borderId="3" xfId="0" applyNumberFormat="1" applyFont="1" applyFill="1" applyBorder="1" applyAlignment="1">
      <alignment horizontal="left"/>
    </xf>
    <xf numFmtId="14" fontId="88" fillId="0" borderId="32" xfId="0" applyNumberFormat="1" applyFont="1" applyBorder="1" applyAlignment="1">
      <alignment horizontal="left"/>
    </xf>
    <xf numFmtId="0" fontId="14" fillId="0" borderId="2" xfId="0" applyFont="1" applyBorder="1" applyAlignment="1">
      <alignment horizontal="left"/>
    </xf>
    <xf numFmtId="0" fontId="88" fillId="0" borderId="9" xfId="0" applyFont="1" applyBorder="1" applyAlignment="1">
      <alignment horizontal="left"/>
    </xf>
    <xf numFmtId="14" fontId="88" fillId="0" borderId="13" xfId="0" applyNumberFormat="1" applyFont="1" applyBorder="1" applyAlignment="1">
      <alignment horizontal="left"/>
    </xf>
    <xf numFmtId="0" fontId="19" fillId="0" borderId="8" xfId="0" applyFont="1" applyBorder="1" applyAlignment="1">
      <alignment wrapText="1"/>
    </xf>
    <xf numFmtId="0" fontId="88" fillId="0" borderId="6" xfId="0" applyFont="1" applyBorder="1" applyAlignment="1">
      <alignment horizontal="left"/>
    </xf>
    <xf numFmtId="0" fontId="82" fillId="13" borderId="5" xfId="0" applyFont="1" applyFill="1" applyBorder="1" applyAlignment="1">
      <alignment horizontal="left" wrapText="1"/>
    </xf>
    <xf numFmtId="0" fontId="82" fillId="0" borderId="5" xfId="0" applyFont="1" applyBorder="1" applyAlignment="1">
      <alignment wrapText="1"/>
    </xf>
    <xf numFmtId="0" fontId="82" fillId="0" borderId="5" xfId="0" applyFont="1" applyBorder="1" applyAlignment="1">
      <alignment horizontal="left" wrapText="1"/>
    </xf>
    <xf numFmtId="0" fontId="14" fillId="16" borderId="0" xfId="0" applyFont="1" applyFill="1" applyAlignment="1">
      <alignment horizontal="left"/>
    </xf>
    <xf numFmtId="0" fontId="82" fillId="16" borderId="0" xfId="0" applyFont="1" applyFill="1" applyAlignment="1">
      <alignment horizontal="left"/>
    </xf>
    <xf numFmtId="0" fontId="105" fillId="0" borderId="5" xfId="0" applyFont="1" applyBorder="1" applyAlignment="1">
      <alignment horizontal="left" wrapText="1"/>
    </xf>
    <xf numFmtId="0" fontId="67" fillId="0" borderId="0" xfId="0" applyFont="1" applyAlignment="1">
      <alignment horizontal="left"/>
    </xf>
    <xf numFmtId="0" fontId="15" fillId="0" borderId="0" xfId="0" applyFont="1" applyAlignment="1">
      <alignment horizontal="left"/>
    </xf>
    <xf numFmtId="0" fontId="77" fillId="0" borderId="5" xfId="0" applyFont="1" applyBorder="1" applyAlignment="1">
      <alignment vertical="center"/>
    </xf>
    <xf numFmtId="0" fontId="87" fillId="5" borderId="40" xfId="0" applyFont="1" applyFill="1" applyBorder="1" applyAlignment="1">
      <alignment horizontal="left" vertical="center" wrapText="1"/>
    </xf>
    <xf numFmtId="14" fontId="87" fillId="5" borderId="5" xfId="0" applyNumberFormat="1" applyFont="1" applyFill="1" applyBorder="1" applyAlignment="1">
      <alignment wrapText="1"/>
    </xf>
    <xf numFmtId="0" fontId="10" fillId="8" borderId="17" xfId="0" applyFont="1" applyFill="1" applyBorder="1" applyAlignment="1">
      <alignment horizontal="center" readingOrder="1"/>
    </xf>
    <xf numFmtId="0" fontId="10" fillId="0" borderId="17" xfId="0" applyFont="1" applyBorder="1" applyAlignment="1">
      <alignment horizontal="center" readingOrder="1"/>
    </xf>
    <xf numFmtId="0" fontId="10" fillId="16" borderId="17" xfId="0" applyFont="1" applyFill="1" applyBorder="1" applyAlignment="1">
      <alignment readingOrder="1"/>
    </xf>
    <xf numFmtId="0" fontId="25" fillId="4" borderId="17" xfId="0" applyFont="1" applyFill="1" applyBorder="1" applyAlignment="1">
      <alignment horizontal="center" readingOrder="1"/>
    </xf>
    <xf numFmtId="0" fontId="25" fillId="4" borderId="36" xfId="0" applyFont="1" applyFill="1" applyBorder="1" applyAlignment="1">
      <alignment horizontal="center" readingOrder="1"/>
    </xf>
    <xf numFmtId="0" fontId="25" fillId="4" borderId="7" xfId="0" applyFont="1" applyFill="1" applyBorder="1" applyAlignment="1">
      <alignment horizontal="center" readingOrder="1"/>
    </xf>
    <xf numFmtId="1" fontId="10" fillId="26" borderId="5" xfId="0" applyNumberFormat="1" applyFont="1" applyFill="1" applyBorder="1" applyAlignment="1">
      <alignment horizontal="center" readingOrder="1"/>
    </xf>
    <xf numFmtId="0" fontId="9" fillId="5" borderId="1"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28" fillId="21" borderId="31" xfId="0" applyFont="1" applyFill="1" applyBorder="1" applyAlignment="1">
      <alignment horizontal="center" vertical="center" readingOrder="1"/>
    </xf>
    <xf numFmtId="0" fontId="28" fillId="21" borderId="25" xfId="0" applyFont="1" applyFill="1" applyBorder="1" applyAlignment="1">
      <alignment horizontal="center" vertical="center" readingOrder="1"/>
    </xf>
    <xf numFmtId="0" fontId="29" fillId="21" borderId="23" xfId="0" applyFont="1" applyFill="1" applyBorder="1" applyAlignment="1">
      <alignment horizontal="center" vertical="center" wrapText="1" readingOrder="1"/>
    </xf>
    <xf numFmtId="0" fontId="29" fillId="21" borderId="7" xfId="0" applyFont="1" applyFill="1" applyBorder="1" applyAlignment="1">
      <alignment horizontal="center" vertical="center" wrapText="1" readingOrder="1"/>
    </xf>
    <xf numFmtId="0" fontId="13" fillId="27" borderId="24" xfId="0" applyFont="1" applyFill="1" applyBorder="1" applyAlignment="1">
      <alignment horizontal="center" vertical="center" wrapText="1" readingOrder="1"/>
    </xf>
    <xf numFmtId="0" fontId="13" fillId="27" borderId="25" xfId="0" applyFont="1" applyFill="1" applyBorder="1" applyAlignment="1">
      <alignment horizontal="center" vertical="center" wrapText="1" readingOrder="1"/>
    </xf>
    <xf numFmtId="0" fontId="13" fillId="5" borderId="24" xfId="0" applyFont="1" applyFill="1" applyBorder="1" applyAlignment="1">
      <alignment horizontal="center" vertical="center" wrapText="1" readingOrder="1"/>
    </xf>
    <xf numFmtId="0" fontId="13" fillId="5" borderId="25" xfId="0" applyFont="1" applyFill="1" applyBorder="1" applyAlignment="1">
      <alignment horizontal="center" vertical="center" wrapText="1" readingOrder="1"/>
    </xf>
    <xf numFmtId="0" fontId="27" fillId="13" borderId="24" xfId="0" applyFont="1" applyFill="1" applyBorder="1" applyAlignment="1">
      <alignment horizontal="center" vertical="center" wrapText="1" readingOrder="1"/>
    </xf>
    <xf numFmtId="0" fontId="27" fillId="13" borderId="25" xfId="0" applyFont="1" applyFill="1" applyBorder="1" applyAlignment="1">
      <alignment horizontal="center" vertical="center" wrapText="1" readingOrder="1"/>
    </xf>
    <xf numFmtId="0" fontId="13" fillId="9" borderId="24" xfId="0" applyFont="1" applyFill="1" applyBorder="1" applyAlignment="1">
      <alignment horizontal="center" vertical="center" wrapText="1" readingOrder="1"/>
    </xf>
    <xf numFmtId="0" fontId="13" fillId="9" borderId="25" xfId="0" applyFont="1" applyFill="1" applyBorder="1" applyAlignment="1">
      <alignment horizontal="center" vertical="center" wrapText="1" readingOrder="1"/>
    </xf>
    <xf numFmtId="0" fontId="13" fillId="13" borderId="30" xfId="0" applyFont="1" applyFill="1" applyBorder="1" applyAlignment="1">
      <alignment horizontal="center" vertical="center" wrapText="1" readingOrder="1"/>
    </xf>
    <xf numFmtId="0" fontId="13" fillId="13" borderId="25" xfId="0" applyFont="1" applyFill="1" applyBorder="1" applyAlignment="1">
      <alignment horizontal="center" vertical="center" wrapText="1" readingOrder="1"/>
    </xf>
    <xf numFmtId="0" fontId="13" fillId="23" borderId="1" xfId="0" applyFont="1" applyFill="1" applyBorder="1" applyAlignment="1">
      <alignment horizontal="center" vertical="center" wrapText="1" readingOrder="1"/>
    </xf>
    <xf numFmtId="0" fontId="13" fillId="23" borderId="33" xfId="0" applyFont="1" applyFill="1" applyBorder="1" applyAlignment="1">
      <alignment horizontal="center" vertical="center" wrapText="1" readingOrder="1"/>
    </xf>
    <xf numFmtId="0" fontId="28" fillId="21" borderId="1" xfId="0" applyFont="1" applyFill="1" applyBorder="1" applyAlignment="1">
      <alignment horizontal="center" vertical="center" wrapText="1" readingOrder="1"/>
    </xf>
    <xf numFmtId="0" fontId="28" fillId="21" borderId="33" xfId="0" applyFont="1" applyFill="1" applyBorder="1" applyAlignment="1">
      <alignment horizontal="center" vertical="center" wrapText="1" readingOrder="1"/>
    </xf>
    <xf numFmtId="0" fontId="13" fillId="19" borderId="34" xfId="0" applyFont="1" applyFill="1" applyBorder="1" applyAlignment="1">
      <alignment horizontal="center" vertical="center" wrapText="1" readingOrder="1"/>
    </xf>
    <xf numFmtId="0" fontId="13" fillId="19" borderId="38" xfId="0" applyFont="1" applyFill="1" applyBorder="1" applyAlignment="1">
      <alignment horizontal="center" vertical="center" wrapText="1" readingOrder="1"/>
    </xf>
    <xf numFmtId="0" fontId="13" fillId="20" borderId="5" xfId="0" applyFont="1" applyFill="1" applyBorder="1" applyAlignment="1">
      <alignment horizontal="center" wrapText="1" readingOrder="1"/>
    </xf>
    <xf numFmtId="0" fontId="13" fillId="20" borderId="1" xfId="0" applyFont="1" applyFill="1" applyBorder="1" applyAlignment="1">
      <alignment horizontal="center" wrapText="1" readingOrder="1"/>
    </xf>
    <xf numFmtId="0" fontId="31" fillId="5" borderId="6" xfId="0" applyFont="1" applyFill="1" applyBorder="1" applyAlignment="1">
      <alignment horizontal="center" wrapText="1"/>
    </xf>
    <xf numFmtId="0" fontId="13" fillId="17" borderId="5" xfId="0" applyFont="1" applyFill="1" applyBorder="1" applyAlignment="1">
      <alignment horizontal="center" vertical="center" wrapText="1" readingOrder="1"/>
    </xf>
    <xf numFmtId="0" fontId="13" fillId="17" borderId="5" xfId="0" applyFont="1" applyFill="1" applyBorder="1" applyAlignment="1">
      <alignment horizontal="center" vertical="center" readingOrder="1"/>
    </xf>
    <xf numFmtId="0" fontId="13" fillId="25" borderId="12" xfId="0" applyFont="1" applyFill="1" applyBorder="1" applyAlignment="1">
      <alignment horizontal="center" readingOrder="1"/>
    </xf>
    <xf numFmtId="0" fontId="13" fillId="25" borderId="13" xfId="0" applyFont="1" applyFill="1" applyBorder="1" applyAlignment="1">
      <alignment horizontal="center" readingOrder="1"/>
    </xf>
    <xf numFmtId="0" fontId="13" fillId="25" borderId="6" xfId="0" applyFont="1" applyFill="1" applyBorder="1" applyAlignment="1">
      <alignment horizontal="center" readingOrder="1"/>
    </xf>
    <xf numFmtId="0" fontId="13" fillId="18" borderId="29" xfId="0" applyFont="1" applyFill="1" applyBorder="1" applyAlignment="1">
      <alignment horizontal="center" vertical="center" wrapText="1" readingOrder="1"/>
    </xf>
    <xf numFmtId="0" fontId="13" fillId="18" borderId="37" xfId="0" applyFont="1" applyFill="1" applyBorder="1" applyAlignment="1">
      <alignment horizontal="center" vertical="center" wrapText="1" readingOrder="1"/>
    </xf>
    <xf numFmtId="0" fontId="13" fillId="25" borderId="13" xfId="0" applyFont="1" applyFill="1" applyBorder="1" applyAlignment="1">
      <alignment horizontal="center" vertical="center" readingOrder="1"/>
    </xf>
    <xf numFmtId="0" fontId="13" fillId="25" borderId="6" xfId="0" applyFont="1" applyFill="1" applyBorder="1" applyAlignment="1">
      <alignment horizontal="center" vertical="center" readingOrder="1"/>
    </xf>
    <xf numFmtId="0" fontId="13" fillId="17" borderId="1" xfId="0" applyFont="1" applyFill="1" applyBorder="1" applyAlignment="1">
      <alignment horizontal="center" vertical="center" readingOrder="1"/>
    </xf>
    <xf numFmtId="0" fontId="13" fillId="17" borderId="7" xfId="0" applyFont="1" applyFill="1" applyBorder="1" applyAlignment="1">
      <alignment horizontal="center" vertical="center" readingOrder="1"/>
    </xf>
    <xf numFmtId="0" fontId="26" fillId="5" borderId="29" xfId="0" applyFont="1" applyFill="1" applyBorder="1" applyAlignment="1">
      <alignment horizontal="center" vertical="center" wrapText="1" readingOrder="1"/>
    </xf>
    <xf numFmtId="0" fontId="26" fillId="5" borderId="25" xfId="0" applyFont="1" applyFill="1" applyBorder="1" applyAlignment="1">
      <alignment horizontal="center" vertical="center" wrapText="1" readingOrder="1"/>
    </xf>
    <xf numFmtId="0" fontId="13" fillId="25" borderId="12" xfId="0" applyFont="1" applyFill="1" applyBorder="1" applyAlignment="1">
      <alignment horizontal="center" vertical="center" readingOrder="1"/>
    </xf>
    <xf numFmtId="0" fontId="30" fillId="5" borderId="0" xfId="0" applyFont="1" applyFill="1" applyBorder="1" applyAlignment="1">
      <alignment horizontal="center" vertical="center" wrapText="1"/>
    </xf>
    <xf numFmtId="0" fontId="30" fillId="5" borderId="27" xfId="0" applyFont="1" applyFill="1" applyBorder="1" applyAlignment="1">
      <alignment horizontal="center" vertical="center" wrapText="1"/>
    </xf>
    <xf numFmtId="0" fontId="13" fillId="18" borderId="25" xfId="0" applyFont="1" applyFill="1" applyBorder="1" applyAlignment="1">
      <alignment horizontal="center" vertical="center" wrapText="1" readingOrder="1"/>
    </xf>
    <xf numFmtId="0" fontId="13" fillId="19" borderId="35" xfId="0" applyFont="1" applyFill="1" applyBorder="1" applyAlignment="1">
      <alignment horizontal="center" vertical="center" wrapText="1" readingOrder="1"/>
    </xf>
    <xf numFmtId="0" fontId="13" fillId="20" borderId="1" xfId="0" applyFont="1" applyFill="1" applyBorder="1" applyAlignment="1">
      <alignment horizontal="center" vertical="center" wrapText="1" readingOrder="1"/>
    </xf>
    <xf numFmtId="0" fontId="13" fillId="20" borderId="7" xfId="0" applyFont="1" applyFill="1" applyBorder="1" applyAlignment="1">
      <alignment horizontal="center" vertical="center" wrapText="1" readingOrder="1"/>
    </xf>
    <xf numFmtId="0" fontId="11" fillId="6" borderId="12" xfId="0" applyFont="1" applyFill="1" applyBorder="1" applyAlignment="1">
      <alignment horizontal="center" readingOrder="1"/>
    </xf>
    <xf numFmtId="0" fontId="11" fillId="6" borderId="13" xfId="0" applyFont="1" applyFill="1" applyBorder="1" applyAlignment="1">
      <alignment horizontal="center" readingOrder="1"/>
    </xf>
    <xf numFmtId="0" fontId="11" fillId="6" borderId="6" xfId="0" applyFont="1" applyFill="1" applyBorder="1" applyAlignment="1">
      <alignment horizontal="center" readingOrder="1"/>
    </xf>
    <xf numFmtId="0" fontId="11" fillId="6" borderId="9" xfId="0" applyFont="1" applyFill="1" applyBorder="1" applyAlignment="1">
      <alignment horizontal="center" readingOrder="1"/>
    </xf>
    <xf numFmtId="0" fontId="11" fillId="6" borderId="14" xfId="0" applyFont="1" applyFill="1" applyBorder="1" applyAlignment="1">
      <alignment horizontal="center" readingOrder="1"/>
    </xf>
    <xf numFmtId="0" fontId="8" fillId="5" borderId="5"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62" fillId="25" borderId="32" xfId="0" applyFont="1" applyFill="1" applyBorder="1" applyAlignment="1">
      <alignment horizontal="center"/>
    </xf>
    <xf numFmtId="0" fontId="9" fillId="5" borderId="1"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6" fillId="5" borderId="5" xfId="0" applyFont="1" applyFill="1" applyBorder="1" applyAlignment="1">
      <alignment horizontal="center" wrapText="1"/>
    </xf>
    <xf numFmtId="0" fontId="7" fillId="5" borderId="5" xfId="0" applyFont="1" applyFill="1" applyBorder="1" applyAlignment="1">
      <alignment horizontal="center" vertical="center" wrapText="1"/>
    </xf>
    <xf numFmtId="0" fontId="8" fillId="5" borderId="5" xfId="0" applyFont="1" applyFill="1" applyBorder="1" applyAlignment="1">
      <alignment horizontal="center" vertical="center"/>
    </xf>
    <xf numFmtId="0" fontId="7" fillId="5" borderId="5"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28"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5" xfId="0" applyFont="1" applyFill="1" applyBorder="1" applyAlignment="1">
      <alignment horizontal="left" vertical="center"/>
    </xf>
    <xf numFmtId="0" fontId="8" fillId="2" borderId="1" xfId="0" applyFont="1" applyFill="1" applyBorder="1" applyAlignment="1">
      <alignment horizontal="center" vertical="center"/>
    </xf>
    <xf numFmtId="0" fontId="8" fillId="2" borderId="7" xfId="0" applyFont="1" applyFill="1" applyBorder="1" applyAlignment="1">
      <alignment horizontal="center" vertical="center"/>
    </xf>
    <xf numFmtId="0" fontId="8" fillId="5" borderId="1" xfId="0" applyFont="1" applyFill="1" applyBorder="1" applyAlignment="1">
      <alignment horizontal="center" vertical="center"/>
    </xf>
    <xf numFmtId="0" fontId="8" fillId="2" borderId="41" xfId="0" applyFont="1" applyFill="1" applyBorder="1" applyAlignment="1">
      <alignment horizontal="center" vertical="center"/>
    </xf>
    <xf numFmtId="0" fontId="9" fillId="5" borderId="41"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8" fillId="2" borderId="5" xfId="0" applyFont="1" applyFill="1" applyBorder="1" applyAlignment="1">
      <alignment vertical="center"/>
    </xf>
    <xf numFmtId="0" fontId="8" fillId="2" borderId="1" xfId="0" applyFont="1" applyFill="1" applyBorder="1" applyAlignment="1">
      <alignment vertical="center"/>
    </xf>
    <xf numFmtId="0" fontId="8" fillId="2" borderId="1" xfId="0" applyFont="1" applyFill="1" applyBorder="1" applyAlignment="1">
      <alignment horizontal="left" vertical="center"/>
    </xf>
    <xf numFmtId="0" fontId="5" fillId="3" borderId="1" xfId="0" applyFont="1" applyFill="1" applyBorder="1" applyAlignment="1">
      <alignment horizontal="center" vertical="center"/>
    </xf>
    <xf numFmtId="0" fontId="5" fillId="3" borderId="7" xfId="0" applyFont="1" applyFill="1" applyBorder="1" applyAlignment="1">
      <alignment horizontal="center" vertical="center"/>
    </xf>
    <xf numFmtId="0" fontId="8" fillId="5" borderId="5" xfId="0" applyFont="1" applyFill="1" applyBorder="1" applyAlignment="1">
      <alignment horizontal="left" vertical="center"/>
    </xf>
    <xf numFmtId="0" fontId="8" fillId="5" borderId="1" xfId="0" applyFont="1" applyFill="1" applyBorder="1" applyAlignment="1">
      <alignment horizontal="left" vertical="center"/>
    </xf>
    <xf numFmtId="0" fontId="4" fillId="0" borderId="0" xfId="0" applyFont="1" applyAlignment="1">
      <alignment horizontal="center"/>
    </xf>
  </cellXfs>
  <cellStyles count="2">
    <cellStyle name="Hyperlink" xfId="1" xr:uid="{00000000-000B-0000-0000-000008000000}"/>
    <cellStyle name="Normal" xfId="0" builtinId="0"/>
  </cellStyles>
  <dxfs count="0"/>
  <tableStyles count="0" defaultTableStyle="TableStyleMedium2" defaultPivotStyle="PivotStyleLight16"/>
  <colors>
    <mruColors>
      <color rgb="FFF7927C"/>
      <color rgb="FF43FF0F"/>
      <color rgb="FF9D3BFF"/>
      <color rgb="FFF77C8A"/>
      <color rgb="FFFF00BF"/>
      <color rgb="FFFC5D60"/>
      <color rgb="FFFCF6DC"/>
      <color rgb="FFFF3BD1"/>
      <color rgb="FFDBA0A7"/>
      <color rgb="FFFF26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C728-85EF-45AE-A7F4-33C74045F825}">
  <dimension ref="A1:I68"/>
  <sheetViews>
    <sheetView tabSelected="1" workbookViewId="0">
      <pane ySplit="2" topLeftCell="A15" activePane="bottomLeft" state="frozen"/>
      <selection pane="bottomLeft" activeCell="E33" sqref="E33"/>
    </sheetView>
  </sheetViews>
  <sheetFormatPr defaultRowHeight="15"/>
  <cols>
    <col min="1" max="1" width="29.28515625" bestFit="1" customWidth="1"/>
    <col min="2" max="2" width="8.140625" style="39" customWidth="1"/>
    <col min="3" max="3" width="0.140625" style="39" customWidth="1"/>
    <col min="5" max="5" width="6.140625" customWidth="1"/>
    <col min="7" max="7" width="7" customWidth="1"/>
  </cols>
  <sheetData>
    <row r="1" spans="1:9" ht="45.75" customHeight="1">
      <c r="A1" s="1405" t="s">
        <v>0</v>
      </c>
      <c r="B1" s="1407" t="s">
        <v>1</v>
      </c>
      <c r="C1" s="1417" t="s">
        <v>2</v>
      </c>
      <c r="D1" s="1409" t="s">
        <v>3</v>
      </c>
      <c r="E1" s="1411" t="s">
        <v>4</v>
      </c>
      <c r="F1" s="1413" t="s">
        <v>5</v>
      </c>
      <c r="G1" s="1415" t="s">
        <v>4</v>
      </c>
      <c r="H1" s="1419" t="s">
        <v>6</v>
      </c>
      <c r="I1" s="1403" t="s">
        <v>7</v>
      </c>
    </row>
    <row r="2" spans="1:9" ht="17.25" customHeight="1">
      <c r="A2" s="1406"/>
      <c r="B2" s="1408"/>
      <c r="C2" s="1418"/>
      <c r="D2" s="1410"/>
      <c r="E2" s="1412"/>
      <c r="F2" s="1414"/>
      <c r="G2" s="1416"/>
      <c r="H2" s="1420"/>
      <c r="I2" s="1404"/>
    </row>
    <row r="3" spans="1:9">
      <c r="A3" s="66" t="s">
        <v>8</v>
      </c>
      <c r="B3" s="108">
        <f>SUM(B5,B17,B25,B32,B48,B4)</f>
        <v>5839</v>
      </c>
      <c r="C3" s="108">
        <f t="shared" ref="C3:I3" si="0">SUM(C5,C17,C25,C32,C48,C4)</f>
        <v>486.58333333333337</v>
      </c>
      <c r="D3" s="108">
        <f t="shared" si="0"/>
        <v>3878</v>
      </c>
      <c r="E3" s="108">
        <f t="shared" si="0"/>
        <v>1334.6684576952707</v>
      </c>
      <c r="F3" s="108">
        <f t="shared" si="0"/>
        <v>3157</v>
      </c>
      <c r="G3" s="108">
        <f t="shared" si="0"/>
        <v>3401.0022470568865</v>
      </c>
      <c r="H3" s="108">
        <f t="shared" si="0"/>
        <v>42</v>
      </c>
      <c r="I3" s="108">
        <f t="shared" si="0"/>
        <v>0</v>
      </c>
    </row>
    <row r="4" spans="1:9">
      <c r="A4" s="950" t="s">
        <v>9</v>
      </c>
      <c r="B4" s="944">
        <v>705</v>
      </c>
      <c r="C4" s="944">
        <f>B4/12</f>
        <v>58.75</v>
      </c>
      <c r="D4" s="945">
        <v>2788</v>
      </c>
      <c r="E4" s="946">
        <f>D4*100/B4</f>
        <v>395.46099290780143</v>
      </c>
      <c r="F4" s="945">
        <v>1979</v>
      </c>
      <c r="G4" s="946">
        <f>F4*100/B4</f>
        <v>280.70921985815602</v>
      </c>
      <c r="H4" s="946">
        <v>36</v>
      </c>
      <c r="I4" s="946">
        <v>0</v>
      </c>
    </row>
    <row r="5" spans="1:9">
      <c r="A5" s="931" t="s">
        <v>10</v>
      </c>
      <c r="B5" s="929">
        <f>SUM(B6,B7,B8,B9,B10,B11,B12,B13,B14,B15,B16)</f>
        <v>2430</v>
      </c>
      <c r="C5" s="929">
        <f t="shared" ref="C5:I5" si="1">SUM(C6,C7,C8,C9,C10,C11,C12,C13,C14,C15,C16)</f>
        <v>202.50000000000006</v>
      </c>
      <c r="D5" s="929">
        <f t="shared" si="1"/>
        <v>606</v>
      </c>
      <c r="E5" s="929">
        <f t="shared" si="1"/>
        <v>346.17019290116662</v>
      </c>
      <c r="F5" s="929">
        <f t="shared" si="1"/>
        <v>726</v>
      </c>
      <c r="G5" s="929">
        <f t="shared" si="1"/>
        <v>1292.9166899640761</v>
      </c>
      <c r="H5" s="929">
        <f t="shared" si="1"/>
        <v>5</v>
      </c>
      <c r="I5" s="929">
        <f t="shared" si="1"/>
        <v>0</v>
      </c>
    </row>
    <row r="6" spans="1:9">
      <c r="A6" s="940" t="s">
        <v>11</v>
      </c>
      <c r="B6" s="934">
        <v>413</v>
      </c>
      <c r="C6" s="935">
        <f>B6/12</f>
        <v>34.416666666666664</v>
      </c>
      <c r="D6" s="1397">
        <v>90</v>
      </c>
      <c r="E6" s="936">
        <f>D6/B6*100</f>
        <v>21.791767554479417</v>
      </c>
      <c r="F6" s="1398">
        <v>178</v>
      </c>
      <c r="G6" s="937">
        <f>F6/D6*100</f>
        <v>197.77777777777777</v>
      </c>
      <c r="H6" s="933">
        <v>2</v>
      </c>
      <c r="I6" s="947">
        <v>0</v>
      </c>
    </row>
    <row r="7" spans="1:9">
      <c r="A7" s="940" t="s">
        <v>12</v>
      </c>
      <c r="B7" s="934">
        <v>331</v>
      </c>
      <c r="C7" s="935">
        <f t="shared" ref="C7:C16" si="2">B7/12</f>
        <v>27.583333333333332</v>
      </c>
      <c r="D7" s="1397">
        <v>127</v>
      </c>
      <c r="E7" s="938">
        <f>D7/B7*100</f>
        <v>38.368580060422964</v>
      </c>
      <c r="F7" s="1398">
        <v>98</v>
      </c>
      <c r="G7" s="937">
        <f t="shared" ref="G7:G68" si="3">F7/D7*100</f>
        <v>77.165354330708652</v>
      </c>
      <c r="H7" s="1399">
        <v>1</v>
      </c>
      <c r="I7" s="947">
        <v>0</v>
      </c>
    </row>
    <row r="8" spans="1:9">
      <c r="A8" s="940" t="s">
        <v>13</v>
      </c>
      <c r="B8" s="934">
        <v>180</v>
      </c>
      <c r="C8" s="935">
        <f t="shared" si="2"/>
        <v>15</v>
      </c>
      <c r="D8" s="1397">
        <v>57</v>
      </c>
      <c r="E8" s="938">
        <f>D8/B8*100</f>
        <v>31.666666666666664</v>
      </c>
      <c r="F8" s="1398">
        <v>90</v>
      </c>
      <c r="G8" s="937">
        <f t="shared" si="3"/>
        <v>157.89473684210526</v>
      </c>
      <c r="H8" s="1399">
        <v>2</v>
      </c>
      <c r="I8" s="947">
        <v>0</v>
      </c>
    </row>
    <row r="9" spans="1:9">
      <c r="A9" s="940" t="s">
        <v>14</v>
      </c>
      <c r="B9" s="934">
        <v>80</v>
      </c>
      <c r="C9" s="935">
        <f t="shared" si="2"/>
        <v>6.666666666666667</v>
      </c>
      <c r="D9" s="1397">
        <v>36</v>
      </c>
      <c r="E9" s="938">
        <f>D9/B9*100</f>
        <v>45</v>
      </c>
      <c r="F9" s="1398">
        <v>41</v>
      </c>
      <c r="G9" s="937">
        <f t="shared" si="3"/>
        <v>113.88888888888889</v>
      </c>
      <c r="H9" s="1399">
        <v>0</v>
      </c>
      <c r="I9" s="947">
        <v>0</v>
      </c>
    </row>
    <row r="10" spans="1:9">
      <c r="A10" s="940" t="s">
        <v>15</v>
      </c>
      <c r="B10" s="934">
        <v>194</v>
      </c>
      <c r="C10" s="935">
        <f t="shared" si="2"/>
        <v>16.166666666666668</v>
      </c>
      <c r="D10" s="1397">
        <v>47</v>
      </c>
      <c r="E10" s="936">
        <f>D10/B10*100</f>
        <v>24.226804123711339</v>
      </c>
      <c r="F10" s="1398">
        <v>30</v>
      </c>
      <c r="G10" s="937">
        <f t="shared" si="3"/>
        <v>63.829787234042556</v>
      </c>
      <c r="H10" s="1399">
        <v>0</v>
      </c>
      <c r="I10" s="947">
        <v>0</v>
      </c>
    </row>
    <row r="11" spans="1:9">
      <c r="A11" s="940" t="s">
        <v>16</v>
      </c>
      <c r="B11" s="934">
        <v>87</v>
      </c>
      <c r="C11" s="935">
        <f t="shared" si="2"/>
        <v>7.25</v>
      </c>
      <c r="D11" s="1397">
        <v>39</v>
      </c>
      <c r="E11" s="938">
        <f>D11/B11*100</f>
        <v>44.827586206896555</v>
      </c>
      <c r="F11" s="1398">
        <v>44</v>
      </c>
      <c r="G11" s="937">
        <f t="shared" si="3"/>
        <v>112.82051282051282</v>
      </c>
      <c r="H11" s="1399">
        <v>0</v>
      </c>
      <c r="I11" s="947">
        <v>0</v>
      </c>
    </row>
    <row r="12" spans="1:9">
      <c r="A12" s="940" t="s">
        <v>17</v>
      </c>
      <c r="B12" s="934">
        <v>403</v>
      </c>
      <c r="C12" s="935">
        <f t="shared" si="2"/>
        <v>33.583333333333336</v>
      </c>
      <c r="D12" s="1397">
        <v>34</v>
      </c>
      <c r="E12" s="939">
        <f>D12/B12*100</f>
        <v>8.4367245657568244</v>
      </c>
      <c r="F12" s="1398">
        <v>55</v>
      </c>
      <c r="G12" s="937">
        <f t="shared" si="3"/>
        <v>161.76470588235296</v>
      </c>
      <c r="H12" s="1399">
        <v>0</v>
      </c>
      <c r="I12" s="947">
        <v>0</v>
      </c>
    </row>
    <row r="13" spans="1:9">
      <c r="A13" s="940" t="s">
        <v>18</v>
      </c>
      <c r="B13" s="934">
        <v>73</v>
      </c>
      <c r="C13" s="935">
        <f t="shared" si="2"/>
        <v>6.083333333333333</v>
      </c>
      <c r="D13" s="1397">
        <v>43</v>
      </c>
      <c r="E13" s="938">
        <f>D13/B13*100</f>
        <v>58.904109589041099</v>
      </c>
      <c r="F13" s="1398">
        <v>12</v>
      </c>
      <c r="G13" s="937">
        <f t="shared" si="3"/>
        <v>27.906976744186046</v>
      </c>
      <c r="H13" s="1399">
        <v>0</v>
      </c>
      <c r="I13" s="947">
        <v>0</v>
      </c>
    </row>
    <row r="14" spans="1:9">
      <c r="A14" s="940" t="s">
        <v>19</v>
      </c>
      <c r="B14" s="934">
        <v>127</v>
      </c>
      <c r="C14" s="935">
        <f t="shared" si="2"/>
        <v>10.583333333333334</v>
      </c>
      <c r="D14" s="1397">
        <v>57</v>
      </c>
      <c r="E14" s="938">
        <f>D14/B14*100</f>
        <v>44.881889763779526</v>
      </c>
      <c r="F14" s="1398">
        <v>70</v>
      </c>
      <c r="G14" s="937">
        <f t="shared" si="3"/>
        <v>122.80701754385966</v>
      </c>
      <c r="H14" s="1399">
        <v>0</v>
      </c>
      <c r="I14" s="947">
        <v>0</v>
      </c>
    </row>
    <row r="15" spans="1:9">
      <c r="A15" s="940" t="s">
        <v>20</v>
      </c>
      <c r="B15" s="934">
        <v>220</v>
      </c>
      <c r="C15" s="935">
        <f t="shared" si="2"/>
        <v>18.333333333333332</v>
      </c>
      <c r="D15" s="1397">
        <v>31</v>
      </c>
      <c r="E15" s="1400">
        <f>D15/B15*100</f>
        <v>14.09090909090909</v>
      </c>
      <c r="F15" s="1398">
        <v>17</v>
      </c>
      <c r="G15" s="937">
        <f t="shared" si="3"/>
        <v>54.838709677419352</v>
      </c>
      <c r="H15" s="1399">
        <v>0</v>
      </c>
      <c r="I15" s="947">
        <v>0</v>
      </c>
    </row>
    <row r="16" spans="1:9">
      <c r="A16" s="940" t="s">
        <v>21</v>
      </c>
      <c r="B16" s="934">
        <v>322</v>
      </c>
      <c r="C16" s="935">
        <f t="shared" si="2"/>
        <v>26.833333333333332</v>
      </c>
      <c r="D16" s="1397">
        <v>45</v>
      </c>
      <c r="E16" s="1400">
        <f>D16/B16*100</f>
        <v>13.975155279503104</v>
      </c>
      <c r="F16" s="1398">
        <v>91</v>
      </c>
      <c r="G16" s="937">
        <f t="shared" si="3"/>
        <v>202.22222222222223</v>
      </c>
      <c r="H16" s="1399">
        <v>0</v>
      </c>
      <c r="I16" s="947">
        <v>0</v>
      </c>
    </row>
    <row r="17" spans="1:9">
      <c r="A17" s="931" t="s">
        <v>22</v>
      </c>
      <c r="B17" s="930">
        <f>SUM(B18,B19,B20,B22,B21,B23,B24)</f>
        <v>925</v>
      </c>
      <c r="C17" s="930">
        <f t="shared" ref="C17:I17" si="4">SUM(C18,C19,C20,C22,C21,C23,C24)</f>
        <v>77.083333333333329</v>
      </c>
      <c r="D17" s="930">
        <f t="shared" si="4"/>
        <v>254</v>
      </c>
      <c r="E17" s="930">
        <f t="shared" si="4"/>
        <v>162.74568725183002</v>
      </c>
      <c r="F17" s="930">
        <f t="shared" si="4"/>
        <v>239</v>
      </c>
      <c r="G17" s="930">
        <f t="shared" si="4"/>
        <v>335.4700596974476</v>
      </c>
      <c r="H17" s="930">
        <f t="shared" si="4"/>
        <v>0</v>
      </c>
      <c r="I17" s="930">
        <f t="shared" si="4"/>
        <v>0</v>
      </c>
    </row>
    <row r="18" spans="1:9">
      <c r="A18" s="940" t="s">
        <v>23</v>
      </c>
      <c r="B18" s="941">
        <v>51</v>
      </c>
      <c r="C18" s="942">
        <f>B18/12</f>
        <v>4.25</v>
      </c>
      <c r="D18" s="1397">
        <v>6</v>
      </c>
      <c r="E18" s="939">
        <f>D18/B18*100</f>
        <v>11.76470588235294</v>
      </c>
      <c r="F18" s="1398">
        <v>0</v>
      </c>
      <c r="G18" s="937">
        <v>0</v>
      </c>
      <c r="H18" s="933">
        <v>0</v>
      </c>
      <c r="I18" s="933">
        <v>0</v>
      </c>
    </row>
    <row r="19" spans="1:9">
      <c r="A19" s="940" t="s">
        <v>24</v>
      </c>
      <c r="B19" s="941">
        <v>20</v>
      </c>
      <c r="C19" s="942">
        <f t="shared" ref="C19:C23" si="5">B19/12</f>
        <v>1.6666666666666667</v>
      </c>
      <c r="D19" s="1397">
        <v>0</v>
      </c>
      <c r="E19" s="939">
        <f>D19/B19*100</f>
        <v>0</v>
      </c>
      <c r="F19" s="1398">
        <v>0</v>
      </c>
      <c r="G19" s="937">
        <v>0</v>
      </c>
      <c r="H19" s="933">
        <v>0</v>
      </c>
      <c r="I19" s="1399">
        <v>0</v>
      </c>
    </row>
    <row r="20" spans="1:9">
      <c r="A20" s="940" t="s">
        <v>25</v>
      </c>
      <c r="B20" s="941">
        <v>485</v>
      </c>
      <c r="C20" s="942">
        <f t="shared" si="5"/>
        <v>40.416666666666664</v>
      </c>
      <c r="D20" s="1397">
        <v>83</v>
      </c>
      <c r="E20" s="936">
        <f>D20/B20*100</f>
        <v>17.11340206185567</v>
      </c>
      <c r="F20" s="1398">
        <v>48</v>
      </c>
      <c r="G20" s="937">
        <f t="shared" si="3"/>
        <v>57.831325301204814</v>
      </c>
      <c r="H20" s="933">
        <v>0</v>
      </c>
      <c r="I20" s="1399">
        <v>0</v>
      </c>
    </row>
    <row r="21" spans="1:9">
      <c r="A21" s="940" t="s">
        <v>26</v>
      </c>
      <c r="B21" s="941">
        <v>71</v>
      </c>
      <c r="C21" s="942">
        <f t="shared" si="5"/>
        <v>5.916666666666667</v>
      </c>
      <c r="D21" s="1397">
        <v>31</v>
      </c>
      <c r="E21" s="938">
        <f>D21/B21*100</f>
        <v>43.661971830985912</v>
      </c>
      <c r="F21" s="1398">
        <v>20</v>
      </c>
      <c r="G21" s="937">
        <f t="shared" si="3"/>
        <v>64.516129032258064</v>
      </c>
      <c r="H21" s="933">
        <v>0</v>
      </c>
      <c r="I21" s="1399">
        <v>0</v>
      </c>
    </row>
    <row r="22" spans="1:9">
      <c r="A22" s="940" t="s">
        <v>27</v>
      </c>
      <c r="B22" s="941">
        <v>50</v>
      </c>
      <c r="C22" s="942">
        <f t="shared" si="5"/>
        <v>4.166666666666667</v>
      </c>
      <c r="D22" s="1397">
        <v>18</v>
      </c>
      <c r="E22" s="938">
        <f>D22/B22*100</f>
        <v>36</v>
      </c>
      <c r="F22" s="1398">
        <v>14</v>
      </c>
      <c r="G22" s="937">
        <f t="shared" si="3"/>
        <v>77.777777777777786</v>
      </c>
      <c r="H22" s="933">
        <v>0</v>
      </c>
      <c r="I22" s="1399">
        <v>0</v>
      </c>
    </row>
    <row r="23" spans="1:9">
      <c r="A23" s="940" t="s">
        <v>28</v>
      </c>
      <c r="B23" s="941">
        <v>34</v>
      </c>
      <c r="C23" s="942">
        <f t="shared" si="5"/>
        <v>2.8333333333333335</v>
      </c>
      <c r="D23" s="1397">
        <v>0</v>
      </c>
      <c r="E23" s="939">
        <f>D23/B23*100</f>
        <v>0</v>
      </c>
      <c r="F23" s="1398">
        <v>0</v>
      </c>
      <c r="G23" s="937">
        <v>0</v>
      </c>
      <c r="H23" s="933">
        <v>0</v>
      </c>
      <c r="I23" s="1399">
        <v>0</v>
      </c>
    </row>
    <row r="24" spans="1:9">
      <c r="A24" s="940" t="s">
        <v>29</v>
      </c>
      <c r="B24" s="941">
        <v>214</v>
      </c>
      <c r="C24" s="942">
        <f>B24/12</f>
        <v>17.833333333333332</v>
      </c>
      <c r="D24" s="1397">
        <v>116</v>
      </c>
      <c r="E24" s="938">
        <f>D24/B24*100</f>
        <v>54.205607476635507</v>
      </c>
      <c r="F24" s="1398">
        <v>157</v>
      </c>
      <c r="G24" s="937">
        <f t="shared" si="3"/>
        <v>135.34482758620689</v>
      </c>
      <c r="H24" s="933">
        <v>0</v>
      </c>
      <c r="I24" s="1399">
        <v>0</v>
      </c>
    </row>
    <row r="25" spans="1:9">
      <c r="A25" s="931" t="s">
        <v>30</v>
      </c>
      <c r="B25" s="930">
        <f>SUM(B26,B27,B28,B29,B30,B31)</f>
        <v>612</v>
      </c>
      <c r="C25" s="930">
        <f t="shared" ref="C25:I25" si="6">SUM(C26,C27,C28,C29,C30,C31)</f>
        <v>51.000000000000007</v>
      </c>
      <c r="D25" s="930">
        <f t="shared" si="6"/>
        <v>124</v>
      </c>
      <c r="E25" s="930">
        <f t="shared" si="6"/>
        <v>115.81628513474355</v>
      </c>
      <c r="F25" s="930">
        <f t="shared" si="6"/>
        <v>81</v>
      </c>
      <c r="G25" s="930">
        <f t="shared" si="6"/>
        <v>295.85424133811227</v>
      </c>
      <c r="H25" s="930">
        <f t="shared" si="6"/>
        <v>0</v>
      </c>
      <c r="I25" s="930">
        <f t="shared" si="6"/>
        <v>0</v>
      </c>
    </row>
    <row r="26" spans="1:9">
      <c r="A26" s="940" t="s">
        <v>31</v>
      </c>
      <c r="B26" s="941">
        <v>290</v>
      </c>
      <c r="C26" s="942">
        <f>B26/12</f>
        <v>24.166666666666668</v>
      </c>
      <c r="D26" s="1397">
        <v>62</v>
      </c>
      <c r="E26" s="936">
        <f>D26/B26*100</f>
        <v>21.379310344827587</v>
      </c>
      <c r="F26" s="1398">
        <v>53</v>
      </c>
      <c r="G26" s="937">
        <f t="shared" si="3"/>
        <v>85.483870967741936</v>
      </c>
      <c r="H26" s="933">
        <v>0</v>
      </c>
      <c r="I26" s="943">
        <v>0</v>
      </c>
    </row>
    <row r="27" spans="1:9">
      <c r="A27" s="940" t="s">
        <v>32</v>
      </c>
      <c r="B27" s="941">
        <v>63</v>
      </c>
      <c r="C27" s="942">
        <f t="shared" ref="C27:C30" si="7">B27/12</f>
        <v>5.25</v>
      </c>
      <c r="D27" s="1397">
        <v>15</v>
      </c>
      <c r="E27" s="936">
        <f>D27/B27*100</f>
        <v>23.809523809523807</v>
      </c>
      <c r="F27" s="1398">
        <v>6</v>
      </c>
      <c r="G27" s="937">
        <f t="shared" si="3"/>
        <v>40</v>
      </c>
      <c r="H27" s="1399">
        <v>0</v>
      </c>
      <c r="I27" s="943">
        <v>0</v>
      </c>
    </row>
    <row r="28" spans="1:9">
      <c r="A28" s="940" t="s">
        <v>33</v>
      </c>
      <c r="B28" s="941">
        <v>81</v>
      </c>
      <c r="C28" s="942">
        <f t="shared" si="7"/>
        <v>6.75</v>
      </c>
      <c r="D28" s="1397">
        <v>27</v>
      </c>
      <c r="E28" s="938">
        <f>D28/B28*100</f>
        <v>33.333333333333329</v>
      </c>
      <c r="F28" s="1398">
        <v>19</v>
      </c>
      <c r="G28" s="937">
        <f t="shared" si="3"/>
        <v>70.370370370370367</v>
      </c>
      <c r="H28" s="1399">
        <v>0</v>
      </c>
      <c r="I28" s="943">
        <v>0</v>
      </c>
    </row>
    <row r="29" spans="1:9">
      <c r="A29" s="940" t="s">
        <v>34</v>
      </c>
      <c r="B29" s="941">
        <v>100</v>
      </c>
      <c r="C29" s="942">
        <f t="shared" si="7"/>
        <v>8.3333333333333339</v>
      </c>
      <c r="D29" s="1397">
        <v>2</v>
      </c>
      <c r="E29" s="939">
        <f>D29/B29*100</f>
        <v>2</v>
      </c>
      <c r="F29" s="1398">
        <v>2</v>
      </c>
      <c r="G29" s="937">
        <f t="shared" si="3"/>
        <v>100</v>
      </c>
      <c r="H29" s="1399">
        <v>0</v>
      </c>
      <c r="I29" s="943">
        <v>0</v>
      </c>
    </row>
    <row r="30" spans="1:9">
      <c r="A30" s="940" t="s">
        <v>35</v>
      </c>
      <c r="B30" s="941">
        <v>51</v>
      </c>
      <c r="C30" s="942">
        <f t="shared" si="7"/>
        <v>4.25</v>
      </c>
      <c r="D30" s="1397">
        <v>18</v>
      </c>
      <c r="E30" s="938">
        <f>D30/B30*100</f>
        <v>35.294117647058826</v>
      </c>
      <c r="F30" s="1398">
        <v>0</v>
      </c>
      <c r="G30" s="937">
        <f t="shared" si="3"/>
        <v>0</v>
      </c>
      <c r="H30" s="1399">
        <v>0</v>
      </c>
      <c r="I30" s="943">
        <v>0</v>
      </c>
    </row>
    <row r="31" spans="1:9">
      <c r="A31" s="940" t="s">
        <v>36</v>
      </c>
      <c r="B31" s="941">
        <v>27</v>
      </c>
      <c r="C31" s="942">
        <f>B31/12</f>
        <v>2.25</v>
      </c>
      <c r="D31" s="1397">
        <v>0</v>
      </c>
      <c r="E31" s="939">
        <f>D31/B31*100</f>
        <v>0</v>
      </c>
      <c r="F31" s="1398">
        <v>1</v>
      </c>
      <c r="G31" s="937">
        <v>0</v>
      </c>
      <c r="H31" s="1399">
        <v>0</v>
      </c>
      <c r="I31" s="943">
        <v>0</v>
      </c>
    </row>
    <row r="32" spans="1:9">
      <c r="A32" s="931" t="s">
        <v>37</v>
      </c>
      <c r="B32" s="930">
        <f>SUM(B33,B34,B35,B36,B37,B38,B39,B40,B41,B42,B43,B44,B45,B46,B47)</f>
        <v>703</v>
      </c>
      <c r="C32" s="930">
        <f t="shared" ref="C32:I32" si="8">SUM(C33,C34,C35,C36,C37,C38,C39,C40,C41,C42,C43,C44,C45,C46,C47)</f>
        <v>58.583333333333336</v>
      </c>
      <c r="D32" s="930">
        <f t="shared" si="8"/>
        <v>86</v>
      </c>
      <c r="E32" s="930">
        <f t="shared" si="8"/>
        <v>270.90722438235815</v>
      </c>
      <c r="F32" s="930">
        <f t="shared" si="8"/>
        <v>116</v>
      </c>
      <c r="G32" s="930">
        <f t="shared" si="8"/>
        <v>1096.052036199095</v>
      </c>
      <c r="H32" s="930">
        <f t="shared" si="8"/>
        <v>1</v>
      </c>
      <c r="I32" s="930">
        <f t="shared" si="8"/>
        <v>0</v>
      </c>
    </row>
    <row r="33" spans="1:9">
      <c r="A33" s="940" t="s">
        <v>38</v>
      </c>
      <c r="B33" s="934">
        <v>352</v>
      </c>
      <c r="C33" s="935">
        <f>B33/12</f>
        <v>29.333333333333332</v>
      </c>
      <c r="D33" s="1397">
        <v>17</v>
      </c>
      <c r="E33" s="1003">
        <f>D33/B33*100</f>
        <v>4.8295454545454541</v>
      </c>
      <c r="F33" s="1398">
        <v>37</v>
      </c>
      <c r="G33" s="937">
        <f t="shared" si="3"/>
        <v>217.64705882352939</v>
      </c>
      <c r="H33" s="933">
        <v>0</v>
      </c>
      <c r="I33" s="947">
        <v>0</v>
      </c>
    </row>
    <row r="34" spans="1:9">
      <c r="A34" s="940" t="s">
        <v>39</v>
      </c>
      <c r="B34" s="934">
        <v>90</v>
      </c>
      <c r="C34" s="935">
        <f t="shared" ref="C34:C46" si="9">B34/12</f>
        <v>7.5</v>
      </c>
      <c r="D34" s="1397">
        <v>13</v>
      </c>
      <c r="E34" s="1003">
        <f>D34/B34*100</f>
        <v>14.444444444444443</v>
      </c>
      <c r="F34" s="1398">
        <v>25</v>
      </c>
      <c r="G34" s="937">
        <f t="shared" si="3"/>
        <v>192.30769230769232</v>
      </c>
      <c r="H34" s="1399">
        <v>0</v>
      </c>
      <c r="I34" s="947">
        <v>0</v>
      </c>
    </row>
    <row r="35" spans="1:9">
      <c r="A35" s="940" t="s">
        <v>40</v>
      </c>
      <c r="B35" s="934">
        <v>18</v>
      </c>
      <c r="C35" s="935">
        <f t="shared" si="9"/>
        <v>1.5</v>
      </c>
      <c r="D35" s="1397">
        <v>8</v>
      </c>
      <c r="E35" s="952">
        <f>D35/B35*100</f>
        <v>44.444444444444443</v>
      </c>
      <c r="F35" s="1398">
        <v>7</v>
      </c>
      <c r="G35" s="937">
        <f t="shared" si="3"/>
        <v>87.5</v>
      </c>
      <c r="H35" s="1399">
        <v>0</v>
      </c>
      <c r="I35" s="947">
        <v>0</v>
      </c>
    </row>
    <row r="36" spans="1:9">
      <c r="A36" s="940" t="s">
        <v>41</v>
      </c>
      <c r="B36" s="934">
        <v>20</v>
      </c>
      <c r="C36" s="935">
        <f t="shared" si="9"/>
        <v>1.6666666666666667</v>
      </c>
      <c r="D36" s="1397">
        <v>17</v>
      </c>
      <c r="E36" s="952">
        <f>D36/B36*100</f>
        <v>85</v>
      </c>
      <c r="F36" s="1398">
        <v>8</v>
      </c>
      <c r="G36" s="937">
        <f t="shared" si="3"/>
        <v>47.058823529411761</v>
      </c>
      <c r="H36" s="1399">
        <v>0</v>
      </c>
      <c r="I36" s="947">
        <v>0</v>
      </c>
    </row>
    <row r="37" spans="1:9">
      <c r="A37" s="940" t="s">
        <v>42</v>
      </c>
      <c r="B37" s="934">
        <v>37</v>
      </c>
      <c r="C37" s="935">
        <f t="shared" si="9"/>
        <v>3.0833333333333335</v>
      </c>
      <c r="D37" s="1397">
        <v>3</v>
      </c>
      <c r="E37" s="1003">
        <f>D37/B37*100</f>
        <v>8.1081081081081088</v>
      </c>
      <c r="F37" s="1398">
        <v>0</v>
      </c>
      <c r="G37" s="937">
        <f t="shared" si="3"/>
        <v>0</v>
      </c>
      <c r="H37" s="1399">
        <v>0</v>
      </c>
      <c r="I37" s="947">
        <v>0</v>
      </c>
    </row>
    <row r="38" spans="1:9">
      <c r="A38" s="940" t="s">
        <v>43</v>
      </c>
      <c r="B38" s="934">
        <v>59</v>
      </c>
      <c r="C38" s="935">
        <f t="shared" si="9"/>
        <v>4.916666666666667</v>
      </c>
      <c r="D38" s="1397">
        <v>13</v>
      </c>
      <c r="E38" s="936">
        <f>D38/B38*100</f>
        <v>22.033898305084744</v>
      </c>
      <c r="F38" s="1398">
        <v>21</v>
      </c>
      <c r="G38" s="937">
        <f t="shared" si="3"/>
        <v>161.53846153846155</v>
      </c>
      <c r="H38" s="1399">
        <v>0</v>
      </c>
      <c r="I38" s="947">
        <v>0</v>
      </c>
    </row>
    <row r="39" spans="1:9">
      <c r="A39" s="940" t="s">
        <v>44</v>
      </c>
      <c r="B39" s="934">
        <v>19</v>
      </c>
      <c r="C39" s="935">
        <f t="shared" si="9"/>
        <v>1.5833333333333333</v>
      </c>
      <c r="D39" s="1397">
        <v>2</v>
      </c>
      <c r="E39" s="1003">
        <f>D39/B39*100</f>
        <v>10.526315789473683</v>
      </c>
      <c r="F39" s="1398">
        <v>5</v>
      </c>
      <c r="G39" s="937">
        <v>0</v>
      </c>
      <c r="H39" s="1399">
        <v>0</v>
      </c>
      <c r="I39" s="947">
        <v>0</v>
      </c>
    </row>
    <row r="40" spans="1:9">
      <c r="A40" s="940" t="s">
        <v>45</v>
      </c>
      <c r="B40" s="934">
        <v>15</v>
      </c>
      <c r="C40" s="935">
        <f t="shared" si="9"/>
        <v>1.25</v>
      </c>
      <c r="D40" s="1397">
        <v>1</v>
      </c>
      <c r="E40" s="1003">
        <f>D40/B40*100</f>
        <v>6.666666666666667</v>
      </c>
      <c r="F40" s="1398">
        <v>2</v>
      </c>
      <c r="G40" s="937">
        <f t="shared" si="3"/>
        <v>200</v>
      </c>
      <c r="H40" s="1399">
        <v>0</v>
      </c>
      <c r="I40" s="947">
        <v>0</v>
      </c>
    </row>
    <row r="41" spans="1:9">
      <c r="A41" s="940" t="s">
        <v>46</v>
      </c>
      <c r="B41" s="934">
        <v>4</v>
      </c>
      <c r="C41" s="935">
        <f t="shared" si="9"/>
        <v>0.33333333333333331</v>
      </c>
      <c r="D41" s="1397">
        <v>0</v>
      </c>
      <c r="E41" s="1003">
        <f>D41/B41*100</f>
        <v>0</v>
      </c>
      <c r="F41" s="1398">
        <v>0</v>
      </c>
      <c r="G41" s="937">
        <v>0</v>
      </c>
      <c r="H41" s="1399">
        <v>0</v>
      </c>
      <c r="I41" s="947">
        <v>0</v>
      </c>
    </row>
    <row r="42" spans="1:9">
      <c r="A42" s="940" t="s">
        <v>47</v>
      </c>
      <c r="B42" s="934">
        <v>30</v>
      </c>
      <c r="C42" s="935">
        <f t="shared" si="9"/>
        <v>2.5</v>
      </c>
      <c r="D42" s="1397">
        <v>0</v>
      </c>
      <c r="E42" s="1003">
        <f>D42/B42*100</f>
        <v>0</v>
      </c>
      <c r="F42" s="1398">
        <v>0</v>
      </c>
      <c r="G42" s="937">
        <v>0</v>
      </c>
      <c r="H42" s="1399">
        <v>0</v>
      </c>
      <c r="I42" s="947">
        <v>0</v>
      </c>
    </row>
    <row r="43" spans="1:9">
      <c r="A43" s="940" t="s">
        <v>48</v>
      </c>
      <c r="B43" s="934">
        <v>12</v>
      </c>
      <c r="C43" s="935">
        <f t="shared" si="9"/>
        <v>1</v>
      </c>
      <c r="D43" s="1397">
        <v>0</v>
      </c>
      <c r="E43" s="1003">
        <f>D43/B43*100</f>
        <v>0</v>
      </c>
      <c r="F43" s="1398">
        <v>0</v>
      </c>
      <c r="G43" s="937">
        <v>0</v>
      </c>
      <c r="H43" s="1399">
        <v>0</v>
      </c>
      <c r="I43" s="947">
        <v>0</v>
      </c>
    </row>
    <row r="44" spans="1:9">
      <c r="A44" s="940" t="s">
        <v>49</v>
      </c>
      <c r="B44" s="934">
        <v>9</v>
      </c>
      <c r="C44" s="935">
        <f t="shared" si="9"/>
        <v>0.75</v>
      </c>
      <c r="D44" s="1397">
        <v>2</v>
      </c>
      <c r="E44" s="936">
        <f>D44/B44*100</f>
        <v>22.222222222222221</v>
      </c>
      <c r="F44" s="1398">
        <v>2</v>
      </c>
      <c r="G44" s="937">
        <f t="shared" si="3"/>
        <v>100</v>
      </c>
      <c r="H44" s="1399">
        <v>0</v>
      </c>
      <c r="I44" s="947">
        <v>0</v>
      </c>
    </row>
    <row r="45" spans="1:9">
      <c r="A45" s="940" t="s">
        <v>50</v>
      </c>
      <c r="B45" s="934">
        <v>12</v>
      </c>
      <c r="C45" s="935">
        <f t="shared" si="9"/>
        <v>1</v>
      </c>
      <c r="D45" s="1397">
        <v>0</v>
      </c>
      <c r="E45" s="1003">
        <f>D45/B45*100</f>
        <v>0</v>
      </c>
      <c r="F45" s="1398">
        <v>0</v>
      </c>
      <c r="G45" s="937">
        <v>0</v>
      </c>
      <c r="H45" s="1399">
        <v>0</v>
      </c>
      <c r="I45" s="947">
        <v>0</v>
      </c>
    </row>
    <row r="46" spans="1:9">
      <c r="A46" s="940" t="s">
        <v>51</v>
      </c>
      <c r="B46" s="934">
        <v>19</v>
      </c>
      <c r="C46" s="935">
        <f t="shared" si="9"/>
        <v>1.5833333333333333</v>
      </c>
      <c r="D46" s="1397">
        <v>10</v>
      </c>
      <c r="E46" s="952">
        <f>D46/B46*100</f>
        <v>52.631578947368418</v>
      </c>
      <c r="F46" s="1398">
        <v>9</v>
      </c>
      <c r="G46" s="937">
        <f t="shared" si="3"/>
        <v>90</v>
      </c>
      <c r="H46" s="1399">
        <v>1</v>
      </c>
      <c r="I46" s="947">
        <v>0</v>
      </c>
    </row>
    <row r="47" spans="1:9">
      <c r="A47" s="940" t="s">
        <v>52</v>
      </c>
      <c r="B47" s="934">
        <v>7</v>
      </c>
      <c r="C47" s="935">
        <f>B47/12</f>
        <v>0.58333333333333337</v>
      </c>
      <c r="D47" s="1397">
        <v>0</v>
      </c>
      <c r="E47" s="1003">
        <f>D47/B47*100</f>
        <v>0</v>
      </c>
      <c r="F47" s="1398">
        <v>0</v>
      </c>
      <c r="G47" s="937">
        <v>0</v>
      </c>
      <c r="H47" s="1399">
        <v>0</v>
      </c>
      <c r="I47" s="947">
        <v>0</v>
      </c>
    </row>
    <row r="48" spans="1:9">
      <c r="A48" s="931" t="s">
        <v>53</v>
      </c>
      <c r="B48" s="930">
        <f>SUM(B49,B50,B51,B52,B53,B54,B55,B56,B57,B58,B59,B60,B61,B62,B63,B64,B65,B66,B67,B68)</f>
        <v>464</v>
      </c>
      <c r="C48" s="930">
        <f t="shared" ref="C48:I48" si="10">SUM(C49,C50,C51,C52,C53,C54,C55,C56,C57,C58,C59,C60,C61,C62,C63,C64,C65,C66,C67,C68)</f>
        <v>38.666666666666671</v>
      </c>
      <c r="D48" s="930">
        <f t="shared" si="10"/>
        <v>20</v>
      </c>
      <c r="E48" s="930">
        <f t="shared" si="10"/>
        <v>43.568075117370896</v>
      </c>
      <c r="F48" s="930">
        <f t="shared" si="10"/>
        <v>16</v>
      </c>
      <c r="G48" s="930">
        <f t="shared" si="10"/>
        <v>100</v>
      </c>
      <c r="H48" s="930">
        <f t="shared" si="10"/>
        <v>0</v>
      </c>
      <c r="I48" s="930">
        <f t="shared" si="10"/>
        <v>0</v>
      </c>
    </row>
    <row r="49" spans="1:9">
      <c r="A49" s="940" t="s">
        <v>54</v>
      </c>
      <c r="B49" s="948">
        <v>140</v>
      </c>
      <c r="C49" s="949">
        <f>B49/12</f>
        <v>11.666666666666666</v>
      </c>
      <c r="D49" s="1397">
        <v>0</v>
      </c>
      <c r="E49" s="939">
        <f>D49/B49*100</f>
        <v>0</v>
      </c>
      <c r="F49" s="1398">
        <v>0</v>
      </c>
      <c r="G49" s="937">
        <v>0</v>
      </c>
      <c r="H49" s="933">
        <v>0</v>
      </c>
      <c r="I49" s="947">
        <v>0</v>
      </c>
    </row>
    <row r="50" spans="1:9">
      <c r="A50" s="940" t="s">
        <v>55</v>
      </c>
      <c r="B50" s="948">
        <v>30</v>
      </c>
      <c r="C50" s="949">
        <f t="shared" ref="C50:C68" si="11">B50/12</f>
        <v>2.5</v>
      </c>
      <c r="D50" s="1397">
        <v>0</v>
      </c>
      <c r="E50" s="939">
        <f>D50/B50*100</f>
        <v>0</v>
      </c>
      <c r="F50" s="1398">
        <v>0</v>
      </c>
      <c r="G50" s="937">
        <v>0</v>
      </c>
      <c r="H50" s="1399">
        <v>0</v>
      </c>
      <c r="I50" s="947">
        <v>0</v>
      </c>
    </row>
    <row r="51" spans="1:9">
      <c r="A51" s="940" t="s">
        <v>56</v>
      </c>
      <c r="B51" s="948">
        <v>4</v>
      </c>
      <c r="C51" s="949">
        <f t="shared" si="11"/>
        <v>0.33333333333333331</v>
      </c>
      <c r="D51" s="1397">
        <v>0</v>
      </c>
      <c r="E51" s="939">
        <f>D51/B51*100</f>
        <v>0</v>
      </c>
      <c r="F51" s="1398">
        <v>0</v>
      </c>
      <c r="G51" s="937">
        <v>0</v>
      </c>
      <c r="H51" s="1399">
        <v>0</v>
      </c>
      <c r="I51" s="947">
        <v>0</v>
      </c>
    </row>
    <row r="52" spans="1:9">
      <c r="A52" s="940" t="s">
        <v>57</v>
      </c>
      <c r="B52" s="948">
        <v>13</v>
      </c>
      <c r="C52" s="949">
        <f t="shared" si="11"/>
        <v>1.0833333333333333</v>
      </c>
      <c r="D52" s="1397">
        <v>0</v>
      </c>
      <c r="E52" s="939">
        <f>D52/B52*100</f>
        <v>0</v>
      </c>
      <c r="F52" s="1398">
        <v>0</v>
      </c>
      <c r="G52" s="937">
        <v>0</v>
      </c>
      <c r="H52" s="1399">
        <v>0</v>
      </c>
      <c r="I52" s="947">
        <v>0</v>
      </c>
    </row>
    <row r="53" spans="1:9">
      <c r="A53" s="940" t="s">
        <v>58</v>
      </c>
      <c r="B53" s="948">
        <v>17</v>
      </c>
      <c r="C53" s="949">
        <f t="shared" si="11"/>
        <v>1.4166666666666667</v>
      </c>
      <c r="D53" s="1397">
        <v>0</v>
      </c>
      <c r="E53" s="939">
        <f>D53/B53*100</f>
        <v>0</v>
      </c>
      <c r="F53" s="1398">
        <v>0</v>
      </c>
      <c r="G53" s="937">
        <v>0</v>
      </c>
      <c r="H53" s="1399">
        <v>0</v>
      </c>
      <c r="I53" s="947">
        <v>0</v>
      </c>
    </row>
    <row r="54" spans="1:9">
      <c r="A54" s="940" t="s">
        <v>59</v>
      </c>
      <c r="B54" s="948">
        <v>14</v>
      </c>
      <c r="C54" s="949">
        <f t="shared" si="11"/>
        <v>1.1666666666666667</v>
      </c>
      <c r="D54" s="1397">
        <v>0</v>
      </c>
      <c r="E54" s="939">
        <f>D54/B54*100</f>
        <v>0</v>
      </c>
      <c r="F54" s="1398">
        <v>0</v>
      </c>
      <c r="G54" s="937">
        <v>0</v>
      </c>
      <c r="H54" s="1399">
        <v>0</v>
      </c>
      <c r="I54" s="947">
        <v>0</v>
      </c>
    </row>
    <row r="55" spans="1:9">
      <c r="A55" s="940" t="s">
        <v>60</v>
      </c>
      <c r="B55" s="948">
        <v>17</v>
      </c>
      <c r="C55" s="949">
        <f t="shared" si="11"/>
        <v>1.4166666666666667</v>
      </c>
      <c r="D55" s="1397">
        <v>0</v>
      </c>
      <c r="E55" s="939">
        <f>D55/B55*100</f>
        <v>0</v>
      </c>
      <c r="F55" s="1398">
        <v>1</v>
      </c>
      <c r="G55" s="937">
        <v>0</v>
      </c>
      <c r="H55" s="1399">
        <v>0</v>
      </c>
      <c r="I55" s="947">
        <v>0</v>
      </c>
    </row>
    <row r="56" spans="1:9">
      <c r="A56" s="940" t="s">
        <v>61</v>
      </c>
      <c r="B56" s="948">
        <v>23</v>
      </c>
      <c r="C56" s="949">
        <f t="shared" si="11"/>
        <v>1.9166666666666667</v>
      </c>
      <c r="D56" s="1397">
        <v>0</v>
      </c>
      <c r="E56" s="939">
        <f>D56/B56*100</f>
        <v>0</v>
      </c>
      <c r="F56" s="1398">
        <v>2</v>
      </c>
      <c r="G56" s="937">
        <v>0</v>
      </c>
      <c r="H56" s="1399">
        <v>0</v>
      </c>
      <c r="I56" s="947">
        <v>0</v>
      </c>
    </row>
    <row r="57" spans="1:9">
      <c r="A57" s="940" t="s">
        <v>62</v>
      </c>
      <c r="B57" s="948">
        <v>8</v>
      </c>
      <c r="C57" s="949">
        <f t="shared" si="11"/>
        <v>0.66666666666666663</v>
      </c>
      <c r="D57" s="1397">
        <v>0</v>
      </c>
      <c r="E57" s="939">
        <f>D57/B57*100</f>
        <v>0</v>
      </c>
      <c r="F57" s="1398">
        <v>0</v>
      </c>
      <c r="G57" s="937">
        <v>0</v>
      </c>
      <c r="H57" s="1399">
        <v>0</v>
      </c>
      <c r="I57" s="947">
        <v>0</v>
      </c>
    </row>
    <row r="58" spans="1:9">
      <c r="A58" s="940" t="s">
        <v>63</v>
      </c>
      <c r="B58" s="948">
        <v>7</v>
      </c>
      <c r="C58" s="949">
        <f t="shared" si="11"/>
        <v>0.58333333333333337</v>
      </c>
      <c r="D58" s="1397">
        <v>0</v>
      </c>
      <c r="E58" s="939">
        <f>D58/B58*100</f>
        <v>0</v>
      </c>
      <c r="F58" s="1398">
        <v>0</v>
      </c>
      <c r="G58" s="937">
        <v>0</v>
      </c>
      <c r="H58" s="1399">
        <v>0</v>
      </c>
      <c r="I58" s="947">
        <v>0</v>
      </c>
    </row>
    <row r="59" spans="1:9">
      <c r="A59" s="940" t="s">
        <v>64</v>
      </c>
      <c r="B59" s="948">
        <v>13</v>
      </c>
      <c r="C59" s="949">
        <f t="shared" si="11"/>
        <v>1.0833333333333333</v>
      </c>
      <c r="D59" s="1397">
        <v>0</v>
      </c>
      <c r="E59" s="939">
        <f>D59/B59*100</f>
        <v>0</v>
      </c>
      <c r="F59" s="1398">
        <v>2</v>
      </c>
      <c r="G59" s="937">
        <v>0</v>
      </c>
      <c r="H59" s="1399">
        <v>0</v>
      </c>
      <c r="I59" s="947">
        <v>0</v>
      </c>
    </row>
    <row r="60" spans="1:9">
      <c r="A60" s="940" t="s">
        <v>65</v>
      </c>
      <c r="B60" s="948">
        <v>23</v>
      </c>
      <c r="C60" s="949">
        <f t="shared" si="11"/>
        <v>1.9166666666666667</v>
      </c>
      <c r="D60" s="1397">
        <v>0</v>
      </c>
      <c r="E60" s="939">
        <f>D60/B60*100</f>
        <v>0</v>
      </c>
      <c r="F60" s="1398">
        <v>0</v>
      </c>
      <c r="G60" s="937">
        <v>0</v>
      </c>
      <c r="H60" s="1399">
        <v>0</v>
      </c>
      <c r="I60" s="947">
        <v>0</v>
      </c>
    </row>
    <row r="61" spans="1:9">
      <c r="A61" s="940" t="s">
        <v>66</v>
      </c>
      <c r="B61" s="948">
        <v>8</v>
      </c>
      <c r="C61" s="949">
        <f t="shared" si="11"/>
        <v>0.66666666666666663</v>
      </c>
      <c r="D61" s="1397">
        <v>0</v>
      </c>
      <c r="E61" s="939">
        <f>D61/B61*100</f>
        <v>0</v>
      </c>
      <c r="F61" s="1398">
        <v>0</v>
      </c>
      <c r="G61" s="937">
        <v>0</v>
      </c>
      <c r="H61" s="1399">
        <v>0</v>
      </c>
      <c r="I61" s="947">
        <v>0</v>
      </c>
    </row>
    <row r="62" spans="1:9">
      <c r="A62" s="940" t="s">
        <v>67</v>
      </c>
      <c r="B62" s="948">
        <v>7</v>
      </c>
      <c r="C62" s="949">
        <f t="shared" si="11"/>
        <v>0.58333333333333337</v>
      </c>
      <c r="D62" s="1397">
        <v>0</v>
      </c>
      <c r="E62" s="939">
        <f>D62/B62*100</f>
        <v>0</v>
      </c>
      <c r="F62" s="1398">
        <v>0</v>
      </c>
      <c r="G62" s="937">
        <v>0</v>
      </c>
      <c r="H62" s="1399">
        <v>0</v>
      </c>
      <c r="I62" s="947">
        <v>0</v>
      </c>
    </row>
    <row r="63" spans="1:9">
      <c r="A63" s="940" t="s">
        <v>68</v>
      </c>
      <c r="B63" s="948">
        <v>30</v>
      </c>
      <c r="C63" s="949">
        <f t="shared" si="11"/>
        <v>2.5</v>
      </c>
      <c r="D63" s="1397">
        <v>8</v>
      </c>
      <c r="E63" s="936">
        <f>D63/B63*100</f>
        <v>26.666666666666668</v>
      </c>
      <c r="F63" s="1398">
        <v>2</v>
      </c>
      <c r="G63" s="937">
        <f t="shared" si="3"/>
        <v>25</v>
      </c>
      <c r="H63" s="1399">
        <v>0</v>
      </c>
      <c r="I63" s="947">
        <v>0</v>
      </c>
    </row>
    <row r="64" spans="1:9">
      <c r="A64" s="940" t="s">
        <v>69</v>
      </c>
      <c r="B64" s="948">
        <v>71</v>
      </c>
      <c r="C64" s="949">
        <f t="shared" si="11"/>
        <v>5.916666666666667</v>
      </c>
      <c r="D64" s="1397">
        <v>12</v>
      </c>
      <c r="E64" s="936">
        <f>D64/B64*100</f>
        <v>16.901408450704224</v>
      </c>
      <c r="F64" s="1398">
        <v>9</v>
      </c>
      <c r="G64" s="937">
        <f t="shared" si="3"/>
        <v>75</v>
      </c>
      <c r="H64" s="1399">
        <v>0</v>
      </c>
      <c r="I64" s="947">
        <v>0</v>
      </c>
    </row>
    <row r="65" spans="1:9">
      <c r="A65" s="940" t="s">
        <v>70</v>
      </c>
      <c r="B65" s="948">
        <v>9</v>
      </c>
      <c r="C65" s="949">
        <f t="shared" si="11"/>
        <v>0.75</v>
      </c>
      <c r="D65" s="1397">
        <v>0</v>
      </c>
      <c r="E65" s="939">
        <f>D65/B65*100</f>
        <v>0</v>
      </c>
      <c r="F65" s="1398">
        <v>0</v>
      </c>
      <c r="G65" s="937">
        <v>0</v>
      </c>
      <c r="H65" s="1399">
        <v>0</v>
      </c>
      <c r="I65" s="947">
        <v>0</v>
      </c>
    </row>
    <row r="66" spans="1:9">
      <c r="A66" s="940" t="s">
        <v>71</v>
      </c>
      <c r="B66" s="948">
        <v>14</v>
      </c>
      <c r="C66" s="949">
        <f t="shared" si="11"/>
        <v>1.1666666666666667</v>
      </c>
      <c r="D66" s="1397">
        <v>0</v>
      </c>
      <c r="E66" s="939">
        <f>D66/B66*100</f>
        <v>0</v>
      </c>
      <c r="F66" s="1398">
        <v>0</v>
      </c>
      <c r="G66" s="937">
        <v>0</v>
      </c>
      <c r="H66" s="1399">
        <v>0</v>
      </c>
      <c r="I66" s="947">
        <v>0</v>
      </c>
    </row>
    <row r="67" spans="1:9">
      <c r="A67" s="940" t="s">
        <v>72</v>
      </c>
      <c r="B67" s="948">
        <v>15</v>
      </c>
      <c r="C67" s="949">
        <f t="shared" si="11"/>
        <v>1.25</v>
      </c>
      <c r="D67" s="1397">
        <v>0</v>
      </c>
      <c r="E67" s="939">
        <f>D67/B67*100</f>
        <v>0</v>
      </c>
      <c r="F67" s="1398">
        <v>0</v>
      </c>
      <c r="G67" s="937">
        <v>0</v>
      </c>
      <c r="H67" s="1399">
        <v>0</v>
      </c>
      <c r="I67" s="947">
        <v>0</v>
      </c>
    </row>
    <row r="68" spans="1:9">
      <c r="A68" s="951" t="s">
        <v>73</v>
      </c>
      <c r="B68" s="948">
        <v>1</v>
      </c>
      <c r="C68" s="949">
        <f t="shared" si="11"/>
        <v>8.3333333333333329E-2</v>
      </c>
      <c r="D68" s="1397">
        <v>0</v>
      </c>
      <c r="E68" s="939">
        <f>D68/B68*100</f>
        <v>0</v>
      </c>
      <c r="F68" s="1398">
        <v>0</v>
      </c>
      <c r="G68" s="937">
        <v>0</v>
      </c>
      <c r="H68" s="1399">
        <v>0</v>
      </c>
      <c r="I68" s="947">
        <v>0</v>
      </c>
    </row>
  </sheetData>
  <mergeCells count="9">
    <mergeCell ref="I1:I2"/>
    <mergeCell ref="A1:A2"/>
    <mergeCell ref="B1:B2"/>
    <mergeCell ref="D1:D2"/>
    <mergeCell ref="E1:E2"/>
    <mergeCell ref="F1:F2"/>
    <mergeCell ref="G1:G2"/>
    <mergeCell ref="C1:C2"/>
    <mergeCell ref="H1: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AF04D-CA11-402F-A66E-B081B022AC3C}">
  <dimension ref="A1:BQ75"/>
  <sheetViews>
    <sheetView workbookViewId="0">
      <pane xSplit="1" topLeftCell="B1" activePane="topRight" state="frozen"/>
      <selection pane="topRight" activeCell="AN1" sqref="AN1"/>
    </sheetView>
  </sheetViews>
  <sheetFormatPr defaultRowHeight="15"/>
  <cols>
    <col min="1" max="1" width="28.7109375" customWidth="1"/>
    <col min="3" max="3" width="9" customWidth="1"/>
    <col min="7" max="7" width="9.42578125" customWidth="1"/>
    <col min="8" max="8" width="8.140625" customWidth="1"/>
    <col min="39" max="39" width="11.140625" customWidth="1"/>
    <col min="42" max="69" width="9.140625" style="94"/>
  </cols>
  <sheetData>
    <row r="1" spans="1:69">
      <c r="A1" s="1440" t="s">
        <v>74</v>
      </c>
      <c r="B1" s="1440"/>
      <c r="C1" s="1440"/>
      <c r="D1" s="1440"/>
      <c r="E1" s="1440"/>
      <c r="F1" s="1440"/>
      <c r="G1" s="1440"/>
      <c r="H1" s="1440"/>
      <c r="I1" s="1440"/>
      <c r="J1" s="1440"/>
      <c r="K1" s="1440"/>
      <c r="L1" s="1440"/>
      <c r="M1" s="1440"/>
      <c r="N1" s="1440"/>
      <c r="O1" s="1440"/>
      <c r="P1" s="1440"/>
      <c r="Q1" s="1440"/>
      <c r="R1" s="1440"/>
      <c r="S1" s="1440"/>
      <c r="T1" s="1440"/>
      <c r="U1" s="1440"/>
      <c r="V1" s="1440"/>
      <c r="W1" s="1440"/>
      <c r="X1" s="1440"/>
      <c r="Y1" s="1440"/>
      <c r="Z1" s="1440"/>
      <c r="AA1" s="1440"/>
      <c r="AB1" s="1440"/>
      <c r="AC1" s="1440"/>
      <c r="AD1" s="1440"/>
      <c r="AE1" s="1440"/>
      <c r="AF1" s="1440"/>
      <c r="AG1" s="1440"/>
      <c r="AH1" s="1440"/>
      <c r="AI1" s="1440"/>
      <c r="AJ1" s="1440"/>
      <c r="AK1" s="1440"/>
      <c r="AL1" s="1440"/>
      <c r="AM1" s="1440"/>
      <c r="AN1" s="1440"/>
      <c r="AO1" s="1440"/>
    </row>
    <row r="2" spans="1:69" ht="30.75" customHeight="1">
      <c r="A2" s="1441"/>
      <c r="B2" s="1441"/>
      <c r="C2" s="1441"/>
      <c r="D2" s="1441"/>
      <c r="E2" s="1441"/>
      <c r="F2" s="1441"/>
      <c r="G2" s="1441"/>
      <c r="H2" s="1441"/>
      <c r="I2" s="1441"/>
      <c r="J2" s="1441"/>
      <c r="K2" s="1441"/>
      <c r="L2" s="1441"/>
      <c r="M2" s="1441"/>
      <c r="N2" s="1441"/>
      <c r="O2" s="1441"/>
      <c r="P2" s="1441"/>
      <c r="Q2" s="1441"/>
      <c r="R2" s="1441"/>
      <c r="S2" s="1441"/>
      <c r="T2" s="1441"/>
      <c r="U2" s="1441"/>
      <c r="V2" s="1441"/>
      <c r="W2" s="1441"/>
      <c r="X2" s="1441"/>
      <c r="Y2" s="1441"/>
      <c r="Z2" s="1441"/>
      <c r="AA2" s="1441"/>
      <c r="AB2" s="1441"/>
      <c r="AC2" s="1441"/>
      <c r="AD2" s="1441"/>
      <c r="AE2" s="1441"/>
      <c r="AF2" s="1441"/>
      <c r="AG2" s="1441"/>
      <c r="AH2" s="1441"/>
      <c r="AI2" s="1441"/>
      <c r="AJ2" s="1441"/>
      <c r="AK2" s="1441"/>
      <c r="AL2" s="1441"/>
      <c r="AM2" s="1441"/>
      <c r="AN2" s="1441"/>
      <c r="AO2" s="1441"/>
    </row>
    <row r="3" spans="1:69" ht="15" customHeight="1">
      <c r="A3" s="1435" t="s">
        <v>0</v>
      </c>
      <c r="B3" s="1437" t="s">
        <v>75</v>
      </c>
      <c r="C3" s="1439" t="s">
        <v>76</v>
      </c>
      <c r="D3" s="1433"/>
      <c r="E3" s="1434"/>
      <c r="F3" s="1428" t="s">
        <v>77</v>
      </c>
      <c r="G3" s="1429"/>
      <c r="H3" s="1430"/>
      <c r="I3" s="1428" t="s">
        <v>78</v>
      </c>
      <c r="J3" s="1429"/>
      <c r="K3" s="1430"/>
      <c r="L3" s="1428" t="s">
        <v>79</v>
      </c>
      <c r="M3" s="1429"/>
      <c r="N3" s="1430"/>
      <c r="O3" s="1428" t="s">
        <v>80</v>
      </c>
      <c r="P3" s="1429"/>
      <c r="Q3" s="1430"/>
      <c r="R3" s="1428" t="s">
        <v>81</v>
      </c>
      <c r="S3" s="1429"/>
      <c r="T3" s="1430"/>
      <c r="U3" s="1428" t="s">
        <v>82</v>
      </c>
      <c r="V3" s="1429"/>
      <c r="W3" s="1430"/>
      <c r="X3" s="1428" t="s">
        <v>83</v>
      </c>
      <c r="Y3" s="1429"/>
      <c r="Z3" s="1430"/>
      <c r="AA3" s="1428" t="s">
        <v>84</v>
      </c>
      <c r="AB3" s="1429"/>
      <c r="AC3" s="1430"/>
      <c r="AD3" s="1428" t="s">
        <v>85</v>
      </c>
      <c r="AE3" s="1429"/>
      <c r="AF3" s="1430"/>
      <c r="AG3" s="1428" t="s">
        <v>86</v>
      </c>
      <c r="AH3" s="1429"/>
      <c r="AI3" s="1430"/>
      <c r="AJ3" s="1428" t="s">
        <v>87</v>
      </c>
      <c r="AK3" s="1429"/>
      <c r="AL3" s="1430"/>
      <c r="AM3" s="1431" t="s">
        <v>88</v>
      </c>
      <c r="AN3" s="1421" t="s">
        <v>89</v>
      </c>
      <c r="AO3" s="1444" t="s">
        <v>90</v>
      </c>
    </row>
    <row r="4" spans="1:69" ht="32.25" customHeight="1">
      <c r="A4" s="1436"/>
      <c r="B4" s="1438"/>
      <c r="C4" s="96" t="s">
        <v>91</v>
      </c>
      <c r="D4" s="92" t="s">
        <v>92</v>
      </c>
      <c r="E4" s="92" t="s">
        <v>93</v>
      </c>
      <c r="F4" s="92" t="s">
        <v>91</v>
      </c>
      <c r="G4" s="92" t="s">
        <v>92</v>
      </c>
      <c r="H4" s="92" t="s">
        <v>93</v>
      </c>
      <c r="I4" s="92" t="s">
        <v>91</v>
      </c>
      <c r="J4" s="92" t="s">
        <v>92</v>
      </c>
      <c r="K4" s="92" t="s">
        <v>93</v>
      </c>
      <c r="L4" s="92" t="s">
        <v>91</v>
      </c>
      <c r="M4" s="92" t="s">
        <v>92</v>
      </c>
      <c r="N4" s="92" t="s">
        <v>93</v>
      </c>
      <c r="O4" s="92" t="s">
        <v>91</v>
      </c>
      <c r="P4" s="92" t="s">
        <v>92</v>
      </c>
      <c r="Q4" s="92" t="s">
        <v>93</v>
      </c>
      <c r="R4" s="92" t="s">
        <v>91</v>
      </c>
      <c r="S4" s="92" t="s">
        <v>92</v>
      </c>
      <c r="T4" s="92" t="s">
        <v>93</v>
      </c>
      <c r="U4" s="92" t="s">
        <v>91</v>
      </c>
      <c r="V4" s="92" t="s">
        <v>92</v>
      </c>
      <c r="W4" s="92" t="s">
        <v>93</v>
      </c>
      <c r="X4" s="92" t="s">
        <v>91</v>
      </c>
      <c r="Y4" s="92" t="s">
        <v>92</v>
      </c>
      <c r="Z4" s="92" t="s">
        <v>93</v>
      </c>
      <c r="AA4" s="92" t="s">
        <v>91</v>
      </c>
      <c r="AB4" s="92" t="s">
        <v>92</v>
      </c>
      <c r="AC4" s="92" t="s">
        <v>93</v>
      </c>
      <c r="AD4" s="92" t="s">
        <v>91</v>
      </c>
      <c r="AE4" s="92" t="s">
        <v>92</v>
      </c>
      <c r="AF4" s="92" t="s">
        <v>93</v>
      </c>
      <c r="AG4" s="92" t="s">
        <v>91</v>
      </c>
      <c r="AH4" s="92" t="s">
        <v>92</v>
      </c>
      <c r="AI4" s="92" t="s">
        <v>93</v>
      </c>
      <c r="AJ4" s="92" t="s">
        <v>91</v>
      </c>
      <c r="AK4" s="92" t="s">
        <v>92</v>
      </c>
      <c r="AL4" s="92" t="s">
        <v>93</v>
      </c>
      <c r="AM4" s="1442"/>
      <c r="AN4" s="1443"/>
      <c r="AO4" s="1445"/>
    </row>
    <row r="5" spans="1:69" s="90" customFormat="1">
      <c r="A5" s="103" t="s">
        <v>9</v>
      </c>
      <c r="B5" s="104">
        <v>705</v>
      </c>
      <c r="C5" s="105">
        <v>290</v>
      </c>
      <c r="D5" s="105">
        <v>166</v>
      </c>
      <c r="E5" s="105">
        <v>6</v>
      </c>
      <c r="F5" s="105">
        <v>1120</v>
      </c>
      <c r="G5" s="105">
        <v>545</v>
      </c>
      <c r="H5" s="105">
        <v>8</v>
      </c>
      <c r="I5" s="105">
        <v>883</v>
      </c>
      <c r="J5" s="105">
        <v>884</v>
      </c>
      <c r="K5" s="105">
        <v>16</v>
      </c>
      <c r="L5" s="105">
        <v>495</v>
      </c>
      <c r="M5" s="105">
        <v>384</v>
      </c>
      <c r="N5" s="105">
        <v>6</v>
      </c>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894">
        <f>SUM(C5,F5,I5,L5,O5,R5,U5,X5,AA5,AD5,AG5,AJ5)</f>
        <v>2788</v>
      </c>
      <c r="AN5" s="895">
        <f>SUM(D5,G5,J5,M5,P5,S5,V5,Y5,AB5,AE5,AH5,AK5)</f>
        <v>1979</v>
      </c>
      <c r="AO5" s="896">
        <f>SUM(E5,H5,K5,N5,Q5,T5,W5,Z5,AC5,AF5,AI5,AL5)</f>
        <v>36</v>
      </c>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row>
    <row r="6" spans="1:69">
      <c r="A6" s="87" t="s">
        <v>10</v>
      </c>
      <c r="B6" s="88">
        <f>SUM(B7,B8,B9,B10,B11,B12,B13,B14,B15,B16,B17)</f>
        <v>2004</v>
      </c>
      <c r="C6" s="88">
        <f t="shared" ref="C6:AO6" si="0">SUM(C7,C8,C9,C10,C11,C12,C13,C14,C15,C16,C17)</f>
        <v>58</v>
      </c>
      <c r="D6" s="88">
        <f t="shared" si="0"/>
        <v>37</v>
      </c>
      <c r="E6" s="88">
        <f t="shared" si="0"/>
        <v>1</v>
      </c>
      <c r="F6" s="88">
        <f t="shared" si="0"/>
        <v>220</v>
      </c>
      <c r="G6" s="88">
        <f t="shared" si="0"/>
        <v>91</v>
      </c>
      <c r="H6" s="88">
        <f t="shared" si="0"/>
        <v>0</v>
      </c>
      <c r="I6" s="88">
        <f t="shared" si="0"/>
        <v>203</v>
      </c>
      <c r="J6" s="88">
        <f t="shared" si="0"/>
        <v>441</v>
      </c>
      <c r="K6" s="88">
        <f t="shared" si="0"/>
        <v>4</v>
      </c>
      <c r="L6" s="88">
        <f t="shared" si="0"/>
        <v>125</v>
      </c>
      <c r="M6" s="88">
        <f t="shared" si="0"/>
        <v>157</v>
      </c>
      <c r="N6" s="88">
        <f t="shared" si="0"/>
        <v>0</v>
      </c>
      <c r="O6" s="88">
        <f t="shared" si="0"/>
        <v>0</v>
      </c>
      <c r="P6" s="88">
        <f t="shared" si="0"/>
        <v>0</v>
      </c>
      <c r="Q6" s="88">
        <f t="shared" si="0"/>
        <v>0</v>
      </c>
      <c r="R6" s="88">
        <f t="shared" si="0"/>
        <v>0</v>
      </c>
      <c r="S6" s="88">
        <f t="shared" si="0"/>
        <v>0</v>
      </c>
      <c r="T6" s="88">
        <f t="shared" si="0"/>
        <v>0</v>
      </c>
      <c r="U6" s="88">
        <f t="shared" si="0"/>
        <v>0</v>
      </c>
      <c r="V6" s="88">
        <f t="shared" si="0"/>
        <v>0</v>
      </c>
      <c r="W6" s="88">
        <f t="shared" si="0"/>
        <v>0</v>
      </c>
      <c r="X6" s="88">
        <f t="shared" si="0"/>
        <v>0</v>
      </c>
      <c r="Y6" s="88">
        <f t="shared" si="0"/>
        <v>0</v>
      </c>
      <c r="Z6" s="88">
        <f t="shared" si="0"/>
        <v>0</v>
      </c>
      <c r="AA6" s="88">
        <f t="shared" si="0"/>
        <v>0</v>
      </c>
      <c r="AB6" s="88">
        <f t="shared" si="0"/>
        <v>0</v>
      </c>
      <c r="AC6" s="88">
        <f t="shared" si="0"/>
        <v>0</v>
      </c>
      <c r="AD6" s="88">
        <f t="shared" si="0"/>
        <v>0</v>
      </c>
      <c r="AE6" s="88">
        <f t="shared" si="0"/>
        <v>0</v>
      </c>
      <c r="AF6" s="88">
        <f t="shared" si="0"/>
        <v>0</v>
      </c>
      <c r="AG6" s="88">
        <f t="shared" si="0"/>
        <v>0</v>
      </c>
      <c r="AH6" s="88">
        <f t="shared" si="0"/>
        <v>0</v>
      </c>
      <c r="AI6" s="88">
        <f t="shared" si="0"/>
        <v>0</v>
      </c>
      <c r="AJ6" s="88">
        <f t="shared" si="0"/>
        <v>0</v>
      </c>
      <c r="AK6" s="88">
        <f t="shared" si="0"/>
        <v>0</v>
      </c>
      <c r="AL6" s="88">
        <f t="shared" si="0"/>
        <v>0</v>
      </c>
      <c r="AM6" s="88">
        <f t="shared" si="0"/>
        <v>606</v>
      </c>
      <c r="AN6" s="93">
        <f t="shared" si="0"/>
        <v>726</v>
      </c>
      <c r="AO6" s="95">
        <f t="shared" si="0"/>
        <v>5</v>
      </c>
    </row>
    <row r="7" spans="1:69">
      <c r="A7" s="74" t="s">
        <v>11</v>
      </c>
      <c r="B7" s="75">
        <v>413</v>
      </c>
      <c r="C7" s="86">
        <v>23</v>
      </c>
      <c r="D7" s="86">
        <v>12</v>
      </c>
      <c r="E7" s="86">
        <v>0</v>
      </c>
      <c r="F7" s="86">
        <v>37</v>
      </c>
      <c r="G7" s="86">
        <v>32</v>
      </c>
      <c r="H7" s="86">
        <v>0</v>
      </c>
      <c r="I7" s="86">
        <v>18</v>
      </c>
      <c r="J7" s="86">
        <v>105</v>
      </c>
      <c r="K7" s="86">
        <v>2</v>
      </c>
      <c r="L7" s="1394">
        <v>12</v>
      </c>
      <c r="M7" s="1394">
        <v>29</v>
      </c>
      <c r="N7" s="1394">
        <v>0</v>
      </c>
      <c r="O7" s="76"/>
      <c r="P7" s="76"/>
      <c r="Q7" s="76"/>
      <c r="R7" s="76"/>
      <c r="S7" s="76"/>
      <c r="T7" s="76"/>
      <c r="U7" s="76"/>
      <c r="V7" s="76"/>
      <c r="W7" s="76"/>
      <c r="X7" s="76"/>
      <c r="Y7" s="76"/>
      <c r="Z7" s="76"/>
      <c r="AA7" s="76"/>
      <c r="AB7" s="76"/>
      <c r="AC7" s="76"/>
      <c r="AD7" s="76"/>
      <c r="AE7" s="76"/>
      <c r="AF7" s="76"/>
      <c r="AG7" s="76"/>
      <c r="AH7" s="76"/>
      <c r="AI7" s="76"/>
      <c r="AJ7" s="76"/>
      <c r="AK7" s="76"/>
      <c r="AL7" s="76"/>
      <c r="AM7" s="894">
        <f>SUM(C7,F7,I7,L7,O7,R7,U7,X7,AA7,AD7,AG7,AJ7)</f>
        <v>90</v>
      </c>
      <c r="AN7" s="895">
        <f>SUM(D7,G7,J7,M7,P7,S7,V7,Y7,AB7,AE7,AH7,AK7)</f>
        <v>178</v>
      </c>
      <c r="AO7" s="896">
        <f>SUM(E7,H7,K7,N7,Q7,T7,W7,Z7,AC7,AF7,AI7,AL7)</f>
        <v>2</v>
      </c>
    </row>
    <row r="8" spans="1:69">
      <c r="A8" s="74" t="s">
        <v>12</v>
      </c>
      <c r="B8" s="75">
        <v>331</v>
      </c>
      <c r="C8" s="86">
        <v>16</v>
      </c>
      <c r="D8" s="86">
        <v>10</v>
      </c>
      <c r="E8" s="86">
        <v>1</v>
      </c>
      <c r="F8" s="86">
        <v>45</v>
      </c>
      <c r="G8" s="86">
        <v>13</v>
      </c>
      <c r="H8" s="86">
        <v>0</v>
      </c>
      <c r="I8" s="86">
        <v>36</v>
      </c>
      <c r="J8" s="86">
        <v>50</v>
      </c>
      <c r="K8" s="86">
        <v>0</v>
      </c>
      <c r="L8" s="1394">
        <v>30</v>
      </c>
      <c r="M8" s="1394">
        <v>25</v>
      </c>
      <c r="N8" s="1394">
        <v>0</v>
      </c>
      <c r="O8" s="76"/>
      <c r="P8" s="76"/>
      <c r="Q8" s="76"/>
      <c r="R8" s="76"/>
      <c r="S8" s="76"/>
      <c r="T8" s="76"/>
      <c r="U8" s="76"/>
      <c r="V8" s="76"/>
      <c r="W8" s="76"/>
      <c r="X8" s="76"/>
      <c r="Y8" s="76"/>
      <c r="Z8" s="76"/>
      <c r="AA8" s="76"/>
      <c r="AB8" s="76"/>
      <c r="AC8" s="76"/>
      <c r="AD8" s="76"/>
      <c r="AE8" s="76"/>
      <c r="AF8" s="76"/>
      <c r="AG8" s="76"/>
      <c r="AH8" s="76"/>
      <c r="AI8" s="76"/>
      <c r="AJ8" s="76"/>
      <c r="AK8" s="76"/>
      <c r="AL8" s="76"/>
      <c r="AM8" s="894">
        <f t="shared" ref="AM8:AM69" si="1">SUM(C8,F8,I8,L8,O8,R8,U8,X8,AA8,AD8,AG8,AJ8)</f>
        <v>127</v>
      </c>
      <c r="AN8" s="895">
        <f t="shared" ref="AN8:AN69" si="2">SUM(D8,G8,J8,M8,P8,S8,V8,Y8,AB8,AE8,AH8,AK8)</f>
        <v>98</v>
      </c>
      <c r="AO8" s="896">
        <f t="shared" ref="AO8:AO69" si="3">SUM(E8,H8,K8,N8,Q8,T8,W8,Z8,AC8,AF8,AI8,AL8)</f>
        <v>1</v>
      </c>
    </row>
    <row r="9" spans="1:69">
      <c r="A9" s="74" t="s">
        <v>13</v>
      </c>
      <c r="B9" s="75">
        <v>180</v>
      </c>
      <c r="C9" s="86">
        <v>6</v>
      </c>
      <c r="D9" s="86">
        <v>3</v>
      </c>
      <c r="E9" s="86">
        <v>0</v>
      </c>
      <c r="F9" s="86">
        <v>22</v>
      </c>
      <c r="G9" s="86">
        <v>12</v>
      </c>
      <c r="H9" s="86">
        <v>0</v>
      </c>
      <c r="I9" s="86">
        <v>19</v>
      </c>
      <c r="J9" s="86">
        <v>58</v>
      </c>
      <c r="K9" s="86">
        <v>2</v>
      </c>
      <c r="L9" s="1394">
        <v>10</v>
      </c>
      <c r="M9" s="1394">
        <v>17</v>
      </c>
      <c r="N9" s="1394">
        <v>0</v>
      </c>
      <c r="O9" s="76"/>
      <c r="P9" s="76"/>
      <c r="Q9" s="76"/>
      <c r="R9" s="76"/>
      <c r="S9" s="76"/>
      <c r="T9" s="76"/>
      <c r="U9" s="76"/>
      <c r="V9" s="76"/>
      <c r="W9" s="76"/>
      <c r="X9" s="76"/>
      <c r="Y9" s="76"/>
      <c r="Z9" s="76"/>
      <c r="AA9" s="76"/>
      <c r="AB9" s="76"/>
      <c r="AC9" s="76"/>
      <c r="AD9" s="76"/>
      <c r="AE9" s="76"/>
      <c r="AF9" s="76"/>
      <c r="AG9" s="76"/>
      <c r="AH9" s="76"/>
      <c r="AI9" s="76"/>
      <c r="AJ9" s="76"/>
      <c r="AK9" s="76"/>
      <c r="AL9" s="76"/>
      <c r="AM9" s="894">
        <f t="shared" si="1"/>
        <v>57</v>
      </c>
      <c r="AN9" s="895">
        <f t="shared" si="2"/>
        <v>90</v>
      </c>
      <c r="AO9" s="896">
        <f t="shared" si="3"/>
        <v>2</v>
      </c>
    </row>
    <row r="10" spans="1:69">
      <c r="A10" s="74" t="s">
        <v>14</v>
      </c>
      <c r="B10" s="75">
        <v>48</v>
      </c>
      <c r="C10" s="86">
        <v>2</v>
      </c>
      <c r="D10" s="86">
        <v>0</v>
      </c>
      <c r="E10" s="86">
        <v>0</v>
      </c>
      <c r="F10" s="86">
        <v>24</v>
      </c>
      <c r="G10" s="86">
        <v>6</v>
      </c>
      <c r="H10" s="86">
        <v>0</v>
      </c>
      <c r="I10" s="86">
        <v>7</v>
      </c>
      <c r="J10" s="86">
        <v>33</v>
      </c>
      <c r="K10" s="86">
        <v>0</v>
      </c>
      <c r="L10" s="1394">
        <v>3</v>
      </c>
      <c r="M10" s="1394">
        <v>2</v>
      </c>
      <c r="N10" s="1394">
        <v>0</v>
      </c>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894">
        <f t="shared" si="1"/>
        <v>36</v>
      </c>
      <c r="AN10" s="895">
        <f t="shared" si="2"/>
        <v>41</v>
      </c>
      <c r="AO10" s="896">
        <f t="shared" si="3"/>
        <v>0</v>
      </c>
    </row>
    <row r="11" spans="1:69">
      <c r="A11" s="74" t="s">
        <v>15</v>
      </c>
      <c r="B11" s="75">
        <v>110</v>
      </c>
      <c r="C11" s="86">
        <v>2</v>
      </c>
      <c r="D11" s="86">
        <v>0</v>
      </c>
      <c r="E11" s="86">
        <v>0</v>
      </c>
      <c r="F11" s="86">
        <v>12</v>
      </c>
      <c r="G11" s="86">
        <v>0</v>
      </c>
      <c r="H11" s="86">
        <v>0</v>
      </c>
      <c r="I11" s="86">
        <v>19</v>
      </c>
      <c r="J11" s="86">
        <v>29</v>
      </c>
      <c r="K11" s="86">
        <v>0</v>
      </c>
      <c r="L11" s="1394">
        <v>14</v>
      </c>
      <c r="M11" s="1394">
        <v>1</v>
      </c>
      <c r="N11" s="1394">
        <v>0</v>
      </c>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894">
        <f t="shared" si="1"/>
        <v>47</v>
      </c>
      <c r="AN11" s="895">
        <f t="shared" si="2"/>
        <v>30</v>
      </c>
      <c r="AO11" s="896">
        <f t="shared" si="3"/>
        <v>0</v>
      </c>
    </row>
    <row r="12" spans="1:69">
      <c r="A12" s="74" t="s">
        <v>16</v>
      </c>
      <c r="B12" s="75">
        <v>55</v>
      </c>
      <c r="C12" s="86">
        <v>3</v>
      </c>
      <c r="D12" s="86">
        <v>6</v>
      </c>
      <c r="E12" s="86">
        <v>0</v>
      </c>
      <c r="F12" s="86">
        <v>12</v>
      </c>
      <c r="G12" s="86">
        <v>0</v>
      </c>
      <c r="H12" s="86">
        <v>0</v>
      </c>
      <c r="I12" s="86">
        <v>20</v>
      </c>
      <c r="J12" s="86">
        <v>20</v>
      </c>
      <c r="K12" s="86">
        <v>0</v>
      </c>
      <c r="L12" s="1394">
        <v>4</v>
      </c>
      <c r="M12" s="1394">
        <v>18</v>
      </c>
      <c r="N12" s="1394">
        <v>0</v>
      </c>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894">
        <f t="shared" si="1"/>
        <v>39</v>
      </c>
      <c r="AN12" s="895">
        <f t="shared" si="2"/>
        <v>44</v>
      </c>
      <c r="AO12" s="896">
        <f t="shared" si="3"/>
        <v>0</v>
      </c>
    </row>
    <row r="13" spans="1:69">
      <c r="A13" s="74" t="s">
        <v>17</v>
      </c>
      <c r="B13" s="75">
        <v>348</v>
      </c>
      <c r="C13" s="86">
        <v>2</v>
      </c>
      <c r="D13" s="86">
        <v>5</v>
      </c>
      <c r="E13" s="86">
        <v>0</v>
      </c>
      <c r="F13" s="86">
        <v>6</v>
      </c>
      <c r="G13" s="86">
        <v>9</v>
      </c>
      <c r="H13" s="86">
        <v>0</v>
      </c>
      <c r="I13" s="86">
        <v>9</v>
      </c>
      <c r="J13" s="86">
        <v>26</v>
      </c>
      <c r="K13" s="86">
        <v>0</v>
      </c>
      <c r="L13" s="1394">
        <v>17</v>
      </c>
      <c r="M13" s="1394">
        <v>15</v>
      </c>
      <c r="N13" s="1394">
        <v>0</v>
      </c>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894">
        <f t="shared" si="1"/>
        <v>34</v>
      </c>
      <c r="AN13" s="895">
        <f t="shared" si="2"/>
        <v>55</v>
      </c>
      <c r="AO13" s="896">
        <f t="shared" si="3"/>
        <v>0</v>
      </c>
    </row>
    <row r="14" spans="1:69">
      <c r="A14" s="74" t="s">
        <v>18</v>
      </c>
      <c r="B14" s="75">
        <v>58</v>
      </c>
      <c r="C14" s="86">
        <v>2</v>
      </c>
      <c r="D14" s="86">
        <v>0</v>
      </c>
      <c r="E14" s="86">
        <v>0</v>
      </c>
      <c r="F14" s="86">
        <v>17</v>
      </c>
      <c r="G14" s="86">
        <v>2</v>
      </c>
      <c r="H14" s="86">
        <v>0</v>
      </c>
      <c r="I14" s="86">
        <v>14</v>
      </c>
      <c r="J14" s="86">
        <v>10</v>
      </c>
      <c r="K14" s="86">
        <v>0</v>
      </c>
      <c r="L14" s="1394">
        <v>10</v>
      </c>
      <c r="M14" s="1394">
        <v>0</v>
      </c>
      <c r="N14" s="1394">
        <v>0</v>
      </c>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894">
        <f t="shared" si="1"/>
        <v>43</v>
      </c>
      <c r="AN14" s="895">
        <f t="shared" si="2"/>
        <v>12</v>
      </c>
      <c r="AO14" s="896">
        <f t="shared" si="3"/>
        <v>0</v>
      </c>
    </row>
    <row r="15" spans="1:69">
      <c r="A15" s="74" t="s">
        <v>19</v>
      </c>
      <c r="B15" s="75">
        <v>80</v>
      </c>
      <c r="C15" s="86">
        <v>0</v>
      </c>
      <c r="D15" s="86">
        <v>0</v>
      </c>
      <c r="E15" s="86">
        <v>0</v>
      </c>
      <c r="F15" s="86">
        <v>22</v>
      </c>
      <c r="G15" s="86">
        <v>12</v>
      </c>
      <c r="H15" s="86">
        <v>0</v>
      </c>
      <c r="I15" s="86">
        <v>28</v>
      </c>
      <c r="J15" s="86">
        <v>40</v>
      </c>
      <c r="K15" s="86">
        <v>0</v>
      </c>
      <c r="L15" s="1394">
        <v>7</v>
      </c>
      <c r="M15" s="1394">
        <v>18</v>
      </c>
      <c r="N15" s="1394">
        <v>0</v>
      </c>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894">
        <f t="shared" si="1"/>
        <v>57</v>
      </c>
      <c r="AN15" s="895">
        <f t="shared" si="2"/>
        <v>70</v>
      </c>
      <c r="AO15" s="896">
        <f t="shared" si="3"/>
        <v>0</v>
      </c>
    </row>
    <row r="16" spans="1:69">
      <c r="A16" s="74" t="s">
        <v>20</v>
      </c>
      <c r="B16" s="75">
        <v>150</v>
      </c>
      <c r="C16" s="86">
        <v>2</v>
      </c>
      <c r="D16" s="86">
        <v>1</v>
      </c>
      <c r="E16" s="86">
        <v>0</v>
      </c>
      <c r="F16" s="86">
        <v>9</v>
      </c>
      <c r="G16" s="86">
        <v>0</v>
      </c>
      <c r="H16" s="86">
        <v>0</v>
      </c>
      <c r="I16" s="86">
        <v>16</v>
      </c>
      <c r="J16" s="86">
        <v>12</v>
      </c>
      <c r="K16" s="86">
        <v>0</v>
      </c>
      <c r="L16" s="1394">
        <v>4</v>
      </c>
      <c r="M16" s="1394">
        <v>4</v>
      </c>
      <c r="N16" s="1394">
        <v>0</v>
      </c>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894">
        <f t="shared" si="1"/>
        <v>31</v>
      </c>
      <c r="AN16" s="895">
        <f t="shared" si="2"/>
        <v>17</v>
      </c>
      <c r="AO16" s="896">
        <f t="shared" si="3"/>
        <v>0</v>
      </c>
    </row>
    <row r="17" spans="1:41">
      <c r="A17" s="74" t="s">
        <v>21</v>
      </c>
      <c r="B17" s="75">
        <v>231</v>
      </c>
      <c r="C17" s="86">
        <v>0</v>
      </c>
      <c r="D17" s="86">
        <v>0</v>
      </c>
      <c r="E17" s="86">
        <v>0</v>
      </c>
      <c r="F17" s="86">
        <v>14</v>
      </c>
      <c r="G17" s="86">
        <v>5</v>
      </c>
      <c r="H17" s="86">
        <v>0</v>
      </c>
      <c r="I17" s="86">
        <v>17</v>
      </c>
      <c r="J17" s="86">
        <v>58</v>
      </c>
      <c r="K17" s="86">
        <v>0</v>
      </c>
      <c r="L17" s="1394">
        <v>14</v>
      </c>
      <c r="M17" s="1394">
        <v>28</v>
      </c>
      <c r="N17" s="1394">
        <v>0</v>
      </c>
      <c r="O17" s="1396"/>
      <c r="P17" s="1396"/>
      <c r="Q17" s="76"/>
      <c r="R17" s="76"/>
      <c r="S17" s="76"/>
      <c r="T17" s="76"/>
      <c r="U17" s="76"/>
      <c r="V17" s="76"/>
      <c r="W17" s="76"/>
      <c r="X17" s="76"/>
      <c r="Y17" s="76"/>
      <c r="Z17" s="76"/>
      <c r="AA17" s="76"/>
      <c r="AB17" s="76"/>
      <c r="AC17" s="76"/>
      <c r="AD17" s="76"/>
      <c r="AE17" s="76"/>
      <c r="AF17" s="76"/>
      <c r="AG17" s="76"/>
      <c r="AH17" s="76"/>
      <c r="AI17" s="76"/>
      <c r="AJ17" s="76"/>
      <c r="AK17" s="76"/>
      <c r="AL17" s="76"/>
      <c r="AM17" s="894">
        <f t="shared" si="1"/>
        <v>45</v>
      </c>
      <c r="AN17" s="895">
        <f t="shared" si="2"/>
        <v>91</v>
      </c>
      <c r="AO17" s="896">
        <f t="shared" si="3"/>
        <v>0</v>
      </c>
    </row>
    <row r="18" spans="1:41">
      <c r="A18" s="87" t="s">
        <v>22</v>
      </c>
      <c r="B18" s="88">
        <f>SUM(B19,B20,B21,B22,B23,B24,B25)</f>
        <v>751</v>
      </c>
      <c r="C18" s="88">
        <f t="shared" ref="C18:AO18" si="4">SUM(C19,C20,C21,C22,C23,C24,C25)</f>
        <v>25</v>
      </c>
      <c r="D18" s="88">
        <f t="shared" si="4"/>
        <v>18</v>
      </c>
      <c r="E18" s="88">
        <f t="shared" si="4"/>
        <v>0</v>
      </c>
      <c r="F18" s="88">
        <f t="shared" si="4"/>
        <v>72</v>
      </c>
      <c r="G18" s="88">
        <f t="shared" si="4"/>
        <v>26</v>
      </c>
      <c r="H18" s="88">
        <f t="shared" si="4"/>
        <v>0</v>
      </c>
      <c r="I18" s="88">
        <f t="shared" si="4"/>
        <v>71</v>
      </c>
      <c r="J18" s="88">
        <f t="shared" si="4"/>
        <v>69</v>
      </c>
      <c r="K18" s="88">
        <f t="shared" si="4"/>
        <v>0</v>
      </c>
      <c r="L18" s="88">
        <f t="shared" si="4"/>
        <v>86</v>
      </c>
      <c r="M18" s="88">
        <f t="shared" si="4"/>
        <v>126</v>
      </c>
      <c r="N18" s="88">
        <f t="shared" si="4"/>
        <v>0</v>
      </c>
      <c r="O18" s="88">
        <f t="shared" si="4"/>
        <v>0</v>
      </c>
      <c r="P18" s="88">
        <f t="shared" si="4"/>
        <v>0</v>
      </c>
      <c r="Q18" s="88">
        <f t="shared" si="4"/>
        <v>0</v>
      </c>
      <c r="R18" s="88">
        <f t="shared" si="4"/>
        <v>0</v>
      </c>
      <c r="S18" s="88">
        <f t="shared" si="4"/>
        <v>0</v>
      </c>
      <c r="T18" s="88">
        <f t="shared" si="4"/>
        <v>0</v>
      </c>
      <c r="U18" s="88">
        <f t="shared" si="4"/>
        <v>0</v>
      </c>
      <c r="V18" s="88">
        <f t="shared" si="4"/>
        <v>0</v>
      </c>
      <c r="W18" s="88">
        <f t="shared" si="4"/>
        <v>0</v>
      </c>
      <c r="X18" s="88">
        <f t="shared" si="4"/>
        <v>0</v>
      </c>
      <c r="Y18" s="88">
        <f t="shared" si="4"/>
        <v>0</v>
      </c>
      <c r="Z18" s="88">
        <f t="shared" si="4"/>
        <v>0</v>
      </c>
      <c r="AA18" s="88">
        <f t="shared" si="4"/>
        <v>0</v>
      </c>
      <c r="AB18" s="88">
        <f t="shared" si="4"/>
        <v>0</v>
      </c>
      <c r="AC18" s="88">
        <f t="shared" si="4"/>
        <v>0</v>
      </c>
      <c r="AD18" s="88">
        <f t="shared" si="4"/>
        <v>0</v>
      </c>
      <c r="AE18" s="88">
        <f t="shared" si="4"/>
        <v>0</v>
      </c>
      <c r="AF18" s="88">
        <f t="shared" si="4"/>
        <v>0</v>
      </c>
      <c r="AG18" s="88">
        <f t="shared" si="4"/>
        <v>0</v>
      </c>
      <c r="AH18" s="88">
        <f t="shared" si="4"/>
        <v>0</v>
      </c>
      <c r="AI18" s="88">
        <f t="shared" si="4"/>
        <v>0</v>
      </c>
      <c r="AJ18" s="88">
        <f t="shared" si="4"/>
        <v>0</v>
      </c>
      <c r="AK18" s="88">
        <f t="shared" si="4"/>
        <v>0</v>
      </c>
      <c r="AL18" s="88">
        <f t="shared" si="4"/>
        <v>0</v>
      </c>
      <c r="AM18" s="88">
        <f t="shared" si="4"/>
        <v>254</v>
      </c>
      <c r="AN18" s="88">
        <f t="shared" si="4"/>
        <v>239</v>
      </c>
      <c r="AO18" s="88">
        <f t="shared" si="4"/>
        <v>0</v>
      </c>
    </row>
    <row r="19" spans="1:41">
      <c r="A19" s="74" t="s">
        <v>23</v>
      </c>
      <c r="B19" s="75">
        <v>38</v>
      </c>
      <c r="C19" s="86">
        <v>0</v>
      </c>
      <c r="D19" s="86">
        <v>0</v>
      </c>
      <c r="E19" s="86">
        <v>0</v>
      </c>
      <c r="F19" s="86">
        <v>0</v>
      </c>
      <c r="G19" s="86">
        <v>0</v>
      </c>
      <c r="H19" s="86">
        <v>0</v>
      </c>
      <c r="I19" s="86">
        <v>0</v>
      </c>
      <c r="J19" s="86">
        <v>0</v>
      </c>
      <c r="K19" s="86">
        <v>0</v>
      </c>
      <c r="L19" s="1394">
        <v>6</v>
      </c>
      <c r="M19" s="1394">
        <v>0</v>
      </c>
      <c r="N19" s="1394">
        <v>0</v>
      </c>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894">
        <f t="shared" si="1"/>
        <v>6</v>
      </c>
      <c r="AN19" s="895">
        <f t="shared" si="2"/>
        <v>0</v>
      </c>
      <c r="AO19" s="896">
        <f t="shared" si="3"/>
        <v>0</v>
      </c>
    </row>
    <row r="20" spans="1:41">
      <c r="A20" s="74" t="s">
        <v>24</v>
      </c>
      <c r="B20" s="75">
        <v>11</v>
      </c>
      <c r="C20" s="86">
        <v>0</v>
      </c>
      <c r="D20" s="86">
        <v>0</v>
      </c>
      <c r="E20" s="86">
        <v>0</v>
      </c>
      <c r="F20" s="86">
        <v>0</v>
      </c>
      <c r="G20" s="86">
        <v>0</v>
      </c>
      <c r="H20" s="86">
        <v>0</v>
      </c>
      <c r="I20" s="86">
        <v>0</v>
      </c>
      <c r="J20" s="86">
        <v>0</v>
      </c>
      <c r="K20" s="86">
        <v>0</v>
      </c>
      <c r="L20" s="1394">
        <v>0</v>
      </c>
      <c r="M20" s="1394">
        <v>0</v>
      </c>
      <c r="N20" s="1394">
        <v>0</v>
      </c>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894">
        <f t="shared" si="1"/>
        <v>0</v>
      </c>
      <c r="AN20" s="895">
        <f t="shared" si="2"/>
        <v>0</v>
      </c>
      <c r="AO20" s="896">
        <f t="shared" si="3"/>
        <v>0</v>
      </c>
    </row>
    <row r="21" spans="1:41">
      <c r="A21" s="74" t="s">
        <v>25</v>
      </c>
      <c r="B21" s="75">
        <v>402</v>
      </c>
      <c r="C21" s="86">
        <v>3</v>
      </c>
      <c r="D21" s="86">
        <v>0</v>
      </c>
      <c r="E21" s="86">
        <v>0</v>
      </c>
      <c r="F21" s="86">
        <v>37</v>
      </c>
      <c r="G21" s="86">
        <v>8</v>
      </c>
      <c r="H21" s="86">
        <v>0</v>
      </c>
      <c r="I21" s="86">
        <v>19</v>
      </c>
      <c r="J21" s="86">
        <v>8</v>
      </c>
      <c r="K21" s="86">
        <v>0</v>
      </c>
      <c r="L21" s="1394">
        <v>24</v>
      </c>
      <c r="M21" s="1394">
        <v>32</v>
      </c>
      <c r="N21" s="1394">
        <v>0</v>
      </c>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894">
        <f t="shared" si="1"/>
        <v>83</v>
      </c>
      <c r="AN21" s="895">
        <f t="shared" si="2"/>
        <v>48</v>
      </c>
      <c r="AO21" s="896">
        <f t="shared" si="3"/>
        <v>0</v>
      </c>
    </row>
    <row r="22" spans="1:41">
      <c r="A22" s="74" t="s">
        <v>26</v>
      </c>
      <c r="B22" s="75">
        <v>41</v>
      </c>
      <c r="C22" s="86">
        <v>0</v>
      </c>
      <c r="D22" s="86">
        <v>0</v>
      </c>
      <c r="E22" s="86">
        <v>0</v>
      </c>
      <c r="F22" s="86">
        <v>3</v>
      </c>
      <c r="G22" s="86">
        <v>3</v>
      </c>
      <c r="H22" s="86">
        <v>0</v>
      </c>
      <c r="I22" s="86">
        <v>10</v>
      </c>
      <c r="J22" s="86">
        <v>5</v>
      </c>
      <c r="K22" s="86">
        <v>0</v>
      </c>
      <c r="L22" s="1394">
        <v>18</v>
      </c>
      <c r="M22" s="1394">
        <v>12</v>
      </c>
      <c r="N22" s="1394">
        <v>0</v>
      </c>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894">
        <f t="shared" si="1"/>
        <v>31</v>
      </c>
      <c r="AN22" s="895">
        <f t="shared" si="2"/>
        <v>20</v>
      </c>
      <c r="AO22" s="896">
        <f t="shared" si="3"/>
        <v>0</v>
      </c>
    </row>
    <row r="23" spans="1:41">
      <c r="A23" s="74" t="s">
        <v>27</v>
      </c>
      <c r="B23" s="75">
        <v>34</v>
      </c>
      <c r="C23" s="86">
        <v>0</v>
      </c>
      <c r="D23" s="86">
        <v>0</v>
      </c>
      <c r="E23" s="86">
        <v>0</v>
      </c>
      <c r="F23" s="86">
        <v>4</v>
      </c>
      <c r="G23" s="86">
        <v>3</v>
      </c>
      <c r="H23" s="86">
        <v>0</v>
      </c>
      <c r="I23" s="86">
        <v>5</v>
      </c>
      <c r="J23" s="86">
        <v>5</v>
      </c>
      <c r="K23" s="86">
        <v>0</v>
      </c>
      <c r="L23" s="1394">
        <v>9</v>
      </c>
      <c r="M23" s="1394">
        <v>6</v>
      </c>
      <c r="N23" s="1394">
        <v>0</v>
      </c>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894">
        <f t="shared" si="1"/>
        <v>18</v>
      </c>
      <c r="AN23" s="895">
        <f t="shared" si="2"/>
        <v>14</v>
      </c>
      <c r="AO23" s="896">
        <f t="shared" si="3"/>
        <v>0</v>
      </c>
    </row>
    <row r="24" spans="1:41">
      <c r="A24" s="74" t="s">
        <v>28</v>
      </c>
      <c r="B24" s="75">
        <v>25</v>
      </c>
      <c r="C24" s="86">
        <v>0</v>
      </c>
      <c r="D24" s="86">
        <v>0</v>
      </c>
      <c r="E24" s="86">
        <v>0</v>
      </c>
      <c r="F24" s="86">
        <v>0</v>
      </c>
      <c r="G24" s="86">
        <v>0</v>
      </c>
      <c r="H24" s="86">
        <v>0</v>
      </c>
      <c r="I24" s="86">
        <v>0</v>
      </c>
      <c r="J24" s="86">
        <v>0</v>
      </c>
      <c r="K24" s="86">
        <v>0</v>
      </c>
      <c r="L24" s="1394">
        <v>0</v>
      </c>
      <c r="M24" s="1394">
        <v>0</v>
      </c>
      <c r="N24" s="1394">
        <v>0</v>
      </c>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894">
        <f t="shared" si="1"/>
        <v>0</v>
      </c>
      <c r="AN24" s="895">
        <f t="shared" si="2"/>
        <v>0</v>
      </c>
      <c r="AO24" s="896">
        <f t="shared" si="3"/>
        <v>0</v>
      </c>
    </row>
    <row r="25" spans="1:41">
      <c r="A25" s="74" t="s">
        <v>29</v>
      </c>
      <c r="B25" s="75">
        <v>200</v>
      </c>
      <c r="C25" s="86">
        <v>22</v>
      </c>
      <c r="D25" s="86">
        <v>18</v>
      </c>
      <c r="E25" s="86">
        <v>0</v>
      </c>
      <c r="F25" s="86">
        <v>28</v>
      </c>
      <c r="G25" s="86">
        <v>12</v>
      </c>
      <c r="H25" s="86">
        <v>0</v>
      </c>
      <c r="I25" s="86">
        <v>37</v>
      </c>
      <c r="J25" s="86">
        <v>51</v>
      </c>
      <c r="K25" s="86">
        <v>0</v>
      </c>
      <c r="L25" s="1394">
        <v>29</v>
      </c>
      <c r="M25" s="1394">
        <v>76</v>
      </c>
      <c r="N25" s="1394">
        <v>0</v>
      </c>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894">
        <f t="shared" si="1"/>
        <v>116</v>
      </c>
      <c r="AN25" s="895">
        <f t="shared" si="2"/>
        <v>157</v>
      </c>
      <c r="AO25" s="896">
        <f t="shared" si="3"/>
        <v>0</v>
      </c>
    </row>
    <row r="26" spans="1:41">
      <c r="A26" s="87" t="s">
        <v>30</v>
      </c>
      <c r="B26" s="88">
        <f>SUM(B27,B28,B29,B30,B31,B32)</f>
        <v>473</v>
      </c>
      <c r="C26" s="88">
        <f t="shared" ref="C26:AO26" si="5">SUM(C27,C28,C29,C30,C31,C32)</f>
        <v>20</v>
      </c>
      <c r="D26" s="88">
        <f t="shared" si="5"/>
        <v>14</v>
      </c>
      <c r="E26" s="88">
        <f t="shared" si="5"/>
        <v>0</v>
      </c>
      <c r="F26" s="88">
        <f t="shared" si="5"/>
        <v>59</v>
      </c>
      <c r="G26" s="88">
        <f t="shared" si="5"/>
        <v>19</v>
      </c>
      <c r="H26" s="88">
        <f t="shared" si="5"/>
        <v>0</v>
      </c>
      <c r="I26" s="88">
        <f t="shared" si="5"/>
        <v>28</v>
      </c>
      <c r="J26" s="88">
        <f t="shared" si="5"/>
        <v>34</v>
      </c>
      <c r="K26" s="88">
        <f t="shared" si="5"/>
        <v>0</v>
      </c>
      <c r="L26" s="88">
        <f t="shared" si="5"/>
        <v>17</v>
      </c>
      <c r="M26" s="88">
        <f t="shared" si="5"/>
        <v>14</v>
      </c>
      <c r="N26" s="88">
        <f t="shared" si="5"/>
        <v>0</v>
      </c>
      <c r="O26" s="88">
        <f t="shared" si="5"/>
        <v>0</v>
      </c>
      <c r="P26" s="88">
        <f t="shared" si="5"/>
        <v>0</v>
      </c>
      <c r="Q26" s="88">
        <f t="shared" si="5"/>
        <v>0</v>
      </c>
      <c r="R26" s="88">
        <f t="shared" si="5"/>
        <v>0</v>
      </c>
      <c r="S26" s="88">
        <f t="shared" si="5"/>
        <v>0</v>
      </c>
      <c r="T26" s="88">
        <f t="shared" si="5"/>
        <v>0</v>
      </c>
      <c r="U26" s="88">
        <f t="shared" si="5"/>
        <v>0</v>
      </c>
      <c r="V26" s="88">
        <f t="shared" si="5"/>
        <v>0</v>
      </c>
      <c r="W26" s="88">
        <f t="shared" si="5"/>
        <v>0</v>
      </c>
      <c r="X26" s="88">
        <f t="shared" si="5"/>
        <v>0</v>
      </c>
      <c r="Y26" s="88">
        <f t="shared" si="5"/>
        <v>0</v>
      </c>
      <c r="Z26" s="88">
        <f t="shared" si="5"/>
        <v>0</v>
      </c>
      <c r="AA26" s="88">
        <f t="shared" si="5"/>
        <v>0</v>
      </c>
      <c r="AB26" s="88">
        <f t="shared" si="5"/>
        <v>0</v>
      </c>
      <c r="AC26" s="88">
        <f t="shared" si="5"/>
        <v>0</v>
      </c>
      <c r="AD26" s="88">
        <f t="shared" si="5"/>
        <v>0</v>
      </c>
      <c r="AE26" s="88">
        <f t="shared" si="5"/>
        <v>0</v>
      </c>
      <c r="AF26" s="88">
        <f t="shared" si="5"/>
        <v>0</v>
      </c>
      <c r="AG26" s="88">
        <f t="shared" si="5"/>
        <v>0</v>
      </c>
      <c r="AH26" s="88">
        <f t="shared" si="5"/>
        <v>0</v>
      </c>
      <c r="AI26" s="88">
        <f t="shared" si="5"/>
        <v>0</v>
      </c>
      <c r="AJ26" s="88">
        <f t="shared" si="5"/>
        <v>0</v>
      </c>
      <c r="AK26" s="88">
        <f t="shared" si="5"/>
        <v>0</v>
      </c>
      <c r="AL26" s="88">
        <f t="shared" si="5"/>
        <v>0</v>
      </c>
      <c r="AM26" s="88">
        <f t="shared" si="5"/>
        <v>124</v>
      </c>
      <c r="AN26" s="88">
        <f t="shared" si="5"/>
        <v>81</v>
      </c>
      <c r="AO26" s="88">
        <f t="shared" si="5"/>
        <v>0</v>
      </c>
    </row>
    <row r="27" spans="1:41">
      <c r="A27" s="74" t="s">
        <v>31</v>
      </c>
      <c r="B27" s="75">
        <v>240</v>
      </c>
      <c r="C27" s="86">
        <v>12</v>
      </c>
      <c r="D27" s="86">
        <v>10</v>
      </c>
      <c r="E27" s="86">
        <v>0</v>
      </c>
      <c r="F27" s="86">
        <v>25</v>
      </c>
      <c r="G27" s="86">
        <v>13</v>
      </c>
      <c r="H27" s="86">
        <v>0</v>
      </c>
      <c r="I27" s="86">
        <v>14</v>
      </c>
      <c r="J27" s="86">
        <v>17</v>
      </c>
      <c r="K27" s="86">
        <v>0</v>
      </c>
      <c r="L27" s="1394">
        <v>11</v>
      </c>
      <c r="M27" s="1394">
        <v>13</v>
      </c>
      <c r="N27" s="1394">
        <v>0</v>
      </c>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894">
        <f t="shared" si="1"/>
        <v>62</v>
      </c>
      <c r="AN27" s="895">
        <f t="shared" si="2"/>
        <v>53</v>
      </c>
      <c r="AO27" s="896">
        <f t="shared" si="3"/>
        <v>0</v>
      </c>
    </row>
    <row r="28" spans="1:41">
      <c r="A28" s="74" t="s">
        <v>32</v>
      </c>
      <c r="B28" s="75">
        <v>35</v>
      </c>
      <c r="C28" s="86">
        <v>0</v>
      </c>
      <c r="D28" s="86">
        <v>2</v>
      </c>
      <c r="E28" s="86">
        <v>0</v>
      </c>
      <c r="F28" s="86">
        <v>10</v>
      </c>
      <c r="G28" s="86">
        <v>1</v>
      </c>
      <c r="H28" s="86">
        <v>0</v>
      </c>
      <c r="I28" s="86">
        <v>4</v>
      </c>
      <c r="J28" s="86">
        <v>3</v>
      </c>
      <c r="K28" s="86">
        <v>0</v>
      </c>
      <c r="L28" s="1394">
        <v>1</v>
      </c>
      <c r="M28" s="1394">
        <v>0</v>
      </c>
      <c r="N28" s="1394">
        <v>0</v>
      </c>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894">
        <f t="shared" si="1"/>
        <v>15</v>
      </c>
      <c r="AN28" s="895">
        <f t="shared" si="2"/>
        <v>6</v>
      </c>
      <c r="AO28" s="896">
        <f t="shared" si="3"/>
        <v>0</v>
      </c>
    </row>
    <row r="29" spans="1:41">
      <c r="A29" s="74" t="s">
        <v>33</v>
      </c>
      <c r="B29" s="75">
        <v>54</v>
      </c>
      <c r="C29" s="86">
        <v>8</v>
      </c>
      <c r="D29" s="86">
        <v>0</v>
      </c>
      <c r="E29" s="86">
        <v>0</v>
      </c>
      <c r="F29" s="86">
        <v>13</v>
      </c>
      <c r="G29" s="86">
        <v>5</v>
      </c>
      <c r="H29" s="86">
        <v>0</v>
      </c>
      <c r="I29" s="86">
        <v>1</v>
      </c>
      <c r="J29" s="86">
        <v>13</v>
      </c>
      <c r="K29" s="86">
        <v>0</v>
      </c>
      <c r="L29" s="1394">
        <v>5</v>
      </c>
      <c r="M29" s="1394">
        <v>1</v>
      </c>
      <c r="N29" s="1394">
        <v>0</v>
      </c>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894">
        <f t="shared" si="1"/>
        <v>27</v>
      </c>
      <c r="AN29" s="895">
        <f t="shared" si="2"/>
        <v>19</v>
      </c>
      <c r="AO29" s="896">
        <f t="shared" si="3"/>
        <v>0</v>
      </c>
    </row>
    <row r="30" spans="1:41">
      <c r="A30" s="74" t="s">
        <v>34</v>
      </c>
      <c r="B30" s="75">
        <v>82</v>
      </c>
      <c r="C30" s="86">
        <v>0</v>
      </c>
      <c r="D30" s="86">
        <v>2</v>
      </c>
      <c r="E30" s="86">
        <v>0</v>
      </c>
      <c r="F30" s="86">
        <v>0</v>
      </c>
      <c r="G30" s="86">
        <v>0</v>
      </c>
      <c r="H30" s="86">
        <v>0</v>
      </c>
      <c r="I30" s="86">
        <v>2</v>
      </c>
      <c r="J30" s="86">
        <v>0</v>
      </c>
      <c r="K30" s="86">
        <v>0</v>
      </c>
      <c r="L30" s="1394">
        <v>0</v>
      </c>
      <c r="M30" s="1394">
        <v>0</v>
      </c>
      <c r="N30" s="1394">
        <v>0</v>
      </c>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894">
        <f t="shared" si="1"/>
        <v>2</v>
      </c>
      <c r="AN30" s="895">
        <f t="shared" si="2"/>
        <v>2</v>
      </c>
      <c r="AO30" s="896">
        <f t="shared" si="3"/>
        <v>0</v>
      </c>
    </row>
    <row r="31" spans="1:41">
      <c r="A31" s="74" t="s">
        <v>35</v>
      </c>
      <c r="B31" s="75">
        <v>41</v>
      </c>
      <c r="C31" s="86">
        <v>0</v>
      </c>
      <c r="D31" s="86">
        <v>0</v>
      </c>
      <c r="E31" s="86">
        <v>0</v>
      </c>
      <c r="F31" s="86">
        <v>11</v>
      </c>
      <c r="G31" s="86">
        <v>0</v>
      </c>
      <c r="H31" s="86">
        <v>0</v>
      </c>
      <c r="I31" s="86">
        <v>7</v>
      </c>
      <c r="J31" s="86">
        <v>0</v>
      </c>
      <c r="K31" s="86">
        <v>0</v>
      </c>
      <c r="L31" s="1394">
        <v>0</v>
      </c>
      <c r="M31" s="1394">
        <v>0</v>
      </c>
      <c r="N31" s="1394">
        <v>0</v>
      </c>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894">
        <f t="shared" si="1"/>
        <v>18</v>
      </c>
      <c r="AN31" s="895">
        <f t="shared" si="2"/>
        <v>0</v>
      </c>
      <c r="AO31" s="896">
        <f t="shared" si="3"/>
        <v>0</v>
      </c>
    </row>
    <row r="32" spans="1:41">
      <c r="A32" s="74" t="s">
        <v>36</v>
      </c>
      <c r="B32" s="75">
        <v>21</v>
      </c>
      <c r="C32" s="86">
        <v>0</v>
      </c>
      <c r="D32" s="86">
        <v>0</v>
      </c>
      <c r="E32" s="86">
        <v>0</v>
      </c>
      <c r="F32" s="86">
        <v>0</v>
      </c>
      <c r="G32" s="86">
        <v>0</v>
      </c>
      <c r="H32" s="86">
        <v>0</v>
      </c>
      <c r="I32" s="86">
        <v>0</v>
      </c>
      <c r="J32" s="86">
        <v>1</v>
      </c>
      <c r="K32" s="86">
        <v>0</v>
      </c>
      <c r="L32" s="1394">
        <v>0</v>
      </c>
      <c r="M32" s="1394">
        <v>0</v>
      </c>
      <c r="N32" s="1394">
        <v>0</v>
      </c>
      <c r="O32" s="1396"/>
      <c r="P32" s="76"/>
      <c r="Q32" s="76"/>
      <c r="R32" s="76"/>
      <c r="S32" s="76"/>
      <c r="T32" s="76"/>
      <c r="U32" s="76"/>
      <c r="V32" s="76"/>
      <c r="W32" s="76"/>
      <c r="X32" s="76"/>
      <c r="Y32" s="76"/>
      <c r="Z32" s="76"/>
      <c r="AA32" s="76"/>
      <c r="AB32" s="76"/>
      <c r="AC32" s="76"/>
      <c r="AD32" s="76"/>
      <c r="AE32" s="76"/>
      <c r="AF32" s="76"/>
      <c r="AG32" s="76"/>
      <c r="AH32" s="76"/>
      <c r="AI32" s="76"/>
      <c r="AJ32" s="76"/>
      <c r="AK32" s="76"/>
      <c r="AL32" s="76"/>
      <c r="AM32" s="894">
        <f t="shared" si="1"/>
        <v>0</v>
      </c>
      <c r="AN32" s="895">
        <f t="shared" si="2"/>
        <v>1</v>
      </c>
      <c r="AO32" s="896">
        <f t="shared" si="3"/>
        <v>0</v>
      </c>
    </row>
    <row r="33" spans="1:41">
      <c r="A33" s="87" t="s">
        <v>37</v>
      </c>
      <c r="B33" s="88">
        <f>SUM(B34,B35,B36,B37,B38,B39,B40,B41,B42,B43,B44,B45,B46,B47,B48)</f>
        <v>565</v>
      </c>
      <c r="C33" s="88">
        <f t="shared" ref="C33:AO33" si="6">SUM(C34,C35,C36,C37,C38,C39,C40,C41,C42,C43,C44,C45,C46,C47,C48)</f>
        <v>5</v>
      </c>
      <c r="D33" s="88">
        <f t="shared" si="6"/>
        <v>18</v>
      </c>
      <c r="E33" s="88">
        <f t="shared" si="6"/>
        <v>0</v>
      </c>
      <c r="F33" s="88">
        <f t="shared" si="6"/>
        <v>35</v>
      </c>
      <c r="G33" s="88">
        <f t="shared" si="6"/>
        <v>32</v>
      </c>
      <c r="H33" s="88">
        <f t="shared" si="6"/>
        <v>0</v>
      </c>
      <c r="I33" s="88">
        <f t="shared" si="6"/>
        <v>24</v>
      </c>
      <c r="J33" s="88">
        <f t="shared" si="6"/>
        <v>26</v>
      </c>
      <c r="K33" s="88">
        <f t="shared" si="6"/>
        <v>1</v>
      </c>
      <c r="L33" s="88">
        <f t="shared" si="6"/>
        <v>22</v>
      </c>
      <c r="M33" s="88">
        <f t="shared" si="6"/>
        <v>40</v>
      </c>
      <c r="N33" s="88">
        <f t="shared" si="6"/>
        <v>0</v>
      </c>
      <c r="O33" s="88">
        <f t="shared" si="6"/>
        <v>0</v>
      </c>
      <c r="P33" s="88">
        <f t="shared" si="6"/>
        <v>0</v>
      </c>
      <c r="Q33" s="88">
        <f t="shared" si="6"/>
        <v>0</v>
      </c>
      <c r="R33" s="88">
        <f t="shared" si="6"/>
        <v>0</v>
      </c>
      <c r="S33" s="88">
        <f t="shared" si="6"/>
        <v>0</v>
      </c>
      <c r="T33" s="88">
        <f t="shared" si="6"/>
        <v>0</v>
      </c>
      <c r="U33" s="88">
        <f t="shared" si="6"/>
        <v>0</v>
      </c>
      <c r="V33" s="88">
        <f t="shared" si="6"/>
        <v>0</v>
      </c>
      <c r="W33" s="88">
        <f t="shared" si="6"/>
        <v>0</v>
      </c>
      <c r="X33" s="88">
        <f t="shared" si="6"/>
        <v>0</v>
      </c>
      <c r="Y33" s="88">
        <f t="shared" si="6"/>
        <v>0</v>
      </c>
      <c r="Z33" s="88">
        <f t="shared" si="6"/>
        <v>0</v>
      </c>
      <c r="AA33" s="88">
        <f t="shared" si="6"/>
        <v>0</v>
      </c>
      <c r="AB33" s="88">
        <f t="shared" si="6"/>
        <v>0</v>
      </c>
      <c r="AC33" s="88">
        <f t="shared" si="6"/>
        <v>0</v>
      </c>
      <c r="AD33" s="88">
        <f t="shared" si="6"/>
        <v>0</v>
      </c>
      <c r="AE33" s="88">
        <f t="shared" si="6"/>
        <v>0</v>
      </c>
      <c r="AF33" s="88">
        <f t="shared" si="6"/>
        <v>0</v>
      </c>
      <c r="AG33" s="88">
        <f t="shared" si="6"/>
        <v>0</v>
      </c>
      <c r="AH33" s="88">
        <f t="shared" si="6"/>
        <v>0</v>
      </c>
      <c r="AI33" s="88">
        <f t="shared" si="6"/>
        <v>0</v>
      </c>
      <c r="AJ33" s="88">
        <f t="shared" si="6"/>
        <v>0</v>
      </c>
      <c r="AK33" s="88">
        <f t="shared" si="6"/>
        <v>0</v>
      </c>
      <c r="AL33" s="88">
        <f t="shared" si="6"/>
        <v>0</v>
      </c>
      <c r="AM33" s="88">
        <f t="shared" si="6"/>
        <v>86</v>
      </c>
      <c r="AN33" s="88">
        <f t="shared" si="6"/>
        <v>116</v>
      </c>
      <c r="AO33" s="88">
        <f t="shared" si="6"/>
        <v>1</v>
      </c>
    </row>
    <row r="34" spans="1:41">
      <c r="A34" s="74" t="s">
        <v>38</v>
      </c>
      <c r="B34" s="75">
        <v>299</v>
      </c>
      <c r="C34" s="86">
        <v>0</v>
      </c>
      <c r="D34" s="86">
        <v>15</v>
      </c>
      <c r="E34" s="86">
        <v>0</v>
      </c>
      <c r="F34" s="86">
        <v>10</v>
      </c>
      <c r="G34" s="86">
        <v>2</v>
      </c>
      <c r="H34" s="86">
        <v>0</v>
      </c>
      <c r="I34" s="86">
        <v>5</v>
      </c>
      <c r="J34" s="86">
        <v>8</v>
      </c>
      <c r="K34" s="86">
        <v>0</v>
      </c>
      <c r="L34" s="1394">
        <v>2</v>
      </c>
      <c r="M34" s="1394">
        <v>12</v>
      </c>
      <c r="N34" s="1394">
        <v>0</v>
      </c>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894">
        <f t="shared" si="1"/>
        <v>17</v>
      </c>
      <c r="AN34" s="895">
        <f t="shared" si="2"/>
        <v>37</v>
      </c>
      <c r="AO34" s="896">
        <f t="shared" si="3"/>
        <v>0</v>
      </c>
    </row>
    <row r="35" spans="1:41">
      <c r="A35" s="74" t="s">
        <v>39</v>
      </c>
      <c r="B35" s="75">
        <v>61</v>
      </c>
      <c r="C35" s="86">
        <v>1</v>
      </c>
      <c r="D35" s="86">
        <v>3</v>
      </c>
      <c r="E35" s="86">
        <v>0</v>
      </c>
      <c r="F35" s="86">
        <v>4</v>
      </c>
      <c r="G35" s="86">
        <v>12</v>
      </c>
      <c r="H35" s="86">
        <v>0</v>
      </c>
      <c r="I35" s="86">
        <v>2</v>
      </c>
      <c r="J35" s="86">
        <v>0</v>
      </c>
      <c r="K35" s="86">
        <v>0</v>
      </c>
      <c r="L35" s="1394">
        <v>6</v>
      </c>
      <c r="M35" s="1394">
        <v>10</v>
      </c>
      <c r="N35" s="1394">
        <v>0</v>
      </c>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894">
        <f t="shared" si="1"/>
        <v>13</v>
      </c>
      <c r="AN35" s="895">
        <f t="shared" si="2"/>
        <v>25</v>
      </c>
      <c r="AO35" s="896">
        <f t="shared" si="3"/>
        <v>0</v>
      </c>
    </row>
    <row r="36" spans="1:41">
      <c r="A36" s="74" t="s">
        <v>40</v>
      </c>
      <c r="B36" s="75">
        <v>10</v>
      </c>
      <c r="C36" s="86">
        <v>0</v>
      </c>
      <c r="D36" s="86">
        <v>0</v>
      </c>
      <c r="E36" s="86">
        <v>0</v>
      </c>
      <c r="F36" s="86">
        <v>1</v>
      </c>
      <c r="G36" s="86">
        <v>0</v>
      </c>
      <c r="H36" s="86">
        <v>0</v>
      </c>
      <c r="I36" s="86">
        <v>6</v>
      </c>
      <c r="J36" s="86">
        <v>0</v>
      </c>
      <c r="K36" s="86">
        <v>0</v>
      </c>
      <c r="L36" s="1394">
        <v>1</v>
      </c>
      <c r="M36" s="1394">
        <v>7</v>
      </c>
      <c r="N36" s="1394">
        <v>0</v>
      </c>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894">
        <f t="shared" si="1"/>
        <v>8</v>
      </c>
      <c r="AN36" s="895">
        <f t="shared" si="2"/>
        <v>7</v>
      </c>
      <c r="AO36" s="896">
        <f t="shared" si="3"/>
        <v>0</v>
      </c>
    </row>
    <row r="37" spans="1:41">
      <c r="A37" s="74" t="s">
        <v>41</v>
      </c>
      <c r="B37" s="75">
        <v>9</v>
      </c>
      <c r="C37" s="86">
        <v>0</v>
      </c>
      <c r="D37" s="86">
        <v>0</v>
      </c>
      <c r="E37" s="86">
        <v>0</v>
      </c>
      <c r="F37" s="86">
        <v>5</v>
      </c>
      <c r="G37" s="86">
        <v>2</v>
      </c>
      <c r="H37" s="86">
        <v>0</v>
      </c>
      <c r="I37" s="86">
        <v>5</v>
      </c>
      <c r="J37" s="86">
        <v>3</v>
      </c>
      <c r="K37" s="86">
        <v>0</v>
      </c>
      <c r="L37" s="1394">
        <v>7</v>
      </c>
      <c r="M37" s="1394">
        <v>3</v>
      </c>
      <c r="N37" s="1394">
        <v>0</v>
      </c>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894">
        <f t="shared" si="1"/>
        <v>17</v>
      </c>
      <c r="AN37" s="895">
        <f t="shared" si="2"/>
        <v>8</v>
      </c>
      <c r="AO37" s="896">
        <f t="shared" si="3"/>
        <v>0</v>
      </c>
    </row>
    <row r="38" spans="1:41">
      <c r="A38" s="74" t="s">
        <v>42</v>
      </c>
      <c r="B38" s="75">
        <v>32</v>
      </c>
      <c r="C38" s="86">
        <v>1</v>
      </c>
      <c r="D38" s="86">
        <v>0</v>
      </c>
      <c r="E38" s="86">
        <v>0</v>
      </c>
      <c r="F38" s="86">
        <v>0</v>
      </c>
      <c r="G38" s="86">
        <v>0</v>
      </c>
      <c r="H38" s="86">
        <v>0</v>
      </c>
      <c r="I38" s="86">
        <v>0</v>
      </c>
      <c r="J38" s="86">
        <v>0</v>
      </c>
      <c r="K38" s="86">
        <v>0</v>
      </c>
      <c r="L38" s="1394">
        <v>2</v>
      </c>
      <c r="M38" s="1394">
        <v>0</v>
      </c>
      <c r="N38" s="1394">
        <v>0</v>
      </c>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894">
        <f t="shared" si="1"/>
        <v>3</v>
      </c>
      <c r="AN38" s="895">
        <f t="shared" si="2"/>
        <v>0</v>
      </c>
      <c r="AO38" s="896">
        <f t="shared" si="3"/>
        <v>0</v>
      </c>
    </row>
    <row r="39" spans="1:41">
      <c r="A39" s="74" t="s">
        <v>43</v>
      </c>
      <c r="B39" s="75">
        <v>46</v>
      </c>
      <c r="C39" s="86">
        <v>0</v>
      </c>
      <c r="D39" s="86">
        <v>0</v>
      </c>
      <c r="E39" s="86">
        <v>0</v>
      </c>
      <c r="F39" s="86">
        <v>13</v>
      </c>
      <c r="G39" s="86">
        <v>13</v>
      </c>
      <c r="H39" s="86">
        <v>0</v>
      </c>
      <c r="I39" s="86">
        <v>0</v>
      </c>
      <c r="J39" s="86">
        <v>8</v>
      </c>
      <c r="K39" s="86">
        <v>0</v>
      </c>
      <c r="L39" s="1394">
        <v>0</v>
      </c>
      <c r="M39" s="1394">
        <v>0</v>
      </c>
      <c r="N39" s="1394">
        <v>0</v>
      </c>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894">
        <f t="shared" si="1"/>
        <v>13</v>
      </c>
      <c r="AN39" s="895">
        <f t="shared" si="2"/>
        <v>21</v>
      </c>
      <c r="AO39" s="896">
        <f t="shared" si="3"/>
        <v>0</v>
      </c>
    </row>
    <row r="40" spans="1:41">
      <c r="A40" s="74" t="s">
        <v>44</v>
      </c>
      <c r="B40" s="75">
        <v>13</v>
      </c>
      <c r="C40" s="86">
        <v>1</v>
      </c>
      <c r="D40" s="86">
        <v>0</v>
      </c>
      <c r="E40" s="86">
        <v>0</v>
      </c>
      <c r="F40" s="86">
        <v>1</v>
      </c>
      <c r="G40" s="86">
        <v>0</v>
      </c>
      <c r="H40" s="86">
        <v>0</v>
      </c>
      <c r="I40" s="86">
        <v>0</v>
      </c>
      <c r="J40" s="86">
        <v>3</v>
      </c>
      <c r="K40" s="86">
        <v>0</v>
      </c>
      <c r="L40" s="1394">
        <v>0</v>
      </c>
      <c r="M40" s="1394">
        <v>2</v>
      </c>
      <c r="N40" s="1394">
        <v>0</v>
      </c>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894">
        <f t="shared" si="1"/>
        <v>2</v>
      </c>
      <c r="AN40" s="895">
        <f t="shared" si="2"/>
        <v>5</v>
      </c>
      <c r="AO40" s="896">
        <f t="shared" si="3"/>
        <v>0</v>
      </c>
    </row>
    <row r="41" spans="1:41">
      <c r="A41" s="74" t="s">
        <v>45</v>
      </c>
      <c r="B41" s="75">
        <v>16</v>
      </c>
      <c r="C41" s="86">
        <v>0</v>
      </c>
      <c r="D41" s="86">
        <v>0</v>
      </c>
      <c r="E41" s="86">
        <v>0</v>
      </c>
      <c r="F41" s="86">
        <v>0</v>
      </c>
      <c r="G41" s="86">
        <v>2</v>
      </c>
      <c r="H41" s="86">
        <v>0</v>
      </c>
      <c r="I41" s="86">
        <v>1</v>
      </c>
      <c r="J41" s="86">
        <v>0</v>
      </c>
      <c r="K41" s="86">
        <v>0</v>
      </c>
      <c r="L41" s="1394">
        <v>0</v>
      </c>
      <c r="M41" s="1394">
        <v>0</v>
      </c>
      <c r="N41" s="1394">
        <v>0</v>
      </c>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894">
        <f t="shared" si="1"/>
        <v>1</v>
      </c>
      <c r="AN41" s="895">
        <f t="shared" si="2"/>
        <v>2</v>
      </c>
      <c r="AO41" s="896">
        <f t="shared" si="3"/>
        <v>0</v>
      </c>
    </row>
    <row r="42" spans="1:41">
      <c r="A42" s="74" t="s">
        <v>46</v>
      </c>
      <c r="B42" s="75">
        <v>9</v>
      </c>
      <c r="C42" s="86">
        <v>0</v>
      </c>
      <c r="D42" s="86">
        <v>0</v>
      </c>
      <c r="E42" s="86">
        <v>0</v>
      </c>
      <c r="F42" s="86">
        <v>0</v>
      </c>
      <c r="G42" s="86">
        <v>0</v>
      </c>
      <c r="H42" s="86">
        <v>0</v>
      </c>
      <c r="I42" s="86">
        <v>0</v>
      </c>
      <c r="J42" s="86">
        <v>0</v>
      </c>
      <c r="K42" s="86">
        <v>0</v>
      </c>
      <c r="L42" s="1395">
        <v>0</v>
      </c>
      <c r="M42" s="1395">
        <v>0</v>
      </c>
      <c r="N42" s="1395">
        <v>0</v>
      </c>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894">
        <f t="shared" si="1"/>
        <v>0</v>
      </c>
      <c r="AN42" s="895">
        <f t="shared" si="2"/>
        <v>0</v>
      </c>
      <c r="AO42" s="896">
        <f t="shared" si="3"/>
        <v>0</v>
      </c>
    </row>
    <row r="43" spans="1:41">
      <c r="A43" s="74" t="s">
        <v>47</v>
      </c>
      <c r="B43" s="75">
        <v>25</v>
      </c>
      <c r="C43" s="86">
        <v>0</v>
      </c>
      <c r="D43" s="86">
        <v>0</v>
      </c>
      <c r="E43" s="86">
        <v>0</v>
      </c>
      <c r="F43" s="86">
        <v>0</v>
      </c>
      <c r="G43" s="86">
        <v>0</v>
      </c>
      <c r="H43" s="86">
        <v>0</v>
      </c>
      <c r="I43" s="86">
        <v>0</v>
      </c>
      <c r="J43" s="86">
        <v>0</v>
      </c>
      <c r="K43" s="86">
        <v>0</v>
      </c>
      <c r="L43" s="1394">
        <v>0</v>
      </c>
      <c r="M43" s="1394">
        <v>0</v>
      </c>
      <c r="N43" s="1394">
        <v>0</v>
      </c>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894">
        <f t="shared" si="1"/>
        <v>0</v>
      </c>
      <c r="AN43" s="895">
        <f t="shared" si="2"/>
        <v>0</v>
      </c>
      <c r="AO43" s="896">
        <f t="shared" si="3"/>
        <v>0</v>
      </c>
    </row>
    <row r="44" spans="1:41">
      <c r="A44" s="74" t="s">
        <v>48</v>
      </c>
      <c r="B44" s="75">
        <v>7</v>
      </c>
      <c r="C44" s="86">
        <v>0</v>
      </c>
      <c r="D44" s="86">
        <v>0</v>
      </c>
      <c r="E44" s="86">
        <v>0</v>
      </c>
      <c r="F44" s="86">
        <v>0</v>
      </c>
      <c r="G44" s="86">
        <v>0</v>
      </c>
      <c r="H44" s="86">
        <v>0</v>
      </c>
      <c r="I44" s="86">
        <v>0</v>
      </c>
      <c r="J44" s="86">
        <v>0</v>
      </c>
      <c r="K44" s="86">
        <v>0</v>
      </c>
      <c r="L44" s="1394">
        <v>0</v>
      </c>
      <c r="M44" s="1394">
        <v>0</v>
      </c>
      <c r="N44" s="1394">
        <v>0</v>
      </c>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894">
        <f t="shared" si="1"/>
        <v>0</v>
      </c>
      <c r="AN44" s="895">
        <f t="shared" si="2"/>
        <v>0</v>
      </c>
      <c r="AO44" s="896">
        <f t="shared" si="3"/>
        <v>0</v>
      </c>
    </row>
    <row r="45" spans="1:41">
      <c r="A45" s="74" t="s">
        <v>49</v>
      </c>
      <c r="B45" s="75">
        <v>6</v>
      </c>
      <c r="C45" s="86">
        <v>0</v>
      </c>
      <c r="D45" s="86">
        <v>0</v>
      </c>
      <c r="E45" s="86">
        <v>0</v>
      </c>
      <c r="F45" s="86">
        <v>0</v>
      </c>
      <c r="G45" s="86">
        <v>0</v>
      </c>
      <c r="H45" s="86">
        <v>0</v>
      </c>
      <c r="I45" s="86">
        <v>2</v>
      </c>
      <c r="J45" s="86">
        <v>0</v>
      </c>
      <c r="K45" s="86">
        <v>0</v>
      </c>
      <c r="L45" s="1394">
        <v>0</v>
      </c>
      <c r="M45" s="1394">
        <v>2</v>
      </c>
      <c r="N45" s="1394">
        <v>0</v>
      </c>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894">
        <f t="shared" si="1"/>
        <v>2</v>
      </c>
      <c r="AN45" s="895">
        <f t="shared" si="2"/>
        <v>2</v>
      </c>
      <c r="AO45" s="896">
        <f t="shared" si="3"/>
        <v>0</v>
      </c>
    </row>
    <row r="46" spans="1:41">
      <c r="A46" s="74" t="s">
        <v>50</v>
      </c>
      <c r="B46" s="75">
        <v>8</v>
      </c>
      <c r="C46" s="86">
        <v>0</v>
      </c>
      <c r="D46" s="86">
        <v>0</v>
      </c>
      <c r="E46" s="86">
        <v>0</v>
      </c>
      <c r="F46" s="86">
        <v>0</v>
      </c>
      <c r="G46" s="86">
        <v>0</v>
      </c>
      <c r="H46" s="86">
        <v>0</v>
      </c>
      <c r="I46" s="86">
        <v>0</v>
      </c>
      <c r="J46" s="86">
        <v>0</v>
      </c>
      <c r="K46" s="86">
        <v>0</v>
      </c>
      <c r="L46" s="1394">
        <v>0</v>
      </c>
      <c r="M46" s="1394">
        <v>0</v>
      </c>
      <c r="N46" s="1394">
        <v>0</v>
      </c>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894">
        <f t="shared" si="1"/>
        <v>0</v>
      </c>
      <c r="AN46" s="895">
        <f t="shared" si="2"/>
        <v>0</v>
      </c>
      <c r="AO46" s="896">
        <f t="shared" si="3"/>
        <v>0</v>
      </c>
    </row>
    <row r="47" spans="1:41">
      <c r="A47" s="74" t="s">
        <v>51</v>
      </c>
      <c r="B47" s="75">
        <v>19</v>
      </c>
      <c r="C47" s="86">
        <v>2</v>
      </c>
      <c r="D47" s="86">
        <v>0</v>
      </c>
      <c r="E47" s="86">
        <v>0</v>
      </c>
      <c r="F47" s="86">
        <v>1</v>
      </c>
      <c r="G47" s="86">
        <v>1</v>
      </c>
      <c r="H47" s="86">
        <v>0</v>
      </c>
      <c r="I47" s="86">
        <v>3</v>
      </c>
      <c r="J47" s="86">
        <v>4</v>
      </c>
      <c r="K47" s="86">
        <v>1</v>
      </c>
      <c r="L47" s="1394">
        <v>4</v>
      </c>
      <c r="M47" s="1394">
        <v>4</v>
      </c>
      <c r="N47" s="1394">
        <v>0</v>
      </c>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894">
        <f t="shared" si="1"/>
        <v>10</v>
      </c>
      <c r="AN47" s="895">
        <f t="shared" si="2"/>
        <v>9</v>
      </c>
      <c r="AO47" s="896">
        <f t="shared" si="3"/>
        <v>1</v>
      </c>
    </row>
    <row r="48" spans="1:41">
      <c r="A48" s="74" t="s">
        <v>52</v>
      </c>
      <c r="B48" s="75">
        <v>5</v>
      </c>
      <c r="C48" s="86">
        <v>0</v>
      </c>
      <c r="D48" s="86">
        <v>0</v>
      </c>
      <c r="E48" s="86">
        <v>0</v>
      </c>
      <c r="F48" s="86">
        <v>0</v>
      </c>
      <c r="G48" s="86">
        <v>0</v>
      </c>
      <c r="H48" s="86">
        <v>0</v>
      </c>
      <c r="I48" s="86">
        <v>0</v>
      </c>
      <c r="J48" s="86">
        <v>0</v>
      </c>
      <c r="K48" s="86">
        <v>0</v>
      </c>
      <c r="L48" s="1394">
        <v>0</v>
      </c>
      <c r="M48" s="1394">
        <v>0</v>
      </c>
      <c r="N48" s="1394">
        <v>0</v>
      </c>
      <c r="O48" s="1396"/>
      <c r="P48" s="76"/>
      <c r="Q48" s="76"/>
      <c r="R48" s="76"/>
      <c r="S48" s="76"/>
      <c r="T48" s="76"/>
      <c r="U48" s="76"/>
      <c r="V48" s="76"/>
      <c r="W48" s="76"/>
      <c r="X48" s="76"/>
      <c r="Y48" s="76"/>
      <c r="Z48" s="76"/>
      <c r="AA48" s="76"/>
      <c r="AB48" s="76"/>
      <c r="AC48" s="76"/>
      <c r="AD48" s="76"/>
      <c r="AE48" s="76"/>
      <c r="AF48" s="76"/>
      <c r="AG48" s="76"/>
      <c r="AH48" s="76"/>
      <c r="AI48" s="76"/>
      <c r="AJ48" s="76"/>
      <c r="AK48" s="76"/>
      <c r="AL48" s="76"/>
      <c r="AM48" s="894">
        <f t="shared" si="1"/>
        <v>0</v>
      </c>
      <c r="AN48" s="895">
        <f t="shared" si="2"/>
        <v>0</v>
      </c>
      <c r="AO48" s="896">
        <f t="shared" si="3"/>
        <v>0</v>
      </c>
    </row>
    <row r="49" spans="1:41">
      <c r="A49" s="87" t="s">
        <v>53</v>
      </c>
      <c r="B49" s="88">
        <f>SUM(B50,B51,B52,B53,B54,B55,B56,B57,B58,B59,B60,B61,B62,B63,B64,B65,B66,B67,B68,B69)</f>
        <v>337</v>
      </c>
      <c r="C49" s="88">
        <f t="shared" ref="C49:AO49" si="7">SUM(C50,C51,C52,C53,C54,C55,C56,C57,C58,C59,C60,C61,C62,C63,C64,C65,C66,C67,C68,C69)</f>
        <v>0</v>
      </c>
      <c r="D49" s="88">
        <f t="shared" si="7"/>
        <v>1</v>
      </c>
      <c r="E49" s="88">
        <f t="shared" si="7"/>
        <v>0</v>
      </c>
      <c r="F49" s="88">
        <f t="shared" si="7"/>
        <v>9</v>
      </c>
      <c r="G49" s="88">
        <f t="shared" si="7"/>
        <v>1</v>
      </c>
      <c r="H49" s="88">
        <f t="shared" si="7"/>
        <v>0</v>
      </c>
      <c r="I49" s="88">
        <f t="shared" si="7"/>
        <v>10</v>
      </c>
      <c r="J49" s="88">
        <f t="shared" si="7"/>
        <v>12</v>
      </c>
      <c r="K49" s="88">
        <f t="shared" si="7"/>
        <v>0</v>
      </c>
      <c r="L49" s="88">
        <f t="shared" si="7"/>
        <v>1</v>
      </c>
      <c r="M49" s="88">
        <f t="shared" si="7"/>
        <v>2</v>
      </c>
      <c r="N49" s="88">
        <f t="shared" si="7"/>
        <v>0</v>
      </c>
      <c r="O49" s="88">
        <f t="shared" si="7"/>
        <v>0</v>
      </c>
      <c r="P49" s="88">
        <f t="shared" si="7"/>
        <v>0</v>
      </c>
      <c r="Q49" s="88">
        <f t="shared" si="7"/>
        <v>0</v>
      </c>
      <c r="R49" s="88">
        <f t="shared" si="7"/>
        <v>0</v>
      </c>
      <c r="S49" s="88">
        <f t="shared" si="7"/>
        <v>0</v>
      </c>
      <c r="T49" s="88">
        <f t="shared" si="7"/>
        <v>0</v>
      </c>
      <c r="U49" s="88">
        <f t="shared" si="7"/>
        <v>0</v>
      </c>
      <c r="V49" s="88">
        <f t="shared" si="7"/>
        <v>0</v>
      </c>
      <c r="W49" s="88">
        <f t="shared" si="7"/>
        <v>0</v>
      </c>
      <c r="X49" s="88">
        <f t="shared" si="7"/>
        <v>0</v>
      </c>
      <c r="Y49" s="88">
        <f t="shared" si="7"/>
        <v>0</v>
      </c>
      <c r="Z49" s="88">
        <f t="shared" si="7"/>
        <v>0</v>
      </c>
      <c r="AA49" s="88">
        <f t="shared" si="7"/>
        <v>0</v>
      </c>
      <c r="AB49" s="88">
        <f t="shared" si="7"/>
        <v>0</v>
      </c>
      <c r="AC49" s="88">
        <f t="shared" si="7"/>
        <v>0</v>
      </c>
      <c r="AD49" s="88">
        <f t="shared" si="7"/>
        <v>0</v>
      </c>
      <c r="AE49" s="88">
        <f t="shared" si="7"/>
        <v>0</v>
      </c>
      <c r="AF49" s="88">
        <f t="shared" si="7"/>
        <v>0</v>
      </c>
      <c r="AG49" s="88">
        <f t="shared" si="7"/>
        <v>0</v>
      </c>
      <c r="AH49" s="88">
        <f t="shared" si="7"/>
        <v>0</v>
      </c>
      <c r="AI49" s="88">
        <f t="shared" si="7"/>
        <v>0</v>
      </c>
      <c r="AJ49" s="88">
        <f t="shared" si="7"/>
        <v>0</v>
      </c>
      <c r="AK49" s="88">
        <f t="shared" si="7"/>
        <v>0</v>
      </c>
      <c r="AL49" s="88">
        <f t="shared" si="7"/>
        <v>0</v>
      </c>
      <c r="AM49" s="88">
        <f t="shared" si="7"/>
        <v>20</v>
      </c>
      <c r="AN49" s="88">
        <f t="shared" si="7"/>
        <v>16</v>
      </c>
      <c r="AO49" s="88">
        <f t="shared" si="7"/>
        <v>0</v>
      </c>
    </row>
    <row r="50" spans="1:41">
      <c r="A50" s="74" t="s">
        <v>54</v>
      </c>
      <c r="B50" s="75">
        <v>125</v>
      </c>
      <c r="C50" s="86">
        <v>0</v>
      </c>
      <c r="D50" s="86">
        <v>0</v>
      </c>
      <c r="E50" s="86">
        <v>0</v>
      </c>
      <c r="F50" s="86">
        <v>0</v>
      </c>
      <c r="G50" s="86">
        <v>0</v>
      </c>
      <c r="H50" s="86">
        <v>0</v>
      </c>
      <c r="I50" s="86">
        <v>0</v>
      </c>
      <c r="J50" s="86">
        <v>0</v>
      </c>
      <c r="K50" s="86">
        <v>0</v>
      </c>
      <c r="L50" s="1394">
        <v>0</v>
      </c>
      <c r="M50" s="1394">
        <v>0</v>
      </c>
      <c r="N50" s="1394">
        <v>0</v>
      </c>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894">
        <f t="shared" si="1"/>
        <v>0</v>
      </c>
      <c r="AN50" s="895">
        <f t="shared" si="2"/>
        <v>0</v>
      </c>
      <c r="AO50" s="896">
        <f t="shared" si="3"/>
        <v>0</v>
      </c>
    </row>
    <row r="51" spans="1:41">
      <c r="A51" s="74" t="s">
        <v>55</v>
      </c>
      <c r="B51" s="75">
        <v>4</v>
      </c>
      <c r="C51" s="86">
        <v>0</v>
      </c>
      <c r="D51" s="86">
        <v>0</v>
      </c>
      <c r="E51" s="86">
        <v>0</v>
      </c>
      <c r="F51" s="86">
        <v>0</v>
      </c>
      <c r="G51" s="86">
        <v>0</v>
      </c>
      <c r="H51" s="86">
        <v>0</v>
      </c>
      <c r="I51" s="86">
        <v>0</v>
      </c>
      <c r="J51" s="86">
        <v>0</v>
      </c>
      <c r="K51" s="86">
        <v>0</v>
      </c>
      <c r="L51" s="1394">
        <v>0</v>
      </c>
      <c r="M51" s="1394">
        <v>0</v>
      </c>
      <c r="N51" s="1394">
        <v>0</v>
      </c>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894">
        <f t="shared" si="1"/>
        <v>0</v>
      </c>
      <c r="AN51" s="895">
        <f t="shared" si="2"/>
        <v>0</v>
      </c>
      <c r="AO51" s="896">
        <f t="shared" si="3"/>
        <v>0</v>
      </c>
    </row>
    <row r="52" spans="1:41">
      <c r="A52" s="74" t="s">
        <v>56</v>
      </c>
      <c r="B52" s="75">
        <v>2</v>
      </c>
      <c r="C52" s="86">
        <v>0</v>
      </c>
      <c r="D52" s="86">
        <v>0</v>
      </c>
      <c r="E52" s="86">
        <v>0</v>
      </c>
      <c r="F52" s="86">
        <v>0</v>
      </c>
      <c r="G52" s="86">
        <v>0</v>
      </c>
      <c r="H52" s="86">
        <v>0</v>
      </c>
      <c r="I52" s="86">
        <v>0</v>
      </c>
      <c r="J52" s="86">
        <v>0</v>
      </c>
      <c r="K52" s="86">
        <v>0</v>
      </c>
      <c r="L52" s="1394">
        <v>0</v>
      </c>
      <c r="M52" s="1394">
        <v>0</v>
      </c>
      <c r="N52" s="1394">
        <v>0</v>
      </c>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894">
        <f t="shared" si="1"/>
        <v>0</v>
      </c>
      <c r="AN52" s="895">
        <f t="shared" si="2"/>
        <v>0</v>
      </c>
      <c r="AO52" s="896">
        <f t="shared" si="3"/>
        <v>0</v>
      </c>
    </row>
    <row r="53" spans="1:41">
      <c r="A53" s="74" t="s">
        <v>57</v>
      </c>
      <c r="B53" s="75">
        <v>10</v>
      </c>
      <c r="C53" s="86">
        <v>0</v>
      </c>
      <c r="D53" s="86">
        <v>0</v>
      </c>
      <c r="E53" s="86">
        <v>0</v>
      </c>
      <c r="F53" s="86">
        <v>0</v>
      </c>
      <c r="G53" s="86">
        <v>0</v>
      </c>
      <c r="H53" s="86">
        <v>0</v>
      </c>
      <c r="I53" s="86">
        <v>0</v>
      </c>
      <c r="J53" s="86">
        <v>0</v>
      </c>
      <c r="K53" s="86">
        <v>0</v>
      </c>
      <c r="L53" s="1394">
        <v>0</v>
      </c>
      <c r="M53" s="1394">
        <v>0</v>
      </c>
      <c r="N53" s="1394">
        <v>0</v>
      </c>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894">
        <f t="shared" si="1"/>
        <v>0</v>
      </c>
      <c r="AN53" s="895">
        <f t="shared" si="2"/>
        <v>0</v>
      </c>
      <c r="AO53" s="896">
        <f t="shared" si="3"/>
        <v>0</v>
      </c>
    </row>
    <row r="54" spans="1:41">
      <c r="A54" s="74" t="s">
        <v>58</v>
      </c>
      <c r="B54" s="75">
        <v>8</v>
      </c>
      <c r="C54" s="86">
        <v>0</v>
      </c>
      <c r="D54" s="86">
        <v>0</v>
      </c>
      <c r="E54" s="86">
        <v>0</v>
      </c>
      <c r="F54" s="86">
        <v>0</v>
      </c>
      <c r="G54" s="86">
        <v>0</v>
      </c>
      <c r="H54" s="86">
        <v>0</v>
      </c>
      <c r="I54" s="86">
        <v>0</v>
      </c>
      <c r="J54" s="86">
        <v>0</v>
      </c>
      <c r="K54" s="86">
        <v>0</v>
      </c>
      <c r="L54" s="1394">
        <v>0</v>
      </c>
      <c r="M54" s="1394">
        <v>0</v>
      </c>
      <c r="N54" s="1394">
        <v>0</v>
      </c>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894">
        <f t="shared" si="1"/>
        <v>0</v>
      </c>
      <c r="AN54" s="895">
        <f t="shared" si="2"/>
        <v>0</v>
      </c>
      <c r="AO54" s="896">
        <f t="shared" si="3"/>
        <v>0</v>
      </c>
    </row>
    <row r="55" spans="1:41">
      <c r="A55" s="74" t="s">
        <v>59</v>
      </c>
      <c r="B55" s="75">
        <v>7</v>
      </c>
      <c r="C55" s="86">
        <v>0</v>
      </c>
      <c r="D55" s="86">
        <v>0</v>
      </c>
      <c r="E55" s="86">
        <v>0</v>
      </c>
      <c r="F55" s="86">
        <v>0</v>
      </c>
      <c r="G55" s="86">
        <v>0</v>
      </c>
      <c r="H55" s="86">
        <v>0</v>
      </c>
      <c r="I55" s="86">
        <v>0</v>
      </c>
      <c r="J55" s="86">
        <v>0</v>
      </c>
      <c r="K55" s="86">
        <v>0</v>
      </c>
      <c r="L55" s="1394">
        <v>0</v>
      </c>
      <c r="M55" s="1394">
        <v>0</v>
      </c>
      <c r="N55" s="1394">
        <v>0</v>
      </c>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894">
        <f t="shared" si="1"/>
        <v>0</v>
      </c>
      <c r="AN55" s="895">
        <f t="shared" si="2"/>
        <v>0</v>
      </c>
      <c r="AO55" s="896">
        <f t="shared" si="3"/>
        <v>0</v>
      </c>
    </row>
    <row r="56" spans="1:41">
      <c r="A56" s="74" t="s">
        <v>60</v>
      </c>
      <c r="B56" s="75">
        <v>14</v>
      </c>
      <c r="C56" s="86">
        <v>0</v>
      </c>
      <c r="D56" s="86">
        <v>1</v>
      </c>
      <c r="E56" s="86">
        <v>0</v>
      </c>
      <c r="F56" s="86">
        <v>0</v>
      </c>
      <c r="G56" s="86">
        <v>0</v>
      </c>
      <c r="H56" s="86">
        <v>0</v>
      </c>
      <c r="I56" s="86">
        <v>0</v>
      </c>
      <c r="J56" s="86">
        <v>0</v>
      </c>
      <c r="K56" s="86">
        <v>0</v>
      </c>
      <c r="L56" s="1394">
        <v>0</v>
      </c>
      <c r="M56" s="1394">
        <v>0</v>
      </c>
      <c r="N56" s="1394">
        <v>0</v>
      </c>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894">
        <f t="shared" si="1"/>
        <v>0</v>
      </c>
      <c r="AN56" s="895">
        <f t="shared" si="2"/>
        <v>1</v>
      </c>
      <c r="AO56" s="896">
        <f t="shared" si="3"/>
        <v>0</v>
      </c>
    </row>
    <row r="57" spans="1:41">
      <c r="A57" s="74" t="s">
        <v>61</v>
      </c>
      <c r="B57" s="75">
        <v>18</v>
      </c>
      <c r="C57" s="86">
        <v>0</v>
      </c>
      <c r="D57" s="86">
        <v>0</v>
      </c>
      <c r="E57" s="86">
        <v>0</v>
      </c>
      <c r="F57" s="86">
        <v>0</v>
      </c>
      <c r="G57" s="86">
        <v>0</v>
      </c>
      <c r="H57" s="86">
        <v>0</v>
      </c>
      <c r="I57" s="86">
        <v>0</v>
      </c>
      <c r="J57" s="86">
        <v>2</v>
      </c>
      <c r="K57" s="86">
        <v>0</v>
      </c>
      <c r="L57" s="1394">
        <v>0</v>
      </c>
      <c r="M57" s="1394">
        <v>0</v>
      </c>
      <c r="N57" s="1394">
        <v>0</v>
      </c>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894">
        <f t="shared" si="1"/>
        <v>0</v>
      </c>
      <c r="AN57" s="895">
        <f t="shared" si="2"/>
        <v>2</v>
      </c>
      <c r="AO57" s="896">
        <f t="shared" si="3"/>
        <v>0</v>
      </c>
    </row>
    <row r="58" spans="1:41">
      <c r="A58" s="74" t="s">
        <v>62</v>
      </c>
      <c r="B58" s="75">
        <v>6</v>
      </c>
      <c r="C58" s="86">
        <v>0</v>
      </c>
      <c r="D58" s="86">
        <v>0</v>
      </c>
      <c r="E58" s="86">
        <v>0</v>
      </c>
      <c r="F58" s="86">
        <v>0</v>
      </c>
      <c r="G58" s="86">
        <v>0</v>
      </c>
      <c r="H58" s="86">
        <v>0</v>
      </c>
      <c r="I58" s="86">
        <v>0</v>
      </c>
      <c r="J58" s="86">
        <v>0</v>
      </c>
      <c r="K58" s="86">
        <v>0</v>
      </c>
      <c r="L58" s="1394">
        <v>0</v>
      </c>
      <c r="M58" s="1394">
        <v>0</v>
      </c>
      <c r="N58" s="1394">
        <v>0</v>
      </c>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894">
        <f t="shared" si="1"/>
        <v>0</v>
      </c>
      <c r="AN58" s="895">
        <f t="shared" si="2"/>
        <v>0</v>
      </c>
      <c r="AO58" s="896">
        <f t="shared" si="3"/>
        <v>0</v>
      </c>
    </row>
    <row r="59" spans="1:41">
      <c r="A59" s="74" t="s">
        <v>63</v>
      </c>
      <c r="B59" s="75">
        <v>6</v>
      </c>
      <c r="C59" s="86">
        <v>0</v>
      </c>
      <c r="D59" s="86">
        <v>0</v>
      </c>
      <c r="E59" s="86">
        <v>0</v>
      </c>
      <c r="F59" s="86">
        <v>0</v>
      </c>
      <c r="G59" s="86">
        <v>0</v>
      </c>
      <c r="H59" s="86">
        <v>0</v>
      </c>
      <c r="I59" s="86">
        <v>0</v>
      </c>
      <c r="J59" s="86">
        <v>0</v>
      </c>
      <c r="K59" s="86">
        <v>0</v>
      </c>
      <c r="L59" s="1394">
        <v>0</v>
      </c>
      <c r="M59" s="1394">
        <v>0</v>
      </c>
      <c r="N59" s="1394">
        <v>0</v>
      </c>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894">
        <f t="shared" si="1"/>
        <v>0</v>
      </c>
      <c r="AN59" s="895">
        <f t="shared" si="2"/>
        <v>0</v>
      </c>
      <c r="AO59" s="896">
        <f t="shared" si="3"/>
        <v>0</v>
      </c>
    </row>
    <row r="60" spans="1:41">
      <c r="A60" s="74" t="s">
        <v>64</v>
      </c>
      <c r="B60" s="75">
        <v>5</v>
      </c>
      <c r="C60" s="86">
        <v>0</v>
      </c>
      <c r="D60" s="86">
        <v>0</v>
      </c>
      <c r="E60" s="86">
        <v>0</v>
      </c>
      <c r="F60" s="86">
        <v>0</v>
      </c>
      <c r="G60" s="86">
        <v>0</v>
      </c>
      <c r="H60" s="86">
        <v>0</v>
      </c>
      <c r="I60" s="86">
        <v>0</v>
      </c>
      <c r="J60" s="86">
        <v>2</v>
      </c>
      <c r="K60" s="86">
        <v>0</v>
      </c>
      <c r="L60" s="1394">
        <v>0</v>
      </c>
      <c r="M60" s="1394">
        <v>0</v>
      </c>
      <c r="N60" s="1394">
        <v>0</v>
      </c>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894">
        <f t="shared" si="1"/>
        <v>0</v>
      </c>
      <c r="AN60" s="895">
        <f t="shared" si="2"/>
        <v>2</v>
      </c>
      <c r="AO60" s="896">
        <f t="shared" si="3"/>
        <v>0</v>
      </c>
    </row>
    <row r="61" spans="1:41">
      <c r="A61" s="74" t="s">
        <v>65</v>
      </c>
      <c r="B61" s="75">
        <v>15</v>
      </c>
      <c r="C61" s="86">
        <v>0</v>
      </c>
      <c r="D61" s="86">
        <v>0</v>
      </c>
      <c r="E61" s="86">
        <v>0</v>
      </c>
      <c r="F61" s="86">
        <v>0</v>
      </c>
      <c r="G61" s="86">
        <v>0</v>
      </c>
      <c r="H61" s="86">
        <v>0</v>
      </c>
      <c r="I61" s="86">
        <v>0</v>
      </c>
      <c r="J61" s="86">
        <v>0</v>
      </c>
      <c r="K61" s="86">
        <v>0</v>
      </c>
      <c r="L61" s="1394">
        <v>0</v>
      </c>
      <c r="M61" s="1394">
        <v>0</v>
      </c>
      <c r="N61" s="1394">
        <v>0</v>
      </c>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894">
        <f t="shared" si="1"/>
        <v>0</v>
      </c>
      <c r="AN61" s="895">
        <f t="shared" si="2"/>
        <v>0</v>
      </c>
      <c r="AO61" s="896">
        <f t="shared" si="3"/>
        <v>0</v>
      </c>
    </row>
    <row r="62" spans="1:41">
      <c r="A62" s="74" t="s">
        <v>66</v>
      </c>
      <c r="B62" s="75">
        <v>6</v>
      </c>
      <c r="C62" s="86">
        <v>0</v>
      </c>
      <c r="D62" s="86">
        <v>0</v>
      </c>
      <c r="E62" s="86">
        <v>0</v>
      </c>
      <c r="F62" s="86">
        <v>0</v>
      </c>
      <c r="G62" s="86">
        <v>0</v>
      </c>
      <c r="H62" s="86">
        <v>0</v>
      </c>
      <c r="I62" s="86">
        <v>0</v>
      </c>
      <c r="J62" s="86">
        <v>0</v>
      </c>
      <c r="K62" s="86">
        <v>0</v>
      </c>
      <c r="L62" s="1394">
        <v>0</v>
      </c>
      <c r="M62" s="1394">
        <v>0</v>
      </c>
      <c r="N62" s="1394">
        <v>0</v>
      </c>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894">
        <f t="shared" si="1"/>
        <v>0</v>
      </c>
      <c r="AN62" s="895">
        <f t="shared" si="2"/>
        <v>0</v>
      </c>
      <c r="AO62" s="896">
        <f t="shared" si="3"/>
        <v>0</v>
      </c>
    </row>
    <row r="63" spans="1:41">
      <c r="A63" s="74" t="s">
        <v>67</v>
      </c>
      <c r="B63" s="75">
        <v>6</v>
      </c>
      <c r="C63" s="86">
        <v>0</v>
      </c>
      <c r="D63" s="86">
        <v>0</v>
      </c>
      <c r="E63" s="86">
        <v>0</v>
      </c>
      <c r="F63" s="86">
        <v>0</v>
      </c>
      <c r="G63" s="86">
        <v>0</v>
      </c>
      <c r="H63" s="86">
        <v>0</v>
      </c>
      <c r="I63" s="86">
        <v>0</v>
      </c>
      <c r="J63" s="86">
        <v>0</v>
      </c>
      <c r="K63" s="86">
        <v>0</v>
      </c>
      <c r="L63" s="1394">
        <v>0</v>
      </c>
      <c r="M63" s="1394">
        <v>0</v>
      </c>
      <c r="N63" s="1394">
        <v>0</v>
      </c>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894">
        <f t="shared" si="1"/>
        <v>0</v>
      </c>
      <c r="AN63" s="895">
        <f t="shared" si="2"/>
        <v>0</v>
      </c>
      <c r="AO63" s="896">
        <f t="shared" si="3"/>
        <v>0</v>
      </c>
    </row>
    <row r="64" spans="1:41">
      <c r="A64" s="74" t="s">
        <v>68</v>
      </c>
      <c r="B64" s="75">
        <v>19</v>
      </c>
      <c r="C64" s="86">
        <v>0</v>
      </c>
      <c r="D64" s="86">
        <v>0</v>
      </c>
      <c r="E64" s="86">
        <v>0</v>
      </c>
      <c r="F64" s="86">
        <v>4</v>
      </c>
      <c r="G64" s="86">
        <v>0</v>
      </c>
      <c r="H64" s="86">
        <v>0</v>
      </c>
      <c r="I64" s="86">
        <v>4</v>
      </c>
      <c r="J64" s="86">
        <v>0</v>
      </c>
      <c r="K64" s="86">
        <v>0</v>
      </c>
      <c r="L64" s="1394">
        <v>0</v>
      </c>
      <c r="M64" s="1394">
        <v>2</v>
      </c>
      <c r="N64" s="1394">
        <v>0</v>
      </c>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894">
        <f t="shared" si="1"/>
        <v>8</v>
      </c>
      <c r="AN64" s="895">
        <f t="shared" si="2"/>
        <v>2</v>
      </c>
      <c r="AO64" s="896">
        <f t="shared" si="3"/>
        <v>0</v>
      </c>
    </row>
    <row r="65" spans="1:69">
      <c r="A65" s="74" t="s">
        <v>69</v>
      </c>
      <c r="B65" s="75">
        <v>55</v>
      </c>
      <c r="C65" s="86">
        <v>0</v>
      </c>
      <c r="D65" s="86">
        <v>0</v>
      </c>
      <c r="E65" s="86">
        <v>0</v>
      </c>
      <c r="F65" s="86">
        <v>5</v>
      </c>
      <c r="G65" s="86">
        <v>1</v>
      </c>
      <c r="H65" s="86">
        <v>0</v>
      </c>
      <c r="I65" s="86">
        <v>6</v>
      </c>
      <c r="J65" s="86">
        <v>8</v>
      </c>
      <c r="K65" s="86">
        <v>0</v>
      </c>
      <c r="L65" s="1394">
        <v>1</v>
      </c>
      <c r="M65" s="1394">
        <v>0</v>
      </c>
      <c r="N65" s="1394">
        <v>0</v>
      </c>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894">
        <f t="shared" si="1"/>
        <v>12</v>
      </c>
      <c r="AN65" s="895">
        <f t="shared" si="2"/>
        <v>9</v>
      </c>
      <c r="AO65" s="896">
        <f t="shared" si="3"/>
        <v>0</v>
      </c>
    </row>
    <row r="66" spans="1:69">
      <c r="A66" s="74" t="s">
        <v>70</v>
      </c>
      <c r="B66" s="75">
        <v>6</v>
      </c>
      <c r="C66" s="86">
        <v>0</v>
      </c>
      <c r="D66" s="86">
        <v>0</v>
      </c>
      <c r="E66" s="86">
        <v>0</v>
      </c>
      <c r="F66" s="86">
        <v>0</v>
      </c>
      <c r="G66" s="86">
        <v>0</v>
      </c>
      <c r="H66" s="86">
        <v>0</v>
      </c>
      <c r="I66" s="86">
        <v>0</v>
      </c>
      <c r="J66" s="86">
        <v>0</v>
      </c>
      <c r="K66" s="86">
        <v>0</v>
      </c>
      <c r="L66" s="1394">
        <v>0</v>
      </c>
      <c r="M66" s="1394">
        <v>0</v>
      </c>
      <c r="N66" s="1394">
        <v>0</v>
      </c>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894">
        <f t="shared" si="1"/>
        <v>0</v>
      </c>
      <c r="AN66" s="895">
        <f t="shared" si="2"/>
        <v>0</v>
      </c>
      <c r="AO66" s="896">
        <f t="shared" si="3"/>
        <v>0</v>
      </c>
    </row>
    <row r="67" spans="1:69">
      <c r="A67" s="74" t="s">
        <v>71</v>
      </c>
      <c r="B67" s="75">
        <v>11</v>
      </c>
      <c r="C67" s="86">
        <v>0</v>
      </c>
      <c r="D67" s="86">
        <v>0</v>
      </c>
      <c r="E67" s="86">
        <v>0</v>
      </c>
      <c r="F67" s="86">
        <v>0</v>
      </c>
      <c r="G67" s="86">
        <v>0</v>
      </c>
      <c r="H67" s="86">
        <v>0</v>
      </c>
      <c r="I67" s="86">
        <v>0</v>
      </c>
      <c r="J67" s="86">
        <v>0</v>
      </c>
      <c r="K67" s="86">
        <v>0</v>
      </c>
      <c r="L67" s="1394">
        <v>0</v>
      </c>
      <c r="M67" s="1394">
        <v>0</v>
      </c>
      <c r="N67" s="1394">
        <v>0</v>
      </c>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894">
        <f t="shared" si="1"/>
        <v>0</v>
      </c>
      <c r="AN67" s="895">
        <f t="shared" si="2"/>
        <v>0</v>
      </c>
      <c r="AO67" s="896">
        <f t="shared" si="3"/>
        <v>0</v>
      </c>
    </row>
    <row r="68" spans="1:69">
      <c r="A68" s="74" t="s">
        <v>72</v>
      </c>
      <c r="B68" s="77">
        <v>11</v>
      </c>
      <c r="C68" s="86">
        <v>0</v>
      </c>
      <c r="D68" s="86">
        <v>0</v>
      </c>
      <c r="E68" s="86">
        <v>0</v>
      </c>
      <c r="F68" s="86">
        <v>0</v>
      </c>
      <c r="G68" s="86">
        <v>0</v>
      </c>
      <c r="H68" s="86">
        <v>0</v>
      </c>
      <c r="I68" s="86">
        <v>0</v>
      </c>
      <c r="J68" s="86">
        <v>0</v>
      </c>
      <c r="K68" s="86">
        <v>0</v>
      </c>
      <c r="L68" s="1394">
        <v>0</v>
      </c>
      <c r="M68" s="1394">
        <v>0</v>
      </c>
      <c r="N68" s="1394">
        <v>0</v>
      </c>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894">
        <f t="shared" si="1"/>
        <v>0</v>
      </c>
      <c r="AN68" s="895">
        <f t="shared" si="2"/>
        <v>0</v>
      </c>
      <c r="AO68" s="896">
        <f t="shared" si="3"/>
        <v>0</v>
      </c>
    </row>
    <row r="69" spans="1:69">
      <c r="A69" s="78" t="s">
        <v>73</v>
      </c>
      <c r="B69" s="79">
        <v>3</v>
      </c>
      <c r="C69" s="86">
        <v>0</v>
      </c>
      <c r="D69" s="86">
        <v>0</v>
      </c>
      <c r="E69" s="86">
        <v>0</v>
      </c>
      <c r="F69" s="86">
        <v>0</v>
      </c>
      <c r="G69" s="86">
        <v>0</v>
      </c>
      <c r="H69" s="86">
        <v>0</v>
      </c>
      <c r="I69" s="86">
        <v>0</v>
      </c>
      <c r="J69" s="86">
        <v>0</v>
      </c>
      <c r="K69" s="86">
        <v>0</v>
      </c>
      <c r="L69" s="1394">
        <v>0</v>
      </c>
      <c r="M69" s="1394">
        <v>0</v>
      </c>
      <c r="N69" s="1394">
        <v>0</v>
      </c>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894">
        <f>SUM(C69,F69,I69,L69,O69,R69,U69,X69,AA69,AD69,AG69,AJ69)</f>
        <v>0</v>
      </c>
      <c r="AN69" s="895">
        <f t="shared" si="2"/>
        <v>0</v>
      </c>
      <c r="AO69" s="896">
        <f t="shared" si="3"/>
        <v>0</v>
      </c>
    </row>
    <row r="70" spans="1:69" s="101" customFormat="1">
      <c r="A70" s="89" t="s">
        <v>94</v>
      </c>
      <c r="B70" s="99">
        <f>SUM(B49,B33,B26,B18,B6,B5)</f>
        <v>4835</v>
      </c>
      <c r="C70" s="99">
        <f t="shared" ref="C70:AO70" si="8">SUM(C49,C33,C26,C18,C6,C5)</f>
        <v>398</v>
      </c>
      <c r="D70" s="99">
        <f t="shared" si="8"/>
        <v>254</v>
      </c>
      <c r="E70" s="99">
        <f t="shared" si="8"/>
        <v>7</v>
      </c>
      <c r="F70" s="99">
        <f t="shared" si="8"/>
        <v>1515</v>
      </c>
      <c r="G70" s="99">
        <f t="shared" si="8"/>
        <v>714</v>
      </c>
      <c r="H70" s="99">
        <f t="shared" si="8"/>
        <v>8</v>
      </c>
      <c r="I70" s="99">
        <f t="shared" si="8"/>
        <v>1219</v>
      </c>
      <c r="J70" s="99">
        <f t="shared" si="8"/>
        <v>1466</v>
      </c>
      <c r="K70" s="99">
        <f t="shared" si="8"/>
        <v>21</v>
      </c>
      <c r="L70" s="99">
        <f t="shared" si="8"/>
        <v>746</v>
      </c>
      <c r="M70" s="99">
        <f t="shared" si="8"/>
        <v>723</v>
      </c>
      <c r="N70" s="99">
        <f t="shared" si="8"/>
        <v>6</v>
      </c>
      <c r="O70" s="99">
        <f t="shared" si="8"/>
        <v>0</v>
      </c>
      <c r="P70" s="99">
        <f t="shared" si="8"/>
        <v>0</v>
      </c>
      <c r="Q70" s="99">
        <f t="shared" si="8"/>
        <v>0</v>
      </c>
      <c r="R70" s="99">
        <f t="shared" si="8"/>
        <v>0</v>
      </c>
      <c r="S70" s="99">
        <f t="shared" si="8"/>
        <v>0</v>
      </c>
      <c r="T70" s="99">
        <f t="shared" si="8"/>
        <v>0</v>
      </c>
      <c r="U70" s="99">
        <f t="shared" si="8"/>
        <v>0</v>
      </c>
      <c r="V70" s="99">
        <f t="shared" si="8"/>
        <v>0</v>
      </c>
      <c r="W70" s="99">
        <f t="shared" si="8"/>
        <v>0</v>
      </c>
      <c r="X70" s="99">
        <f t="shared" si="8"/>
        <v>0</v>
      </c>
      <c r="Y70" s="99">
        <f t="shared" si="8"/>
        <v>0</v>
      </c>
      <c r="Z70" s="99">
        <f t="shared" si="8"/>
        <v>0</v>
      </c>
      <c r="AA70" s="99">
        <f t="shared" si="8"/>
        <v>0</v>
      </c>
      <c r="AB70" s="99">
        <f t="shared" si="8"/>
        <v>0</v>
      </c>
      <c r="AC70" s="99">
        <f t="shared" si="8"/>
        <v>0</v>
      </c>
      <c r="AD70" s="99">
        <f t="shared" si="8"/>
        <v>0</v>
      </c>
      <c r="AE70" s="99">
        <f t="shared" si="8"/>
        <v>0</v>
      </c>
      <c r="AF70" s="99">
        <f t="shared" si="8"/>
        <v>0</v>
      </c>
      <c r="AG70" s="99">
        <f t="shared" si="8"/>
        <v>0</v>
      </c>
      <c r="AH70" s="99">
        <f t="shared" si="8"/>
        <v>0</v>
      </c>
      <c r="AI70" s="99">
        <f t="shared" si="8"/>
        <v>0</v>
      </c>
      <c r="AJ70" s="99">
        <f t="shared" si="8"/>
        <v>0</v>
      </c>
      <c r="AK70" s="99">
        <f t="shared" si="8"/>
        <v>0</v>
      </c>
      <c r="AL70" s="99">
        <f t="shared" si="8"/>
        <v>0</v>
      </c>
      <c r="AM70" s="99">
        <f t="shared" si="8"/>
        <v>3878</v>
      </c>
      <c r="AN70" s="99">
        <f t="shared" si="8"/>
        <v>3157</v>
      </c>
      <c r="AO70" s="99">
        <f t="shared" si="8"/>
        <v>42</v>
      </c>
      <c r="AP70" s="100"/>
      <c r="AQ70" s="100"/>
      <c r="AR70" s="100"/>
      <c r="AS70" s="100"/>
      <c r="AT70" s="100"/>
      <c r="AU70" s="100"/>
      <c r="AV70" s="100"/>
      <c r="AW70" s="100"/>
      <c r="AX70" s="100"/>
      <c r="AY70" s="100"/>
      <c r="AZ70" s="100"/>
      <c r="BA70" s="100"/>
      <c r="BB70" s="100"/>
      <c r="BC70" s="100"/>
      <c r="BD70" s="100"/>
      <c r="BE70" s="100"/>
      <c r="BF70" s="100"/>
      <c r="BG70" s="100"/>
      <c r="BH70" s="100"/>
      <c r="BI70" s="100"/>
      <c r="BJ70" s="100"/>
      <c r="BK70" s="100"/>
      <c r="BL70" s="100"/>
      <c r="BM70" s="100"/>
      <c r="BN70" s="100"/>
      <c r="BO70" s="100"/>
      <c r="BP70" s="100"/>
      <c r="BQ70" s="100"/>
    </row>
    <row r="71" spans="1:69" s="71" customFormat="1">
      <c r="F71" s="102"/>
      <c r="AP71" s="94"/>
      <c r="AQ71" s="94"/>
      <c r="AR71" s="94"/>
      <c r="AS71" s="94"/>
      <c r="AT71" s="94"/>
      <c r="AU71" s="94"/>
      <c r="AV71" s="94"/>
      <c r="AW71" s="94"/>
      <c r="AX71" s="94"/>
      <c r="AY71" s="94"/>
      <c r="AZ71" s="94"/>
      <c r="BA71" s="94"/>
      <c r="BB71" s="94"/>
      <c r="BC71" s="94"/>
      <c r="BD71" s="94"/>
      <c r="BE71" s="94"/>
      <c r="BF71" s="94"/>
      <c r="BG71" s="94"/>
      <c r="BH71" s="94"/>
      <c r="BI71" s="94"/>
      <c r="BJ71" s="94"/>
      <c r="BK71" s="94"/>
      <c r="BL71" s="94"/>
      <c r="BM71" s="94"/>
      <c r="BN71" s="94"/>
      <c r="BO71" s="94"/>
      <c r="BP71" s="94"/>
      <c r="BQ71" s="94"/>
    </row>
    <row r="73" spans="1:69" ht="15" customHeight="1">
      <c r="A73" s="1426" t="s">
        <v>95</v>
      </c>
      <c r="B73" s="1425" t="s">
        <v>96</v>
      </c>
      <c r="C73" s="1433" t="s">
        <v>76</v>
      </c>
      <c r="D73" s="1433"/>
      <c r="E73" s="1434"/>
      <c r="F73" s="1428" t="s">
        <v>77</v>
      </c>
      <c r="G73" s="1429"/>
      <c r="H73" s="1430"/>
      <c r="I73" s="1428" t="s">
        <v>78</v>
      </c>
      <c r="J73" s="1429"/>
      <c r="K73" s="1430"/>
      <c r="L73" s="1428" t="s">
        <v>79</v>
      </c>
      <c r="M73" s="1429"/>
      <c r="N73" s="1430"/>
      <c r="O73" s="1428" t="s">
        <v>80</v>
      </c>
      <c r="P73" s="1429"/>
      <c r="Q73" s="1430"/>
      <c r="R73" s="1428" t="s">
        <v>81</v>
      </c>
      <c r="S73" s="1429"/>
      <c r="T73" s="1430"/>
      <c r="U73" s="1428" t="s">
        <v>82</v>
      </c>
      <c r="V73" s="1429"/>
      <c r="W73" s="1430"/>
      <c r="X73" s="1428" t="s">
        <v>83</v>
      </c>
      <c r="Y73" s="1429"/>
      <c r="Z73" s="1430"/>
      <c r="AA73" s="1428" t="s">
        <v>84</v>
      </c>
      <c r="AB73" s="1429"/>
      <c r="AC73" s="1430"/>
      <c r="AD73" s="1428" t="s">
        <v>85</v>
      </c>
      <c r="AE73" s="1429"/>
      <c r="AF73" s="1430"/>
      <c r="AG73" s="1428" t="s">
        <v>86</v>
      </c>
      <c r="AH73" s="1429"/>
      <c r="AI73" s="1430"/>
      <c r="AJ73" s="1428" t="s">
        <v>87</v>
      </c>
      <c r="AK73" s="1429"/>
      <c r="AL73" s="1430"/>
      <c r="AM73" s="1431" t="s">
        <v>97</v>
      </c>
      <c r="AN73" s="1421" t="s">
        <v>89</v>
      </c>
      <c r="AO73" s="1423" t="s">
        <v>98</v>
      </c>
    </row>
    <row r="74" spans="1:69" ht="33" customHeight="1">
      <c r="A74" s="1427"/>
      <c r="B74" s="1425"/>
      <c r="C74" s="97" t="s">
        <v>99</v>
      </c>
      <c r="D74" s="92" t="s">
        <v>92</v>
      </c>
      <c r="E74" s="92" t="s">
        <v>93</v>
      </c>
      <c r="F74" s="97" t="s">
        <v>99</v>
      </c>
      <c r="G74" s="92" t="s">
        <v>92</v>
      </c>
      <c r="H74" s="92" t="s">
        <v>93</v>
      </c>
      <c r="I74" s="97" t="s">
        <v>99</v>
      </c>
      <c r="J74" s="92" t="s">
        <v>92</v>
      </c>
      <c r="K74" s="92" t="s">
        <v>93</v>
      </c>
      <c r="L74" s="97" t="s">
        <v>99</v>
      </c>
      <c r="M74" s="92" t="s">
        <v>92</v>
      </c>
      <c r="N74" s="92" t="s">
        <v>93</v>
      </c>
      <c r="O74" s="97" t="s">
        <v>99</v>
      </c>
      <c r="P74" s="92" t="s">
        <v>92</v>
      </c>
      <c r="Q74" s="92" t="s">
        <v>93</v>
      </c>
      <c r="R74" s="97" t="s">
        <v>99</v>
      </c>
      <c r="S74" s="92" t="s">
        <v>92</v>
      </c>
      <c r="T74" s="92" t="s">
        <v>93</v>
      </c>
      <c r="U74" s="97" t="s">
        <v>99</v>
      </c>
      <c r="V74" s="92" t="s">
        <v>92</v>
      </c>
      <c r="W74" s="92" t="s">
        <v>93</v>
      </c>
      <c r="X74" s="97" t="s">
        <v>99</v>
      </c>
      <c r="Y74" s="92" t="s">
        <v>92</v>
      </c>
      <c r="Z74" s="92" t="s">
        <v>93</v>
      </c>
      <c r="AA74" s="97" t="s">
        <v>99</v>
      </c>
      <c r="AB74" s="92" t="s">
        <v>92</v>
      </c>
      <c r="AC74" s="92" t="s">
        <v>93</v>
      </c>
      <c r="AD74" s="97" t="s">
        <v>99</v>
      </c>
      <c r="AE74" s="92" t="s">
        <v>92</v>
      </c>
      <c r="AF74" s="92" t="s">
        <v>93</v>
      </c>
      <c r="AG74" s="97" t="s">
        <v>99</v>
      </c>
      <c r="AH74" s="92" t="s">
        <v>92</v>
      </c>
      <c r="AI74" s="92" t="s">
        <v>93</v>
      </c>
      <c r="AJ74" s="97" t="s">
        <v>99</v>
      </c>
      <c r="AK74" s="92" t="s">
        <v>92</v>
      </c>
      <c r="AL74" s="92" t="s">
        <v>93</v>
      </c>
      <c r="AM74" s="1432"/>
      <c r="AN74" s="1422"/>
      <c r="AO74" s="1424"/>
    </row>
    <row r="75" spans="1:69">
      <c r="A75" s="1427"/>
      <c r="B75" s="107">
        <v>705</v>
      </c>
      <c r="C75" s="98">
        <v>187</v>
      </c>
      <c r="D75" s="98">
        <v>166</v>
      </c>
      <c r="E75" s="98">
        <v>6</v>
      </c>
      <c r="F75" s="98">
        <v>722</v>
      </c>
      <c r="G75" s="98">
        <v>545</v>
      </c>
      <c r="H75" s="98">
        <v>8</v>
      </c>
      <c r="I75" s="98">
        <v>591</v>
      </c>
      <c r="J75" s="98">
        <v>884</v>
      </c>
      <c r="K75" s="98">
        <v>16</v>
      </c>
      <c r="L75" s="98">
        <v>368</v>
      </c>
      <c r="M75" s="105">
        <v>384</v>
      </c>
      <c r="N75" s="105">
        <v>6</v>
      </c>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894">
        <f>SUM(C75,F75,I75,L75,O75,R75,U75,X75,AA75,AD75,AG75,AJ75)</f>
        <v>1868</v>
      </c>
      <c r="AN75" s="895">
        <f t="shared" ref="AN75" si="9">SUM(D75,G75,J75,M75,P75,S75,V75,Y75,AB75,AE75,AH75,AK75)</f>
        <v>1979</v>
      </c>
      <c r="AO75" s="896">
        <f t="shared" ref="AO75" si="10">SUM(E75,H75,K75,N75,Q75,T75,W75,Z75,AC75,AF75,AI75,AL75)</f>
        <v>36</v>
      </c>
    </row>
  </sheetData>
  <mergeCells count="35">
    <mergeCell ref="A1:AO2"/>
    <mergeCell ref="AG3:AI3"/>
    <mergeCell ref="AJ3:AL3"/>
    <mergeCell ref="AM3:AM4"/>
    <mergeCell ref="AN3:AN4"/>
    <mergeCell ref="AO3:AO4"/>
    <mergeCell ref="I73:K73"/>
    <mergeCell ref="AD3:AF3"/>
    <mergeCell ref="A3:A4"/>
    <mergeCell ref="B3:B4"/>
    <mergeCell ref="C3:E3"/>
    <mergeCell ref="F3:H3"/>
    <mergeCell ref="I3:K3"/>
    <mergeCell ref="L3:N3"/>
    <mergeCell ref="O3:Q3"/>
    <mergeCell ref="R3:T3"/>
    <mergeCell ref="U3:W3"/>
    <mergeCell ref="X3:Z3"/>
    <mergeCell ref="AA3:AC3"/>
    <mergeCell ref="AN73:AN74"/>
    <mergeCell ref="AO73:AO74"/>
    <mergeCell ref="B73:B74"/>
    <mergeCell ref="A73:A75"/>
    <mergeCell ref="AA73:AC73"/>
    <mergeCell ref="AD73:AF73"/>
    <mergeCell ref="AG73:AI73"/>
    <mergeCell ref="AJ73:AL73"/>
    <mergeCell ref="AM73:AM74"/>
    <mergeCell ref="L73:N73"/>
    <mergeCell ref="O73:Q73"/>
    <mergeCell ref="R73:T73"/>
    <mergeCell ref="U73:W73"/>
    <mergeCell ref="X73:Z73"/>
    <mergeCell ref="C73:E73"/>
    <mergeCell ref="F73:H7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04D8-7DAE-4347-A986-5993607FE501}">
  <sheetPr>
    <pageSetUpPr fitToPage="1"/>
  </sheetPr>
  <dimension ref="A1:AB1025"/>
  <sheetViews>
    <sheetView workbookViewId="0">
      <pane ySplit="2" topLeftCell="A37" activePane="bottomLeft" state="frozen"/>
      <selection pane="bottomLeft" activeCell="O41" sqref="O41"/>
    </sheetView>
  </sheetViews>
  <sheetFormatPr defaultRowHeight="15"/>
  <cols>
    <col min="1" max="1" width="24.5703125" customWidth="1"/>
    <col min="2" max="2" width="8.5703125" customWidth="1"/>
    <col min="3" max="3" width="7.42578125" customWidth="1"/>
    <col min="4" max="4" width="9.140625" style="738"/>
    <col min="5" max="5" width="9.140625" customWidth="1"/>
    <col min="6" max="11" width="9.140625" hidden="1" customWidth="1"/>
    <col min="12" max="12" width="10.140625" hidden="1" customWidth="1"/>
    <col min="13" max="13" width="9.140625" hidden="1" customWidth="1"/>
    <col min="14" max="14" width="9.140625" style="39" customWidth="1"/>
    <col min="15" max="17" width="9.140625" customWidth="1"/>
    <col min="19" max="19" width="7.85546875" style="738" customWidth="1"/>
    <col min="28" max="28" width="9.140625" style="738"/>
  </cols>
  <sheetData>
    <row r="1" spans="1:28">
      <c r="A1" s="1449" t="s">
        <v>100</v>
      </c>
      <c r="B1" s="1447"/>
      <c r="C1" s="1447"/>
      <c r="D1" s="1447"/>
      <c r="E1" s="1447"/>
      <c r="F1" s="1447"/>
      <c r="G1" s="1447"/>
      <c r="H1" s="1447"/>
      <c r="I1" s="1447"/>
      <c r="J1" s="1447"/>
      <c r="K1" s="1447"/>
      <c r="L1" s="1447"/>
      <c r="M1" s="1447"/>
      <c r="N1" s="1450"/>
      <c r="O1" s="17"/>
      <c r="P1" s="1446" t="s">
        <v>101</v>
      </c>
      <c r="Q1" s="1447"/>
      <c r="R1" s="1447"/>
      <c r="S1" s="1447"/>
      <c r="T1" s="1447"/>
      <c r="U1" s="1447"/>
      <c r="V1" s="1447"/>
      <c r="W1" s="1447"/>
      <c r="X1" s="1447"/>
      <c r="Y1" s="1447"/>
      <c r="Z1" s="1447"/>
      <c r="AA1" s="1447"/>
      <c r="AB1" s="1448"/>
    </row>
    <row r="2" spans="1:28" s="39" customFormat="1">
      <c r="A2" s="40" t="s">
        <v>0</v>
      </c>
      <c r="B2" s="41" t="s">
        <v>76</v>
      </c>
      <c r="C2" s="41" t="s">
        <v>77</v>
      </c>
      <c r="D2" s="734" t="s">
        <v>78</v>
      </c>
      <c r="E2" s="41" t="s">
        <v>79</v>
      </c>
      <c r="F2" s="41" t="s">
        <v>80</v>
      </c>
      <c r="G2" s="41" t="s">
        <v>81</v>
      </c>
      <c r="H2" s="41" t="s">
        <v>82</v>
      </c>
      <c r="I2" s="41" t="s">
        <v>83</v>
      </c>
      <c r="J2" s="41" t="s">
        <v>84</v>
      </c>
      <c r="K2" s="1124" t="s">
        <v>85</v>
      </c>
      <c r="L2" s="41" t="s">
        <v>86</v>
      </c>
      <c r="M2" s="41" t="s">
        <v>87</v>
      </c>
      <c r="N2" s="34" t="s">
        <v>94</v>
      </c>
      <c r="O2" s="791"/>
      <c r="P2" s="41" t="s">
        <v>76</v>
      </c>
      <c r="Q2" s="41" t="s">
        <v>77</v>
      </c>
      <c r="R2" s="41" t="s">
        <v>78</v>
      </c>
      <c r="S2" s="734" t="s">
        <v>79</v>
      </c>
      <c r="T2" s="41" t="s">
        <v>80</v>
      </c>
      <c r="U2" s="41" t="s">
        <v>81</v>
      </c>
      <c r="V2" s="41" t="s">
        <v>82</v>
      </c>
      <c r="W2" s="41" t="s">
        <v>83</v>
      </c>
      <c r="X2" s="41" t="s">
        <v>84</v>
      </c>
      <c r="Y2" s="41" t="s">
        <v>85</v>
      </c>
      <c r="Z2" s="41" t="s">
        <v>86</v>
      </c>
      <c r="AA2" s="41" t="s">
        <v>87</v>
      </c>
      <c r="AB2" s="1004" t="s">
        <v>102</v>
      </c>
    </row>
    <row r="3" spans="1:28">
      <c r="A3" s="469" t="s">
        <v>103</v>
      </c>
      <c r="B3" s="80">
        <v>44</v>
      </c>
      <c r="C3" s="80">
        <v>233</v>
      </c>
      <c r="D3" s="739">
        <v>160</v>
      </c>
      <c r="E3" s="80">
        <v>72</v>
      </c>
      <c r="F3" s="18"/>
      <c r="G3" s="18"/>
      <c r="H3" s="18"/>
      <c r="I3" s="18"/>
      <c r="J3" s="18"/>
      <c r="K3" s="18"/>
      <c r="L3" s="18"/>
      <c r="M3" s="18"/>
      <c r="N3" s="761">
        <f>SUM(B3:M3)</f>
        <v>509</v>
      </c>
      <c r="O3" s="792"/>
      <c r="P3" s="80">
        <v>44</v>
      </c>
      <c r="Q3" s="80">
        <v>233</v>
      </c>
      <c r="R3" s="739">
        <v>160</v>
      </c>
      <c r="S3" s="739">
        <v>72</v>
      </c>
      <c r="T3" s="18"/>
      <c r="U3" s="18"/>
      <c r="V3" s="18"/>
      <c r="W3" s="18"/>
      <c r="X3" s="18"/>
      <c r="Y3" s="18"/>
      <c r="Z3" s="18"/>
      <c r="AA3" s="18"/>
      <c r="AB3" s="735">
        <f>SUM(P3:AA3)</f>
        <v>509</v>
      </c>
    </row>
    <row r="4" spans="1:28">
      <c r="A4" s="801" t="s">
        <v>104</v>
      </c>
      <c r="B4" s="81">
        <v>11</v>
      </c>
      <c r="C4" s="81">
        <v>41</v>
      </c>
      <c r="D4" s="740">
        <v>21</v>
      </c>
      <c r="E4" s="81">
        <v>15</v>
      </c>
      <c r="F4" s="19"/>
      <c r="G4" s="19"/>
      <c r="H4" s="19"/>
      <c r="I4" s="19"/>
      <c r="J4" s="19"/>
      <c r="K4" s="19"/>
      <c r="L4" s="19"/>
      <c r="M4" s="19"/>
      <c r="N4" s="35">
        <f t="shared" ref="N4:N67" si="0">SUM(B4:M4)</f>
        <v>88</v>
      </c>
      <c r="O4" s="792"/>
      <c r="P4" s="81">
        <v>11</v>
      </c>
      <c r="Q4" s="81">
        <v>41</v>
      </c>
      <c r="R4" s="740">
        <v>21</v>
      </c>
      <c r="S4" s="740">
        <v>15</v>
      </c>
      <c r="T4" s="19"/>
      <c r="U4" s="19"/>
      <c r="V4" s="19"/>
      <c r="W4" s="19"/>
      <c r="X4" s="19"/>
      <c r="Y4" s="19"/>
      <c r="Z4" s="19"/>
      <c r="AA4" s="19"/>
      <c r="AB4" s="735">
        <f t="shared" ref="AB4:AB67" si="1">SUM(P4:AA4)</f>
        <v>88</v>
      </c>
    </row>
    <row r="5" spans="1:28">
      <c r="A5" s="801" t="s">
        <v>105</v>
      </c>
      <c r="B5" s="81">
        <v>0</v>
      </c>
      <c r="C5" s="81">
        <v>12</v>
      </c>
      <c r="D5" s="740">
        <v>18</v>
      </c>
      <c r="E5" s="81">
        <v>5</v>
      </c>
      <c r="F5" s="19"/>
      <c r="G5" s="19"/>
      <c r="H5" s="19"/>
      <c r="I5" s="19"/>
      <c r="J5" s="19"/>
      <c r="K5" s="19"/>
      <c r="L5" s="19"/>
      <c r="M5" s="19"/>
      <c r="N5" s="35">
        <f t="shared" si="0"/>
        <v>35</v>
      </c>
      <c r="O5" s="792"/>
      <c r="P5" s="81">
        <v>0</v>
      </c>
      <c r="Q5" s="81">
        <v>12</v>
      </c>
      <c r="R5" s="740">
        <v>18</v>
      </c>
      <c r="S5" s="740">
        <v>5</v>
      </c>
      <c r="T5" s="19"/>
      <c r="U5" s="19"/>
      <c r="V5" s="19"/>
      <c r="W5" s="19"/>
      <c r="X5" s="19"/>
      <c r="Y5" s="19"/>
      <c r="Z5" s="19"/>
      <c r="AA5" s="19"/>
      <c r="AB5" s="735">
        <f t="shared" si="1"/>
        <v>35</v>
      </c>
    </row>
    <row r="6" spans="1:28">
      <c r="A6" s="801" t="s">
        <v>106</v>
      </c>
      <c r="B6" s="81">
        <v>4</v>
      </c>
      <c r="C6" s="81">
        <v>11</v>
      </c>
      <c r="D6" s="740">
        <v>9</v>
      </c>
      <c r="E6" s="81">
        <v>10</v>
      </c>
      <c r="F6" s="19"/>
      <c r="G6" s="19"/>
      <c r="H6" s="19"/>
      <c r="I6" s="19"/>
      <c r="J6" s="19"/>
      <c r="K6" s="19"/>
      <c r="L6" s="19"/>
      <c r="M6" s="19"/>
      <c r="N6" s="35">
        <f t="shared" si="0"/>
        <v>34</v>
      </c>
      <c r="O6" s="792"/>
      <c r="P6" s="81">
        <v>4</v>
      </c>
      <c r="Q6" s="81">
        <v>11</v>
      </c>
      <c r="R6" s="740">
        <v>9</v>
      </c>
      <c r="S6" s="740">
        <v>10</v>
      </c>
      <c r="T6" s="19"/>
      <c r="U6" s="19"/>
      <c r="V6" s="19"/>
      <c r="W6" s="19"/>
      <c r="X6" s="19"/>
      <c r="Y6" s="19"/>
      <c r="Z6" s="19"/>
      <c r="AA6" s="19"/>
      <c r="AB6" s="735">
        <f t="shared" si="1"/>
        <v>34</v>
      </c>
    </row>
    <row r="7" spans="1:28">
      <c r="A7" s="801" t="s">
        <v>107</v>
      </c>
      <c r="B7" s="81">
        <v>0</v>
      </c>
      <c r="C7" s="81">
        <v>15</v>
      </c>
      <c r="D7" s="740">
        <v>24</v>
      </c>
      <c r="E7" s="81">
        <v>7</v>
      </c>
      <c r="F7" s="19"/>
      <c r="G7" s="19"/>
      <c r="H7" s="19"/>
      <c r="I7" s="19"/>
      <c r="J7" s="19"/>
      <c r="K7" s="19"/>
      <c r="L7" s="19"/>
      <c r="M7" s="19"/>
      <c r="N7" s="35">
        <f t="shared" si="0"/>
        <v>46</v>
      </c>
      <c r="O7" s="792"/>
      <c r="P7" s="81">
        <v>0</v>
      </c>
      <c r="Q7" s="81">
        <v>15</v>
      </c>
      <c r="R7" s="740">
        <v>24</v>
      </c>
      <c r="S7" s="740">
        <v>7</v>
      </c>
      <c r="T7" s="19"/>
      <c r="U7" s="19"/>
      <c r="V7" s="19"/>
      <c r="W7" s="19"/>
      <c r="X7" s="19"/>
      <c r="Y7" s="19"/>
      <c r="Z7" s="19"/>
      <c r="AA7" s="19"/>
      <c r="AB7" s="735">
        <f t="shared" si="1"/>
        <v>46</v>
      </c>
    </row>
    <row r="8" spans="1:28">
      <c r="A8" s="801" t="s">
        <v>108</v>
      </c>
      <c r="B8" s="81">
        <v>1</v>
      </c>
      <c r="C8" s="81">
        <v>10</v>
      </c>
      <c r="D8" s="740">
        <v>11</v>
      </c>
      <c r="E8" s="81">
        <v>7</v>
      </c>
      <c r="F8" s="19"/>
      <c r="G8" s="19"/>
      <c r="H8" s="19"/>
      <c r="I8" s="19"/>
      <c r="J8" s="19"/>
      <c r="K8" s="19"/>
      <c r="L8" s="19"/>
      <c r="M8" s="19"/>
      <c r="N8" s="35">
        <f t="shared" si="0"/>
        <v>29</v>
      </c>
      <c r="O8" s="792"/>
      <c r="P8" s="81">
        <v>1</v>
      </c>
      <c r="Q8" s="81">
        <v>10</v>
      </c>
      <c r="R8" s="740">
        <v>11</v>
      </c>
      <c r="S8" s="740">
        <v>7</v>
      </c>
      <c r="T8" s="19"/>
      <c r="U8" s="19"/>
      <c r="V8" s="19"/>
      <c r="W8" s="19"/>
      <c r="X8" s="19"/>
      <c r="Y8" s="19"/>
      <c r="Z8" s="19"/>
      <c r="AA8" s="19"/>
      <c r="AB8" s="735">
        <f t="shared" si="1"/>
        <v>29</v>
      </c>
    </row>
    <row r="9" spans="1:28">
      <c r="A9" s="801" t="s">
        <v>109</v>
      </c>
      <c r="B9" s="81">
        <v>2</v>
      </c>
      <c r="C9" s="81">
        <v>7</v>
      </c>
      <c r="D9" s="740">
        <v>14</v>
      </c>
      <c r="E9" s="81">
        <v>3</v>
      </c>
      <c r="F9" s="19"/>
      <c r="G9" s="19"/>
      <c r="H9" s="19"/>
      <c r="I9" s="19"/>
      <c r="J9" s="19"/>
      <c r="K9" s="19"/>
      <c r="L9" s="19"/>
      <c r="M9" s="19"/>
      <c r="N9" s="35">
        <f t="shared" si="0"/>
        <v>26</v>
      </c>
      <c r="O9" s="792"/>
      <c r="P9" s="81">
        <v>2</v>
      </c>
      <c r="Q9" s="81">
        <v>7</v>
      </c>
      <c r="R9" s="740">
        <v>14</v>
      </c>
      <c r="S9" s="740">
        <v>3</v>
      </c>
      <c r="T9" s="19"/>
      <c r="U9" s="19"/>
      <c r="V9" s="19"/>
      <c r="W9" s="19"/>
      <c r="X9" s="19"/>
      <c r="Y9" s="19"/>
      <c r="Z9" s="19"/>
      <c r="AA9" s="19"/>
      <c r="AB9" s="735">
        <f t="shared" si="1"/>
        <v>26</v>
      </c>
    </row>
    <row r="10" spans="1:28">
      <c r="A10" s="801" t="s">
        <v>110</v>
      </c>
      <c r="B10" s="81">
        <v>15</v>
      </c>
      <c r="C10" s="81">
        <v>39</v>
      </c>
      <c r="D10" s="740">
        <v>28</v>
      </c>
      <c r="E10" s="81">
        <v>18</v>
      </c>
      <c r="F10" s="19"/>
      <c r="G10" s="19"/>
      <c r="H10" s="19"/>
      <c r="I10" s="19"/>
      <c r="J10" s="19"/>
      <c r="K10" s="19"/>
      <c r="L10" s="19"/>
      <c r="M10" s="19"/>
      <c r="N10" s="35">
        <f t="shared" si="0"/>
        <v>100</v>
      </c>
      <c r="O10" s="792"/>
      <c r="P10" s="81">
        <v>15</v>
      </c>
      <c r="Q10" s="81">
        <v>39</v>
      </c>
      <c r="R10" s="740">
        <v>28</v>
      </c>
      <c r="S10" s="740">
        <v>18</v>
      </c>
      <c r="T10" s="19"/>
      <c r="U10" s="19"/>
      <c r="V10" s="19"/>
      <c r="W10" s="19"/>
      <c r="X10" s="19"/>
      <c r="Y10" s="19"/>
      <c r="Z10" s="19"/>
      <c r="AA10" s="19"/>
      <c r="AB10" s="735">
        <f t="shared" si="1"/>
        <v>100</v>
      </c>
    </row>
    <row r="11" spans="1:28">
      <c r="A11" s="801" t="s">
        <v>111</v>
      </c>
      <c r="B11" s="81">
        <v>2</v>
      </c>
      <c r="C11" s="81">
        <v>14</v>
      </c>
      <c r="D11" s="740">
        <v>7</v>
      </c>
      <c r="E11" s="81">
        <v>3</v>
      </c>
      <c r="F11" s="19"/>
      <c r="G11" s="19"/>
      <c r="H11" s="19"/>
      <c r="I11" s="19"/>
      <c r="J11" s="19"/>
      <c r="K11" s="19"/>
      <c r="L11" s="19"/>
      <c r="M11" s="19"/>
      <c r="N11" s="35">
        <f t="shared" si="0"/>
        <v>26</v>
      </c>
      <c r="O11" s="792"/>
      <c r="P11" s="81">
        <v>2</v>
      </c>
      <c r="Q11" s="81">
        <v>14</v>
      </c>
      <c r="R11" s="740">
        <v>7</v>
      </c>
      <c r="S11" s="740">
        <v>3</v>
      </c>
      <c r="T11" s="19"/>
      <c r="U11" s="19"/>
      <c r="V11" s="19"/>
      <c r="W11" s="19"/>
      <c r="X11" s="19"/>
      <c r="Y11" s="19"/>
      <c r="Z11" s="19"/>
      <c r="AA11" s="19"/>
      <c r="AB11" s="735">
        <f t="shared" si="1"/>
        <v>26</v>
      </c>
    </row>
    <row r="12" spans="1:28">
      <c r="A12" s="801" t="s">
        <v>112</v>
      </c>
      <c r="B12" s="81">
        <v>4</v>
      </c>
      <c r="C12" s="81">
        <v>15</v>
      </c>
      <c r="D12" s="740">
        <v>16</v>
      </c>
      <c r="E12" s="81">
        <v>7</v>
      </c>
      <c r="F12" s="19"/>
      <c r="G12" s="19"/>
      <c r="H12" s="19"/>
      <c r="I12" s="19"/>
      <c r="J12" s="19"/>
      <c r="K12" s="19"/>
      <c r="L12" s="19"/>
      <c r="M12" s="19"/>
      <c r="N12" s="35">
        <f t="shared" si="0"/>
        <v>42</v>
      </c>
      <c r="O12" s="792"/>
      <c r="P12" s="81">
        <v>4</v>
      </c>
      <c r="Q12" s="81">
        <v>15</v>
      </c>
      <c r="R12" s="740">
        <v>16</v>
      </c>
      <c r="S12" s="740">
        <v>7</v>
      </c>
      <c r="T12" s="19"/>
      <c r="U12" s="19"/>
      <c r="V12" s="19"/>
      <c r="W12" s="19"/>
      <c r="X12" s="19"/>
      <c r="Y12" s="19"/>
      <c r="Z12" s="19"/>
      <c r="AA12" s="19"/>
      <c r="AB12" s="735">
        <f t="shared" si="1"/>
        <v>42</v>
      </c>
    </row>
    <row r="13" spans="1:28">
      <c r="A13" s="801" t="s">
        <v>113</v>
      </c>
      <c r="B13" s="81">
        <v>0</v>
      </c>
      <c r="C13" s="81">
        <v>21</v>
      </c>
      <c r="D13" s="740">
        <v>14</v>
      </c>
      <c r="E13" s="81">
        <v>11</v>
      </c>
      <c r="F13" s="19"/>
      <c r="G13" s="19"/>
      <c r="H13" s="19"/>
      <c r="I13" s="19"/>
      <c r="J13" s="19"/>
      <c r="K13" s="19"/>
      <c r="L13" s="19"/>
      <c r="M13" s="19"/>
      <c r="N13" s="35">
        <f t="shared" si="0"/>
        <v>46</v>
      </c>
      <c r="O13" s="792"/>
      <c r="P13" s="81">
        <v>0</v>
      </c>
      <c r="Q13" s="81">
        <v>21</v>
      </c>
      <c r="R13" s="740">
        <v>14</v>
      </c>
      <c r="S13" s="740">
        <v>10</v>
      </c>
      <c r="T13" s="19"/>
      <c r="U13" s="19"/>
      <c r="V13" s="19"/>
      <c r="W13" s="19"/>
      <c r="X13" s="19"/>
      <c r="Y13" s="19"/>
      <c r="Z13" s="19"/>
      <c r="AA13" s="19"/>
      <c r="AB13" s="735">
        <f t="shared" si="1"/>
        <v>45</v>
      </c>
    </row>
    <row r="14" spans="1:28">
      <c r="A14" s="801" t="s">
        <v>114</v>
      </c>
      <c r="B14" s="81">
        <v>1</v>
      </c>
      <c r="C14" s="81">
        <v>5</v>
      </c>
      <c r="D14" s="740">
        <v>7</v>
      </c>
      <c r="E14" s="81">
        <v>5</v>
      </c>
      <c r="F14" s="19"/>
      <c r="G14" s="19"/>
      <c r="H14" s="19"/>
      <c r="I14" s="19"/>
      <c r="J14" s="19"/>
      <c r="K14" s="19"/>
      <c r="L14" s="19"/>
      <c r="M14" s="19"/>
      <c r="N14" s="35">
        <f t="shared" si="0"/>
        <v>18</v>
      </c>
      <c r="O14" s="792"/>
      <c r="P14" s="81">
        <v>1</v>
      </c>
      <c r="Q14" s="81">
        <v>5</v>
      </c>
      <c r="R14" s="740">
        <v>7</v>
      </c>
      <c r="S14" s="740">
        <v>5</v>
      </c>
      <c r="T14" s="19"/>
      <c r="U14" s="19"/>
      <c r="V14" s="19"/>
      <c r="W14" s="19"/>
      <c r="X14" s="19"/>
      <c r="Y14" s="19"/>
      <c r="Z14" s="19"/>
      <c r="AA14" s="19"/>
      <c r="AB14" s="735">
        <f t="shared" si="1"/>
        <v>18</v>
      </c>
    </row>
    <row r="15" spans="1:28">
      <c r="A15" s="20" t="s">
        <v>115</v>
      </c>
      <c r="B15" s="82">
        <v>1</v>
      </c>
      <c r="C15" s="82">
        <v>15</v>
      </c>
      <c r="D15" s="741">
        <v>8</v>
      </c>
      <c r="E15" s="82">
        <v>13</v>
      </c>
      <c r="F15" s="21"/>
      <c r="G15" s="21"/>
      <c r="H15" s="21"/>
      <c r="I15" s="21"/>
      <c r="J15" s="21"/>
      <c r="K15" s="21"/>
      <c r="L15" s="21"/>
      <c r="M15" s="21"/>
      <c r="N15" s="35">
        <f t="shared" si="0"/>
        <v>37</v>
      </c>
      <c r="O15" s="792"/>
      <c r="P15" s="82">
        <v>1</v>
      </c>
      <c r="Q15" s="82">
        <v>15</v>
      </c>
      <c r="R15" s="741">
        <v>8</v>
      </c>
      <c r="S15" s="741">
        <v>13</v>
      </c>
      <c r="T15" s="21"/>
      <c r="U15" s="21"/>
      <c r="V15" s="21"/>
      <c r="W15" s="21"/>
      <c r="X15" s="21"/>
      <c r="Y15" s="21"/>
      <c r="Z15" s="21"/>
      <c r="AA15" s="21"/>
      <c r="AB15" s="735">
        <f t="shared" si="1"/>
        <v>37</v>
      </c>
    </row>
    <row r="16" spans="1:28">
      <c r="A16" s="20" t="s">
        <v>116</v>
      </c>
      <c r="B16" s="82">
        <v>17</v>
      </c>
      <c r="C16" s="82">
        <v>24</v>
      </c>
      <c r="D16" s="741">
        <v>28</v>
      </c>
      <c r="E16" s="82">
        <v>34</v>
      </c>
      <c r="F16" s="21"/>
      <c r="G16" s="21"/>
      <c r="H16" s="21"/>
      <c r="I16" s="21"/>
      <c r="J16" s="21"/>
      <c r="K16" s="21"/>
      <c r="L16" s="21"/>
      <c r="M16" s="21"/>
      <c r="N16" s="35">
        <f t="shared" si="0"/>
        <v>103</v>
      </c>
      <c r="O16" s="792"/>
      <c r="P16" s="82">
        <v>17</v>
      </c>
      <c r="Q16" s="82">
        <v>24</v>
      </c>
      <c r="R16" s="741">
        <v>28</v>
      </c>
      <c r="S16" s="741">
        <v>34</v>
      </c>
      <c r="T16" s="21"/>
      <c r="U16" s="21"/>
      <c r="V16" s="21"/>
      <c r="W16" s="21"/>
      <c r="X16" s="21"/>
      <c r="Y16" s="21"/>
      <c r="Z16" s="21"/>
      <c r="AA16" s="21"/>
      <c r="AB16" s="735">
        <f t="shared" si="1"/>
        <v>103</v>
      </c>
    </row>
    <row r="17" spans="1:28">
      <c r="A17" s="20" t="s">
        <v>117</v>
      </c>
      <c r="B17" s="82">
        <v>0</v>
      </c>
      <c r="C17" s="82">
        <v>3</v>
      </c>
      <c r="D17" s="741">
        <v>5</v>
      </c>
      <c r="E17" s="82">
        <v>7</v>
      </c>
      <c r="F17" s="21"/>
      <c r="G17" s="21"/>
      <c r="H17" s="21"/>
      <c r="I17" s="21"/>
      <c r="J17" s="21"/>
      <c r="K17" s="21"/>
      <c r="L17" s="21"/>
      <c r="M17" s="21"/>
      <c r="N17" s="35">
        <f t="shared" si="0"/>
        <v>15</v>
      </c>
      <c r="O17" s="792"/>
      <c r="P17" s="82">
        <v>0</v>
      </c>
      <c r="Q17" s="82">
        <v>3</v>
      </c>
      <c r="R17" s="741">
        <v>5</v>
      </c>
      <c r="S17" s="741">
        <v>7</v>
      </c>
      <c r="T17" s="21"/>
      <c r="U17" s="21"/>
      <c r="V17" s="21"/>
      <c r="W17" s="21"/>
      <c r="X17" s="21"/>
      <c r="Y17" s="21"/>
      <c r="Z17" s="21"/>
      <c r="AA17" s="21"/>
      <c r="AB17" s="735">
        <f t="shared" si="1"/>
        <v>15</v>
      </c>
    </row>
    <row r="18" spans="1:28">
      <c r="A18" s="20" t="s">
        <v>118</v>
      </c>
      <c r="B18" s="82">
        <v>0</v>
      </c>
      <c r="C18" s="82">
        <v>0</v>
      </c>
      <c r="D18" s="741">
        <v>0</v>
      </c>
      <c r="E18" s="82">
        <v>0</v>
      </c>
      <c r="F18" s="21"/>
      <c r="G18" s="21"/>
      <c r="H18" s="21"/>
      <c r="I18" s="21"/>
      <c r="J18" s="21"/>
      <c r="K18" s="21"/>
      <c r="L18" s="21"/>
      <c r="M18" s="21"/>
      <c r="N18" s="35">
        <f t="shared" si="0"/>
        <v>0</v>
      </c>
      <c r="O18" s="792"/>
      <c r="P18" s="82">
        <v>0</v>
      </c>
      <c r="Q18" s="82">
        <v>0</v>
      </c>
      <c r="R18" s="741">
        <v>0</v>
      </c>
      <c r="S18" s="741">
        <v>0</v>
      </c>
      <c r="T18" s="21"/>
      <c r="U18" s="21"/>
      <c r="V18" s="21"/>
      <c r="W18" s="21"/>
      <c r="X18" s="21"/>
      <c r="Y18" s="21"/>
      <c r="Z18" s="21"/>
      <c r="AA18" s="21"/>
      <c r="AB18" s="735">
        <f t="shared" si="1"/>
        <v>0</v>
      </c>
    </row>
    <row r="19" spans="1:28">
      <c r="A19" s="20" t="s">
        <v>119</v>
      </c>
      <c r="B19" s="82">
        <v>0</v>
      </c>
      <c r="C19" s="82">
        <v>4</v>
      </c>
      <c r="D19" s="741">
        <v>8</v>
      </c>
      <c r="E19" s="82">
        <v>10</v>
      </c>
      <c r="F19" s="21"/>
      <c r="G19" s="21"/>
      <c r="H19" s="21"/>
      <c r="I19" s="21"/>
      <c r="J19" s="21"/>
      <c r="K19" s="21"/>
      <c r="L19" s="21"/>
      <c r="M19" s="21"/>
      <c r="N19" s="35">
        <f t="shared" si="0"/>
        <v>22</v>
      </c>
      <c r="O19" s="792"/>
      <c r="P19" s="82">
        <v>0</v>
      </c>
      <c r="Q19" s="82">
        <v>4</v>
      </c>
      <c r="R19" s="741">
        <v>8</v>
      </c>
      <c r="S19" s="741">
        <v>10</v>
      </c>
      <c r="T19" s="21"/>
      <c r="U19" s="21"/>
      <c r="V19" s="21"/>
      <c r="W19" s="21"/>
      <c r="X19" s="21"/>
      <c r="Y19" s="21"/>
      <c r="Z19" s="21"/>
      <c r="AA19" s="21"/>
      <c r="AB19" s="735">
        <f t="shared" si="1"/>
        <v>22</v>
      </c>
    </row>
    <row r="20" spans="1:28">
      <c r="A20" s="20" t="s">
        <v>120</v>
      </c>
      <c r="B20" s="82">
        <v>1</v>
      </c>
      <c r="C20" s="82">
        <v>0</v>
      </c>
      <c r="D20" s="741">
        <v>0</v>
      </c>
      <c r="E20" s="82">
        <v>3</v>
      </c>
      <c r="F20" s="21"/>
      <c r="G20" s="21"/>
      <c r="H20" s="21"/>
      <c r="I20" s="21"/>
      <c r="J20" s="21"/>
      <c r="K20" s="21"/>
      <c r="L20" s="21"/>
      <c r="M20" s="21"/>
      <c r="N20" s="35">
        <f t="shared" si="0"/>
        <v>4</v>
      </c>
      <c r="O20" s="792"/>
      <c r="P20" s="82">
        <v>1</v>
      </c>
      <c r="Q20" s="82">
        <v>0</v>
      </c>
      <c r="R20" s="741">
        <v>0</v>
      </c>
      <c r="S20" s="741">
        <v>3</v>
      </c>
      <c r="T20" s="21"/>
      <c r="U20" s="21"/>
      <c r="V20" s="21"/>
      <c r="W20" s="21"/>
      <c r="X20" s="21"/>
      <c r="Y20" s="21"/>
      <c r="Z20" s="21"/>
      <c r="AA20" s="21"/>
      <c r="AB20" s="735">
        <f t="shared" si="1"/>
        <v>4</v>
      </c>
    </row>
    <row r="21" spans="1:28">
      <c r="A21" s="20" t="s">
        <v>121</v>
      </c>
      <c r="B21" s="82">
        <v>0</v>
      </c>
      <c r="C21" s="82">
        <v>0</v>
      </c>
      <c r="D21" s="741">
        <v>0</v>
      </c>
      <c r="E21" s="82">
        <v>0</v>
      </c>
      <c r="F21" s="21"/>
      <c r="G21" s="21"/>
      <c r="H21" s="21"/>
      <c r="I21" s="21"/>
      <c r="J21" s="21"/>
      <c r="K21" s="21"/>
      <c r="L21" s="21"/>
      <c r="M21" s="21"/>
      <c r="N21" s="35">
        <f t="shared" si="0"/>
        <v>0</v>
      </c>
      <c r="O21" s="792"/>
      <c r="P21" s="82">
        <v>0</v>
      </c>
      <c r="Q21" s="82">
        <v>0</v>
      </c>
      <c r="R21" s="741">
        <v>0</v>
      </c>
      <c r="S21" s="741">
        <v>0</v>
      </c>
      <c r="T21" s="21"/>
      <c r="U21" s="21"/>
      <c r="V21" s="21"/>
      <c r="W21" s="21"/>
      <c r="X21" s="21"/>
      <c r="Y21" s="21"/>
      <c r="Z21" s="21"/>
      <c r="AA21" s="21"/>
      <c r="AB21" s="735">
        <f t="shared" si="1"/>
        <v>0</v>
      </c>
    </row>
    <row r="22" spans="1:28">
      <c r="A22" s="22" t="s">
        <v>122</v>
      </c>
      <c r="B22" s="83">
        <v>1</v>
      </c>
      <c r="C22" s="83">
        <v>5</v>
      </c>
      <c r="D22" s="742">
        <v>1</v>
      </c>
      <c r="E22" s="83">
        <v>2</v>
      </c>
      <c r="F22" s="23"/>
      <c r="G22" s="23"/>
      <c r="H22" s="23"/>
      <c r="I22" s="23"/>
      <c r="J22" s="23"/>
      <c r="K22" s="23"/>
      <c r="L22" s="23"/>
      <c r="M22" s="23"/>
      <c r="N22" s="35">
        <f t="shared" si="0"/>
        <v>9</v>
      </c>
      <c r="O22" s="792"/>
      <c r="P22" s="83">
        <v>1</v>
      </c>
      <c r="Q22" s="83">
        <v>5</v>
      </c>
      <c r="R22" s="742">
        <v>1</v>
      </c>
      <c r="S22" s="742">
        <v>2</v>
      </c>
      <c r="T22" s="23"/>
      <c r="U22" s="23"/>
      <c r="V22" s="23"/>
      <c r="W22" s="23"/>
      <c r="X22" s="23"/>
      <c r="Y22" s="23"/>
      <c r="Z22" s="23"/>
      <c r="AA22" s="23"/>
      <c r="AB22" s="735">
        <f t="shared" si="1"/>
        <v>9</v>
      </c>
    </row>
    <row r="23" spans="1:28">
      <c r="A23" s="22" t="s">
        <v>123</v>
      </c>
      <c r="B23" s="83">
        <v>1</v>
      </c>
      <c r="C23" s="83">
        <v>6</v>
      </c>
      <c r="D23" s="742">
        <v>1</v>
      </c>
      <c r="E23" s="83">
        <v>4</v>
      </c>
      <c r="F23" s="23"/>
      <c r="G23" s="23"/>
      <c r="H23" s="23"/>
      <c r="I23" s="23"/>
      <c r="J23" s="23"/>
      <c r="K23" s="23"/>
      <c r="L23" s="23"/>
      <c r="M23" s="23"/>
      <c r="N23" s="35">
        <f t="shared" si="0"/>
        <v>12</v>
      </c>
      <c r="O23" s="792"/>
      <c r="P23" s="83">
        <v>1</v>
      </c>
      <c r="Q23" s="83">
        <v>6</v>
      </c>
      <c r="R23" s="742">
        <v>1</v>
      </c>
      <c r="S23" s="742">
        <v>4</v>
      </c>
      <c r="T23" s="23"/>
      <c r="U23" s="23"/>
      <c r="V23" s="23"/>
      <c r="W23" s="23"/>
      <c r="X23" s="23"/>
      <c r="Y23" s="23"/>
      <c r="Z23" s="23"/>
      <c r="AA23" s="23"/>
      <c r="AB23" s="735">
        <f t="shared" si="1"/>
        <v>12</v>
      </c>
    </row>
    <row r="24" spans="1:28">
      <c r="A24" s="22" t="s">
        <v>124</v>
      </c>
      <c r="B24" s="83">
        <v>0</v>
      </c>
      <c r="C24" s="83">
        <v>0</v>
      </c>
      <c r="D24" s="742">
        <v>7</v>
      </c>
      <c r="E24" s="83">
        <v>1</v>
      </c>
      <c r="F24" s="23"/>
      <c r="G24" s="23"/>
      <c r="H24" s="23"/>
      <c r="I24" s="23"/>
      <c r="J24" s="23"/>
      <c r="K24" s="23"/>
      <c r="L24" s="23"/>
      <c r="M24" s="23"/>
      <c r="N24" s="35">
        <f t="shared" si="0"/>
        <v>8</v>
      </c>
      <c r="O24" s="792"/>
      <c r="P24" s="83">
        <v>0</v>
      </c>
      <c r="Q24" s="83">
        <v>0</v>
      </c>
      <c r="R24" s="742">
        <v>7</v>
      </c>
      <c r="S24" s="742">
        <v>1</v>
      </c>
      <c r="T24" s="23"/>
      <c r="U24" s="23"/>
      <c r="V24" s="23"/>
      <c r="W24" s="23"/>
      <c r="X24" s="23"/>
      <c r="Y24" s="23"/>
      <c r="Z24" s="23"/>
      <c r="AA24" s="23"/>
      <c r="AB24" s="735">
        <f t="shared" si="1"/>
        <v>8</v>
      </c>
    </row>
    <row r="25" spans="1:28">
      <c r="A25" s="22" t="s">
        <v>125</v>
      </c>
      <c r="B25" s="83">
        <v>0</v>
      </c>
      <c r="C25" s="83">
        <v>5</v>
      </c>
      <c r="D25" s="742">
        <v>2</v>
      </c>
      <c r="E25" s="83">
        <v>2</v>
      </c>
      <c r="F25" s="23"/>
      <c r="G25" s="23"/>
      <c r="H25" s="23"/>
      <c r="I25" s="23"/>
      <c r="J25" s="23"/>
      <c r="K25" s="23"/>
      <c r="L25" s="23"/>
      <c r="M25" s="23"/>
      <c r="N25" s="35">
        <f t="shared" si="0"/>
        <v>9</v>
      </c>
      <c r="O25" s="792"/>
      <c r="P25" s="83">
        <v>0</v>
      </c>
      <c r="Q25" s="83">
        <v>5</v>
      </c>
      <c r="R25" s="742">
        <v>2</v>
      </c>
      <c r="S25" s="742">
        <v>2</v>
      </c>
      <c r="T25" s="23"/>
      <c r="U25" s="23"/>
      <c r="V25" s="23"/>
      <c r="W25" s="23"/>
      <c r="X25" s="23"/>
      <c r="Y25" s="23"/>
      <c r="Z25" s="23"/>
      <c r="AA25" s="23"/>
      <c r="AB25" s="735">
        <f t="shared" si="1"/>
        <v>9</v>
      </c>
    </row>
    <row r="26" spans="1:28">
      <c r="A26" s="22" t="s">
        <v>126</v>
      </c>
      <c r="B26" s="83">
        <v>2</v>
      </c>
      <c r="C26" s="83">
        <v>15</v>
      </c>
      <c r="D26" s="742">
        <v>4</v>
      </c>
      <c r="E26" s="83">
        <v>0</v>
      </c>
      <c r="F26" s="23"/>
      <c r="G26" s="23"/>
      <c r="H26" s="23"/>
      <c r="I26" s="23"/>
      <c r="J26" s="23"/>
      <c r="K26" s="23"/>
      <c r="L26" s="23"/>
      <c r="M26" s="23"/>
      <c r="N26" s="35">
        <f t="shared" si="0"/>
        <v>21</v>
      </c>
      <c r="O26" s="792"/>
      <c r="P26" s="83">
        <v>2</v>
      </c>
      <c r="Q26" s="83">
        <v>15</v>
      </c>
      <c r="R26" s="742">
        <v>4</v>
      </c>
      <c r="S26" s="742">
        <v>0</v>
      </c>
      <c r="T26" s="23"/>
      <c r="U26" s="23"/>
      <c r="V26" s="23"/>
      <c r="W26" s="23"/>
      <c r="X26" s="23"/>
      <c r="Y26" s="23"/>
      <c r="Z26" s="23"/>
      <c r="AA26" s="23"/>
      <c r="AB26" s="735">
        <f t="shared" si="1"/>
        <v>21</v>
      </c>
    </row>
    <row r="27" spans="1:28">
      <c r="A27" s="22" t="s">
        <v>127</v>
      </c>
      <c r="B27" s="83">
        <v>0</v>
      </c>
      <c r="C27" s="83">
        <v>3</v>
      </c>
      <c r="D27" s="742">
        <v>2</v>
      </c>
      <c r="E27" s="83">
        <v>0</v>
      </c>
      <c r="F27" s="23"/>
      <c r="G27" s="23"/>
      <c r="H27" s="23"/>
      <c r="I27" s="23"/>
      <c r="J27" s="23"/>
      <c r="K27" s="23"/>
      <c r="L27" s="23"/>
      <c r="M27" s="23"/>
      <c r="N27" s="35">
        <f t="shared" si="0"/>
        <v>5</v>
      </c>
      <c r="O27" s="792"/>
      <c r="P27" s="83">
        <v>0</v>
      </c>
      <c r="Q27" s="83">
        <v>3</v>
      </c>
      <c r="R27" s="742">
        <v>2</v>
      </c>
      <c r="S27" s="742">
        <v>0</v>
      </c>
      <c r="T27" s="23"/>
      <c r="U27" s="23"/>
      <c r="V27" s="23"/>
      <c r="W27" s="23"/>
      <c r="X27" s="23"/>
      <c r="Y27" s="23"/>
      <c r="Z27" s="23"/>
      <c r="AA27" s="23"/>
      <c r="AB27" s="735">
        <f t="shared" si="1"/>
        <v>5</v>
      </c>
    </row>
    <row r="28" spans="1:28">
      <c r="A28" s="22" t="s">
        <v>128</v>
      </c>
      <c r="B28" s="83">
        <v>1</v>
      </c>
      <c r="C28" s="83">
        <v>1</v>
      </c>
      <c r="D28" s="742">
        <v>0</v>
      </c>
      <c r="E28" s="83">
        <v>0</v>
      </c>
      <c r="F28" s="23"/>
      <c r="G28" s="23"/>
      <c r="H28" s="23"/>
      <c r="I28" s="23"/>
      <c r="J28" s="23"/>
      <c r="K28" s="23"/>
      <c r="L28" s="23"/>
      <c r="M28" s="23"/>
      <c r="N28" s="35">
        <f t="shared" si="0"/>
        <v>2</v>
      </c>
      <c r="O28" s="792"/>
      <c r="P28" s="83">
        <v>1</v>
      </c>
      <c r="Q28" s="83">
        <v>1</v>
      </c>
      <c r="R28" s="742">
        <v>0</v>
      </c>
      <c r="S28" s="742">
        <v>0</v>
      </c>
      <c r="T28" s="23"/>
      <c r="U28" s="23"/>
      <c r="V28" s="23"/>
      <c r="W28" s="23"/>
      <c r="X28" s="23"/>
      <c r="Y28" s="23"/>
      <c r="Z28" s="23"/>
      <c r="AA28" s="23"/>
      <c r="AB28" s="735">
        <f t="shared" si="1"/>
        <v>2</v>
      </c>
    </row>
    <row r="29" spans="1:28">
      <c r="A29" s="22" t="s">
        <v>129</v>
      </c>
      <c r="B29" s="83">
        <v>0</v>
      </c>
      <c r="C29" s="83">
        <v>0</v>
      </c>
      <c r="D29" s="742">
        <v>0</v>
      </c>
      <c r="E29" s="83">
        <v>0</v>
      </c>
      <c r="F29" s="23"/>
      <c r="G29" s="23"/>
      <c r="H29" s="23"/>
      <c r="I29" s="23"/>
      <c r="J29" s="23"/>
      <c r="K29" s="23"/>
      <c r="L29" s="23"/>
      <c r="M29" s="23"/>
      <c r="N29" s="35">
        <f t="shared" si="0"/>
        <v>0</v>
      </c>
      <c r="O29" s="792"/>
      <c r="P29" s="83">
        <v>0</v>
      </c>
      <c r="Q29" s="83">
        <v>0</v>
      </c>
      <c r="R29" s="742">
        <v>0</v>
      </c>
      <c r="S29" s="742">
        <v>0</v>
      </c>
      <c r="T29" s="23"/>
      <c r="U29" s="23"/>
      <c r="V29" s="23"/>
      <c r="W29" s="23"/>
      <c r="X29" s="23"/>
      <c r="Y29" s="23"/>
      <c r="Z29" s="23"/>
      <c r="AA29" s="23"/>
      <c r="AB29" s="735">
        <f t="shared" si="1"/>
        <v>0</v>
      </c>
    </row>
    <row r="30" spans="1:28">
      <c r="A30" s="22" t="s">
        <v>130</v>
      </c>
      <c r="B30" s="83">
        <v>0</v>
      </c>
      <c r="C30" s="83">
        <v>0</v>
      </c>
      <c r="D30" s="742">
        <v>0</v>
      </c>
      <c r="E30" s="83">
        <v>0</v>
      </c>
      <c r="F30" s="23"/>
      <c r="G30" s="23"/>
      <c r="H30" s="23"/>
      <c r="I30" s="23"/>
      <c r="J30" s="23"/>
      <c r="K30" s="23"/>
      <c r="L30" s="23"/>
      <c r="M30" s="23"/>
      <c r="N30" s="35">
        <f t="shared" si="0"/>
        <v>0</v>
      </c>
      <c r="O30" s="792"/>
      <c r="P30" s="83">
        <v>0</v>
      </c>
      <c r="Q30" s="83">
        <v>0</v>
      </c>
      <c r="R30" s="742">
        <v>0</v>
      </c>
      <c r="S30" s="742">
        <v>0</v>
      </c>
      <c r="T30" s="23"/>
      <c r="U30" s="23"/>
      <c r="V30" s="23"/>
      <c r="W30" s="23"/>
      <c r="X30" s="23"/>
      <c r="Y30" s="23"/>
      <c r="Z30" s="23"/>
      <c r="AA30" s="23"/>
      <c r="AB30" s="735">
        <f t="shared" si="1"/>
        <v>0</v>
      </c>
    </row>
    <row r="31" spans="1:28">
      <c r="A31" s="22" t="s">
        <v>131</v>
      </c>
      <c r="B31" s="83">
        <v>0</v>
      </c>
      <c r="C31" s="83">
        <v>0</v>
      </c>
      <c r="D31" s="742">
        <v>0</v>
      </c>
      <c r="E31" s="83">
        <v>0</v>
      </c>
      <c r="F31" s="23"/>
      <c r="G31" s="23"/>
      <c r="H31" s="23"/>
      <c r="I31" s="23"/>
      <c r="J31" s="23"/>
      <c r="K31" s="23"/>
      <c r="L31" s="23"/>
      <c r="M31" s="23"/>
      <c r="N31" s="35">
        <f t="shared" si="0"/>
        <v>0</v>
      </c>
      <c r="O31" s="792"/>
      <c r="P31" s="83">
        <v>0</v>
      </c>
      <c r="Q31" s="83">
        <v>0</v>
      </c>
      <c r="R31" s="742">
        <v>0</v>
      </c>
      <c r="S31" s="742">
        <v>0</v>
      </c>
      <c r="T31" s="23"/>
      <c r="U31" s="23"/>
      <c r="V31" s="23"/>
      <c r="W31" s="23"/>
      <c r="X31" s="23"/>
      <c r="Y31" s="23"/>
      <c r="Z31" s="23"/>
      <c r="AA31" s="23"/>
      <c r="AB31" s="735">
        <f t="shared" si="1"/>
        <v>0</v>
      </c>
    </row>
    <row r="32" spans="1:28">
      <c r="A32" s="22" t="s">
        <v>132</v>
      </c>
      <c r="B32" s="83">
        <v>0</v>
      </c>
      <c r="C32" s="83">
        <v>0</v>
      </c>
      <c r="D32" s="742">
        <v>2</v>
      </c>
      <c r="E32" s="83">
        <v>0</v>
      </c>
      <c r="F32" s="23"/>
      <c r="G32" s="23"/>
      <c r="H32" s="23"/>
      <c r="I32" s="23"/>
      <c r="J32" s="23"/>
      <c r="K32" s="23"/>
      <c r="L32" s="23"/>
      <c r="M32" s="23"/>
      <c r="N32" s="35">
        <f t="shared" si="0"/>
        <v>2</v>
      </c>
      <c r="O32" s="792"/>
      <c r="P32" s="83">
        <v>0</v>
      </c>
      <c r="Q32" s="83">
        <v>0</v>
      </c>
      <c r="R32" s="742">
        <v>2</v>
      </c>
      <c r="S32" s="742">
        <v>0</v>
      </c>
      <c r="T32" s="23"/>
      <c r="U32" s="23"/>
      <c r="V32" s="23"/>
      <c r="W32" s="23"/>
      <c r="X32" s="23"/>
      <c r="Y32" s="23"/>
      <c r="Z32" s="23"/>
      <c r="AA32" s="23"/>
      <c r="AB32" s="735">
        <f t="shared" si="1"/>
        <v>2</v>
      </c>
    </row>
    <row r="33" spans="1:28">
      <c r="A33" s="22" t="s">
        <v>133</v>
      </c>
      <c r="B33" s="83">
        <v>0</v>
      </c>
      <c r="C33" s="83">
        <v>1</v>
      </c>
      <c r="D33" s="742">
        <v>0</v>
      </c>
      <c r="E33" s="83">
        <v>2</v>
      </c>
      <c r="F33" s="23"/>
      <c r="G33" s="23"/>
      <c r="H33" s="23"/>
      <c r="I33" s="23"/>
      <c r="J33" s="23"/>
      <c r="K33" s="23"/>
      <c r="L33" s="23"/>
      <c r="M33" s="23"/>
      <c r="N33" s="35">
        <f t="shared" si="0"/>
        <v>3</v>
      </c>
      <c r="O33" s="792"/>
      <c r="P33" s="83">
        <v>0</v>
      </c>
      <c r="Q33" s="83">
        <v>1</v>
      </c>
      <c r="R33" s="742">
        <v>0</v>
      </c>
      <c r="S33" s="742">
        <v>2</v>
      </c>
      <c r="T33" s="23"/>
      <c r="U33" s="23"/>
      <c r="V33" s="23"/>
      <c r="W33" s="23"/>
      <c r="X33" s="23"/>
      <c r="Y33" s="23"/>
      <c r="Z33" s="23"/>
      <c r="AA33" s="23"/>
      <c r="AB33" s="735">
        <f t="shared" si="1"/>
        <v>3</v>
      </c>
    </row>
    <row r="34" spans="1:28">
      <c r="A34" s="22" t="s">
        <v>134</v>
      </c>
      <c r="B34" s="83">
        <v>1</v>
      </c>
      <c r="C34" s="83">
        <v>1</v>
      </c>
      <c r="D34" s="742">
        <v>7</v>
      </c>
      <c r="E34" s="83">
        <v>3</v>
      </c>
      <c r="F34" s="23"/>
      <c r="G34" s="23"/>
      <c r="H34" s="23"/>
      <c r="I34" s="23"/>
      <c r="J34" s="23"/>
      <c r="K34" s="23"/>
      <c r="L34" s="23"/>
      <c r="M34" s="23"/>
      <c r="N34" s="35">
        <f t="shared" si="0"/>
        <v>12</v>
      </c>
      <c r="O34" s="792"/>
      <c r="P34" s="83">
        <v>1</v>
      </c>
      <c r="Q34" s="83">
        <v>1</v>
      </c>
      <c r="R34" s="742">
        <v>7</v>
      </c>
      <c r="S34" s="742">
        <v>3</v>
      </c>
      <c r="T34" s="23"/>
      <c r="U34" s="23"/>
      <c r="V34" s="23"/>
      <c r="W34" s="23"/>
      <c r="X34" s="23"/>
      <c r="Y34" s="23"/>
      <c r="Z34" s="23"/>
      <c r="AA34" s="23"/>
      <c r="AB34" s="735">
        <f t="shared" si="1"/>
        <v>12</v>
      </c>
    </row>
    <row r="35" spans="1:28">
      <c r="A35" s="22" t="s">
        <v>135</v>
      </c>
      <c r="B35" s="83">
        <v>0</v>
      </c>
      <c r="C35" s="83">
        <v>0</v>
      </c>
      <c r="D35" s="742">
        <v>0</v>
      </c>
      <c r="E35" s="83">
        <v>0</v>
      </c>
      <c r="F35" s="23"/>
      <c r="G35" s="23"/>
      <c r="H35" s="23"/>
      <c r="I35" s="23"/>
      <c r="J35" s="23"/>
      <c r="K35" s="23"/>
      <c r="L35" s="23"/>
      <c r="M35" s="23"/>
      <c r="N35" s="35">
        <f t="shared" si="0"/>
        <v>0</v>
      </c>
      <c r="O35" s="792"/>
      <c r="P35" s="83">
        <v>0</v>
      </c>
      <c r="Q35" s="83">
        <v>0</v>
      </c>
      <c r="R35" s="742">
        <v>0</v>
      </c>
      <c r="S35" s="742">
        <v>0</v>
      </c>
      <c r="T35" s="23"/>
      <c r="U35" s="23"/>
      <c r="V35" s="23"/>
      <c r="W35" s="23"/>
      <c r="X35" s="23"/>
      <c r="Y35" s="23"/>
      <c r="Z35" s="23"/>
      <c r="AA35" s="23"/>
      <c r="AB35" s="735">
        <f t="shared" si="1"/>
        <v>0</v>
      </c>
    </row>
    <row r="36" spans="1:28">
      <c r="A36" s="22" t="s">
        <v>136</v>
      </c>
      <c r="B36" s="83">
        <v>0</v>
      </c>
      <c r="C36" s="83">
        <v>1</v>
      </c>
      <c r="D36" s="742">
        <v>0</v>
      </c>
      <c r="E36" s="83">
        <v>0</v>
      </c>
      <c r="F36" s="23"/>
      <c r="G36" s="23"/>
      <c r="H36" s="23"/>
      <c r="I36" s="23"/>
      <c r="J36" s="23"/>
      <c r="K36" s="23"/>
      <c r="L36" s="23"/>
      <c r="M36" s="23"/>
      <c r="N36" s="35">
        <f t="shared" si="0"/>
        <v>1</v>
      </c>
      <c r="O36" s="792"/>
      <c r="P36" s="83">
        <v>0</v>
      </c>
      <c r="Q36" s="83">
        <v>1</v>
      </c>
      <c r="R36" s="742">
        <v>0</v>
      </c>
      <c r="S36" s="742">
        <v>0</v>
      </c>
      <c r="T36" s="23"/>
      <c r="U36" s="23"/>
      <c r="V36" s="23"/>
      <c r="W36" s="23"/>
      <c r="X36" s="23"/>
      <c r="Y36" s="23"/>
      <c r="Z36" s="23"/>
      <c r="AA36" s="23"/>
      <c r="AB36" s="735">
        <f t="shared" si="1"/>
        <v>1</v>
      </c>
    </row>
    <row r="37" spans="1:28">
      <c r="A37" s="24" t="s">
        <v>137</v>
      </c>
      <c r="B37" s="84">
        <v>7</v>
      </c>
      <c r="C37" s="84">
        <v>22</v>
      </c>
      <c r="D37" s="743">
        <v>8</v>
      </c>
      <c r="E37" s="84">
        <v>5</v>
      </c>
      <c r="F37" s="25"/>
      <c r="G37" s="25"/>
      <c r="H37" s="25"/>
      <c r="I37" s="25"/>
      <c r="J37" s="25"/>
      <c r="K37" s="25"/>
      <c r="L37" s="25"/>
      <c r="M37" s="25"/>
      <c r="N37" s="35">
        <f t="shared" si="0"/>
        <v>42</v>
      </c>
      <c r="O37" s="792"/>
      <c r="P37" s="84">
        <v>7</v>
      </c>
      <c r="Q37" s="84">
        <v>22</v>
      </c>
      <c r="R37" s="743">
        <v>8</v>
      </c>
      <c r="S37" s="743">
        <v>5</v>
      </c>
      <c r="T37" s="25"/>
      <c r="U37" s="25"/>
      <c r="V37" s="25"/>
      <c r="W37" s="25"/>
      <c r="X37" s="25"/>
      <c r="Y37" s="25"/>
      <c r="Z37" s="25"/>
      <c r="AA37" s="25"/>
      <c r="AB37" s="735">
        <f t="shared" si="1"/>
        <v>42</v>
      </c>
    </row>
    <row r="38" spans="1:28">
      <c r="A38" s="24" t="s">
        <v>138</v>
      </c>
      <c r="B38" s="84">
        <v>1</v>
      </c>
      <c r="C38" s="84">
        <v>7</v>
      </c>
      <c r="D38" s="743">
        <v>3</v>
      </c>
      <c r="E38" s="84">
        <v>1</v>
      </c>
      <c r="F38" s="25"/>
      <c r="G38" s="25"/>
      <c r="H38" s="25"/>
      <c r="I38" s="25"/>
      <c r="J38" s="25"/>
      <c r="K38" s="25"/>
      <c r="L38" s="25"/>
      <c r="M38" s="25"/>
      <c r="N38" s="35">
        <f t="shared" si="0"/>
        <v>12</v>
      </c>
      <c r="O38" s="792"/>
      <c r="P38" s="84">
        <v>1</v>
      </c>
      <c r="Q38" s="84">
        <v>7</v>
      </c>
      <c r="R38" s="743">
        <v>3</v>
      </c>
      <c r="S38" s="743">
        <v>1</v>
      </c>
      <c r="T38" s="25"/>
      <c r="U38" s="25"/>
      <c r="V38" s="25"/>
      <c r="W38" s="25"/>
      <c r="X38" s="25"/>
      <c r="Y38" s="25"/>
      <c r="Z38" s="25"/>
      <c r="AA38" s="25"/>
      <c r="AB38" s="735">
        <f t="shared" si="1"/>
        <v>12</v>
      </c>
    </row>
    <row r="39" spans="1:28">
      <c r="A39" s="24" t="s">
        <v>139</v>
      </c>
      <c r="B39" s="84">
        <v>2</v>
      </c>
      <c r="C39" s="84">
        <v>11</v>
      </c>
      <c r="D39" s="743">
        <v>1</v>
      </c>
      <c r="E39" s="84">
        <v>1</v>
      </c>
      <c r="F39" s="25"/>
      <c r="G39" s="25"/>
      <c r="H39" s="25"/>
      <c r="I39" s="25"/>
      <c r="J39" s="25"/>
      <c r="K39" s="25"/>
      <c r="L39" s="25"/>
      <c r="M39" s="25"/>
      <c r="N39" s="35">
        <f t="shared" si="0"/>
        <v>15</v>
      </c>
      <c r="O39" s="792"/>
      <c r="P39" s="84">
        <v>2</v>
      </c>
      <c r="Q39" s="84">
        <v>11</v>
      </c>
      <c r="R39" s="743">
        <v>1</v>
      </c>
      <c r="S39" s="743">
        <v>1</v>
      </c>
      <c r="T39" s="25"/>
      <c r="U39" s="25"/>
      <c r="V39" s="25"/>
      <c r="W39" s="25"/>
      <c r="X39" s="25"/>
      <c r="Y39" s="25"/>
      <c r="Z39" s="25"/>
      <c r="AA39" s="25"/>
      <c r="AB39" s="735">
        <f t="shared" si="1"/>
        <v>15</v>
      </c>
    </row>
    <row r="40" spans="1:28">
      <c r="A40" s="24" t="s">
        <v>140</v>
      </c>
      <c r="B40" s="84">
        <v>1</v>
      </c>
      <c r="C40" s="84">
        <v>7</v>
      </c>
      <c r="D40" s="743">
        <v>2</v>
      </c>
      <c r="E40" s="1155">
        <v>0</v>
      </c>
      <c r="F40" s="25"/>
      <c r="G40" s="25"/>
      <c r="H40" s="25"/>
      <c r="I40" s="25"/>
      <c r="J40" s="25"/>
      <c r="K40" s="25"/>
      <c r="L40" s="25"/>
      <c r="M40" s="25"/>
      <c r="N40" s="35">
        <f t="shared" si="0"/>
        <v>10</v>
      </c>
      <c r="O40" s="792"/>
      <c r="P40" s="84">
        <v>1</v>
      </c>
      <c r="Q40" s="84">
        <v>7</v>
      </c>
      <c r="R40" s="743">
        <v>2</v>
      </c>
      <c r="S40" s="743">
        <v>0</v>
      </c>
      <c r="T40" s="25"/>
      <c r="U40" s="25"/>
      <c r="V40" s="25"/>
      <c r="W40" s="25"/>
      <c r="X40" s="25"/>
      <c r="Y40" s="25"/>
      <c r="Z40" s="25"/>
      <c r="AA40" s="25"/>
      <c r="AB40" s="735">
        <f t="shared" si="1"/>
        <v>10</v>
      </c>
    </row>
    <row r="41" spans="1:28">
      <c r="A41" s="24" t="s">
        <v>141</v>
      </c>
      <c r="B41" s="1155">
        <v>0</v>
      </c>
      <c r="C41" s="84">
        <v>3</v>
      </c>
      <c r="D41" s="743">
        <v>6</v>
      </c>
      <c r="E41" s="1155">
        <v>0</v>
      </c>
      <c r="F41" s="25"/>
      <c r="G41" s="25"/>
      <c r="H41" s="25"/>
      <c r="I41" s="25"/>
      <c r="J41" s="25"/>
      <c r="K41" s="25"/>
      <c r="L41" s="25"/>
      <c r="M41" s="25"/>
      <c r="N41" s="35">
        <f t="shared" si="0"/>
        <v>9</v>
      </c>
      <c r="O41" s="792"/>
      <c r="P41" s="84">
        <v>0</v>
      </c>
      <c r="Q41" s="84">
        <v>3</v>
      </c>
      <c r="R41" s="743">
        <v>6</v>
      </c>
      <c r="S41" s="743">
        <v>0</v>
      </c>
      <c r="T41" s="25"/>
      <c r="U41" s="25"/>
      <c r="V41" s="25"/>
      <c r="W41" s="25"/>
      <c r="X41" s="25"/>
      <c r="Y41" s="25"/>
      <c r="Z41" s="25"/>
      <c r="AA41" s="25"/>
      <c r="AB41" s="735">
        <f t="shared" si="1"/>
        <v>9</v>
      </c>
    </row>
    <row r="42" spans="1:28">
      <c r="A42" s="24" t="s">
        <v>142</v>
      </c>
      <c r="B42" s="1155">
        <v>0</v>
      </c>
      <c r="C42" s="1155">
        <v>0</v>
      </c>
      <c r="D42" s="1156">
        <v>0</v>
      </c>
      <c r="E42" s="1155">
        <v>0</v>
      </c>
      <c r="F42" s="25"/>
      <c r="G42" s="25"/>
      <c r="H42" s="25"/>
      <c r="I42" s="25"/>
      <c r="J42" s="25"/>
      <c r="K42" s="25"/>
      <c r="L42" s="25"/>
      <c r="M42" s="25"/>
      <c r="N42" s="1152">
        <f t="shared" si="0"/>
        <v>0</v>
      </c>
      <c r="O42" s="792"/>
      <c r="P42" s="84">
        <v>0</v>
      </c>
      <c r="Q42" s="84">
        <v>0</v>
      </c>
      <c r="R42" s="743">
        <v>0</v>
      </c>
      <c r="S42" s="743">
        <v>0</v>
      </c>
      <c r="T42" s="25"/>
      <c r="U42" s="25"/>
      <c r="V42" s="25"/>
      <c r="W42" s="25"/>
      <c r="X42" s="25"/>
      <c r="Y42" s="25"/>
      <c r="Z42" s="25"/>
      <c r="AA42" s="25"/>
      <c r="AB42" s="735">
        <f t="shared" si="1"/>
        <v>0</v>
      </c>
    </row>
    <row r="43" spans="1:28">
      <c r="A43" s="26" t="s">
        <v>143</v>
      </c>
      <c r="B43" s="1153">
        <v>0</v>
      </c>
      <c r="C43" s="1153">
        <v>0</v>
      </c>
      <c r="D43" s="1154">
        <v>0</v>
      </c>
      <c r="E43" s="1153">
        <v>0</v>
      </c>
      <c r="F43" s="27"/>
      <c r="G43" s="27"/>
      <c r="H43" s="27"/>
      <c r="I43" s="27"/>
      <c r="J43" s="27"/>
      <c r="K43" s="27"/>
      <c r="L43" s="27"/>
      <c r="M43" s="27"/>
      <c r="N43" s="1152">
        <f t="shared" si="0"/>
        <v>0</v>
      </c>
      <c r="O43" s="792"/>
      <c r="P43" s="85">
        <v>0</v>
      </c>
      <c r="Q43" s="85">
        <v>0</v>
      </c>
      <c r="R43" s="744">
        <v>0</v>
      </c>
      <c r="S43" s="744">
        <v>0</v>
      </c>
      <c r="T43" s="27"/>
      <c r="U43" s="27"/>
      <c r="V43" s="27"/>
      <c r="W43" s="27"/>
      <c r="X43" s="27"/>
      <c r="Y43" s="27"/>
      <c r="Z43" s="27"/>
      <c r="AA43" s="27"/>
      <c r="AB43" s="735">
        <f t="shared" si="1"/>
        <v>0</v>
      </c>
    </row>
    <row r="44" spans="1:28">
      <c r="A44" s="26" t="s">
        <v>144</v>
      </c>
      <c r="B44" s="1153">
        <v>0</v>
      </c>
      <c r="C44" s="1153">
        <v>0</v>
      </c>
      <c r="D44" s="1154">
        <v>0</v>
      </c>
      <c r="E44" s="1153">
        <v>0</v>
      </c>
      <c r="F44" s="27"/>
      <c r="G44" s="27"/>
      <c r="H44" s="27"/>
      <c r="I44" s="27"/>
      <c r="J44" s="27"/>
      <c r="K44" s="27"/>
      <c r="L44" s="27"/>
      <c r="M44" s="27"/>
      <c r="N44" s="1152">
        <f t="shared" ref="N44:N49" si="2">SUM(B44:M44)</f>
        <v>0</v>
      </c>
      <c r="O44" s="792"/>
      <c r="P44" s="85">
        <v>0</v>
      </c>
      <c r="Q44" s="85">
        <v>0</v>
      </c>
      <c r="R44" s="744">
        <v>0</v>
      </c>
      <c r="S44" s="744">
        <v>0</v>
      </c>
      <c r="T44" s="27"/>
      <c r="U44" s="27"/>
      <c r="V44" s="27"/>
      <c r="W44" s="27"/>
      <c r="X44" s="27"/>
      <c r="Y44" s="27"/>
      <c r="Z44" s="27"/>
      <c r="AA44" s="27"/>
      <c r="AB44" s="735">
        <f t="shared" si="1"/>
        <v>0</v>
      </c>
    </row>
    <row r="45" spans="1:28">
      <c r="A45" s="26" t="s">
        <v>145</v>
      </c>
      <c r="B45" s="1153">
        <v>0</v>
      </c>
      <c r="C45" s="1153">
        <v>0</v>
      </c>
      <c r="D45" s="1154">
        <v>0</v>
      </c>
      <c r="E45" s="1153">
        <v>0</v>
      </c>
      <c r="F45" s="27"/>
      <c r="G45" s="27"/>
      <c r="H45" s="27"/>
      <c r="I45" s="27"/>
      <c r="J45" s="27"/>
      <c r="K45" s="27"/>
      <c r="L45" s="27"/>
      <c r="M45" s="27"/>
      <c r="N45" s="1152">
        <f t="shared" si="2"/>
        <v>0</v>
      </c>
      <c r="O45" s="792"/>
      <c r="P45" s="85">
        <v>0</v>
      </c>
      <c r="Q45" s="85">
        <v>0</v>
      </c>
      <c r="R45" s="744">
        <v>0</v>
      </c>
      <c r="S45" s="744">
        <v>0</v>
      </c>
      <c r="T45" s="27"/>
      <c r="U45" s="27"/>
      <c r="V45" s="27"/>
      <c r="W45" s="27"/>
      <c r="X45" s="27"/>
      <c r="Y45" s="27"/>
      <c r="Z45" s="27"/>
      <c r="AA45" s="27"/>
      <c r="AB45" s="735">
        <f t="shared" si="1"/>
        <v>0</v>
      </c>
    </row>
    <row r="46" spans="1:28">
      <c r="A46" s="26" t="s">
        <v>146</v>
      </c>
      <c r="B46" s="1153">
        <v>0</v>
      </c>
      <c r="C46" s="1153">
        <v>0</v>
      </c>
      <c r="D46" s="1154">
        <v>0</v>
      </c>
      <c r="E46" s="1153">
        <v>0</v>
      </c>
      <c r="F46" s="27"/>
      <c r="G46" s="27"/>
      <c r="H46" s="27"/>
      <c r="I46" s="27"/>
      <c r="J46" s="27"/>
      <c r="K46" s="27"/>
      <c r="L46" s="27"/>
      <c r="M46" s="27"/>
      <c r="N46" s="1152">
        <f t="shared" si="2"/>
        <v>0</v>
      </c>
      <c r="O46" s="792"/>
      <c r="P46" s="85">
        <v>0</v>
      </c>
      <c r="Q46" s="85">
        <v>0</v>
      </c>
      <c r="R46" s="744">
        <v>0</v>
      </c>
      <c r="S46" s="744">
        <v>0</v>
      </c>
      <c r="T46" s="27"/>
      <c r="U46" s="27"/>
      <c r="V46" s="27"/>
      <c r="W46" s="27"/>
      <c r="X46" s="27"/>
      <c r="Y46" s="27"/>
      <c r="Z46" s="27"/>
      <c r="AA46" s="27"/>
      <c r="AB46" s="735">
        <f t="shared" si="1"/>
        <v>0</v>
      </c>
    </row>
    <row r="47" spans="1:28">
      <c r="A47" s="26" t="s">
        <v>147</v>
      </c>
      <c r="B47" s="1153">
        <v>0</v>
      </c>
      <c r="C47" s="1153">
        <v>0</v>
      </c>
      <c r="D47" s="1154">
        <v>0</v>
      </c>
      <c r="E47" s="1153">
        <v>0</v>
      </c>
      <c r="F47" s="27"/>
      <c r="G47" s="27"/>
      <c r="H47" s="27"/>
      <c r="I47" s="27"/>
      <c r="J47" s="27"/>
      <c r="K47" s="27"/>
      <c r="L47" s="27"/>
      <c r="M47" s="27"/>
      <c r="N47" s="1152">
        <f t="shared" si="2"/>
        <v>0</v>
      </c>
      <c r="O47" s="792"/>
      <c r="P47" s="85">
        <v>0</v>
      </c>
      <c r="Q47" s="85">
        <v>0</v>
      </c>
      <c r="R47" s="744">
        <v>0</v>
      </c>
      <c r="S47" s="744">
        <v>0</v>
      </c>
      <c r="T47" s="27"/>
      <c r="U47" s="27"/>
      <c r="V47" s="27"/>
      <c r="W47" s="27"/>
      <c r="X47" s="27"/>
      <c r="Y47" s="27"/>
      <c r="Z47" s="27"/>
      <c r="AA47" s="27"/>
      <c r="AB47" s="735">
        <f t="shared" si="1"/>
        <v>0</v>
      </c>
    </row>
    <row r="48" spans="1:28">
      <c r="A48" s="26" t="s">
        <v>148</v>
      </c>
      <c r="B48" s="1153">
        <v>0</v>
      </c>
      <c r="C48" s="1153">
        <v>0</v>
      </c>
      <c r="D48" s="1154">
        <v>0</v>
      </c>
      <c r="E48" s="1153">
        <v>0</v>
      </c>
      <c r="F48" s="27"/>
      <c r="G48" s="27"/>
      <c r="H48" s="27"/>
      <c r="I48" s="27"/>
      <c r="J48" s="27"/>
      <c r="K48" s="27"/>
      <c r="L48" s="27"/>
      <c r="M48" s="27"/>
      <c r="N48" s="1152">
        <f t="shared" si="2"/>
        <v>0</v>
      </c>
      <c r="O48" s="792"/>
      <c r="P48" s="85">
        <v>0</v>
      </c>
      <c r="Q48" s="85">
        <v>0</v>
      </c>
      <c r="R48" s="744">
        <v>0</v>
      </c>
      <c r="S48" s="744">
        <v>0</v>
      </c>
      <c r="T48" s="27"/>
      <c r="U48" s="27"/>
      <c r="V48" s="27"/>
      <c r="W48" s="27"/>
      <c r="X48" s="27"/>
      <c r="Y48" s="27"/>
      <c r="Z48" s="27"/>
      <c r="AA48" s="27"/>
      <c r="AB48" s="735">
        <f t="shared" si="1"/>
        <v>0</v>
      </c>
    </row>
    <row r="49" spans="1:28">
      <c r="A49" s="26" t="s">
        <v>149</v>
      </c>
      <c r="B49" s="1153">
        <v>0</v>
      </c>
      <c r="C49" s="1153">
        <v>0</v>
      </c>
      <c r="D49" s="1154">
        <v>0</v>
      </c>
      <c r="E49" s="1153">
        <v>0</v>
      </c>
      <c r="F49" s="27"/>
      <c r="G49" s="27"/>
      <c r="H49" s="27"/>
      <c r="I49" s="27"/>
      <c r="J49" s="27"/>
      <c r="K49" s="27"/>
      <c r="L49" s="27"/>
      <c r="M49" s="27"/>
      <c r="N49" s="1152">
        <f t="shared" si="2"/>
        <v>0</v>
      </c>
      <c r="O49" s="792"/>
      <c r="P49" s="85">
        <v>0</v>
      </c>
      <c r="Q49" s="85">
        <v>0</v>
      </c>
      <c r="R49" s="744">
        <v>0</v>
      </c>
      <c r="S49" s="744">
        <v>0</v>
      </c>
      <c r="T49" s="27"/>
      <c r="U49" s="27"/>
      <c r="V49" s="27"/>
      <c r="W49" s="27"/>
      <c r="X49" s="27"/>
      <c r="Y49" s="27"/>
      <c r="Z49" s="27"/>
      <c r="AA49" s="27"/>
      <c r="AB49" s="735">
        <f t="shared" si="1"/>
        <v>0</v>
      </c>
    </row>
    <row r="50" spans="1:28">
      <c r="A50" s="26" t="s">
        <v>150</v>
      </c>
      <c r="B50" s="1153">
        <v>0</v>
      </c>
      <c r="C50" s="1153">
        <v>0</v>
      </c>
      <c r="D50" s="744">
        <v>1</v>
      </c>
      <c r="E50" s="1154">
        <v>0</v>
      </c>
      <c r="F50" s="27"/>
      <c r="G50" s="27"/>
      <c r="H50" s="27"/>
      <c r="I50" s="27"/>
      <c r="J50" s="27"/>
      <c r="K50" s="27"/>
      <c r="L50" s="27"/>
      <c r="M50" s="27"/>
      <c r="N50" s="35">
        <f t="shared" si="0"/>
        <v>1</v>
      </c>
      <c r="O50" s="792"/>
      <c r="P50" s="85">
        <v>0</v>
      </c>
      <c r="Q50" s="85">
        <v>0</v>
      </c>
      <c r="R50" s="744">
        <v>1</v>
      </c>
      <c r="S50" s="744">
        <v>0</v>
      </c>
      <c r="T50" s="27"/>
      <c r="U50" s="27"/>
      <c r="V50" s="27"/>
      <c r="W50" s="27"/>
      <c r="X50" s="27"/>
      <c r="Y50" s="27"/>
      <c r="Z50" s="27"/>
      <c r="AA50" s="27"/>
      <c r="AB50" s="735">
        <f t="shared" si="1"/>
        <v>1</v>
      </c>
    </row>
    <row r="51" spans="1:28">
      <c r="A51" s="26" t="s">
        <v>151</v>
      </c>
      <c r="B51" s="1153">
        <v>0</v>
      </c>
      <c r="C51" s="85">
        <v>8</v>
      </c>
      <c r="D51" s="744">
        <v>4</v>
      </c>
      <c r="E51" s="1154">
        <v>0</v>
      </c>
      <c r="F51" s="27"/>
      <c r="G51" s="27"/>
      <c r="H51" s="27"/>
      <c r="I51" s="27"/>
      <c r="J51" s="27"/>
      <c r="K51" s="27"/>
      <c r="L51" s="27"/>
      <c r="M51" s="27"/>
      <c r="N51" s="35">
        <f t="shared" si="0"/>
        <v>12</v>
      </c>
      <c r="O51" s="792"/>
      <c r="P51" s="85">
        <v>0</v>
      </c>
      <c r="Q51" s="85">
        <v>8</v>
      </c>
      <c r="R51" s="744">
        <v>4</v>
      </c>
      <c r="S51" s="744">
        <v>0</v>
      </c>
      <c r="T51" s="27"/>
      <c r="U51" s="27"/>
      <c r="V51" s="27"/>
      <c r="W51" s="27"/>
      <c r="X51" s="27"/>
      <c r="Y51" s="27"/>
      <c r="Z51" s="27"/>
      <c r="AA51" s="27"/>
      <c r="AB51" s="735">
        <f t="shared" si="1"/>
        <v>12</v>
      </c>
    </row>
    <row r="52" spans="1:28">
      <c r="A52" s="26" t="s">
        <v>152</v>
      </c>
      <c r="B52" s="1153">
        <v>0</v>
      </c>
      <c r="C52" s="1153">
        <v>0</v>
      </c>
      <c r="D52" s="1154">
        <v>0</v>
      </c>
      <c r="E52" s="1153">
        <v>0</v>
      </c>
      <c r="F52" s="27"/>
      <c r="G52" s="27"/>
      <c r="H52" s="27"/>
      <c r="I52" s="27"/>
      <c r="J52" s="27"/>
      <c r="K52" s="27"/>
      <c r="L52" s="27"/>
      <c r="M52" s="27"/>
      <c r="N52" s="1152">
        <f t="shared" ref="N52:N54" si="3">SUM(B52:M52)</f>
        <v>0</v>
      </c>
      <c r="O52" s="792"/>
      <c r="P52" s="85">
        <v>0</v>
      </c>
      <c r="Q52" s="85">
        <v>0</v>
      </c>
      <c r="R52" s="744">
        <v>0</v>
      </c>
      <c r="S52" s="744">
        <v>0</v>
      </c>
      <c r="T52" s="27"/>
      <c r="U52" s="27"/>
      <c r="V52" s="27"/>
      <c r="W52" s="27"/>
      <c r="X52" s="27"/>
      <c r="Y52" s="27"/>
      <c r="Z52" s="27"/>
      <c r="AA52" s="27"/>
      <c r="AB52" s="735">
        <f t="shared" si="1"/>
        <v>0</v>
      </c>
    </row>
    <row r="53" spans="1:28">
      <c r="A53" s="26" t="s">
        <v>153</v>
      </c>
      <c r="B53" s="1153">
        <v>0</v>
      </c>
      <c r="C53" s="1153">
        <v>0</v>
      </c>
      <c r="D53" s="1154">
        <v>0</v>
      </c>
      <c r="E53" s="1153">
        <v>0</v>
      </c>
      <c r="F53" s="27"/>
      <c r="G53" s="27"/>
      <c r="H53" s="27"/>
      <c r="I53" s="27"/>
      <c r="J53" s="27"/>
      <c r="K53" s="27"/>
      <c r="L53" s="27"/>
      <c r="M53" s="27"/>
      <c r="N53" s="1152">
        <f t="shared" si="3"/>
        <v>0</v>
      </c>
      <c r="O53" s="792"/>
      <c r="P53" s="85">
        <v>0</v>
      </c>
      <c r="Q53" s="85">
        <v>0</v>
      </c>
      <c r="R53" s="744">
        <v>0</v>
      </c>
      <c r="S53" s="744">
        <v>0</v>
      </c>
      <c r="T53" s="27"/>
      <c r="U53" s="27"/>
      <c r="V53" s="27"/>
      <c r="W53" s="27"/>
      <c r="X53" s="27"/>
      <c r="Y53" s="27"/>
      <c r="Z53" s="27"/>
      <c r="AA53" s="27"/>
      <c r="AB53" s="735">
        <f t="shared" si="1"/>
        <v>0</v>
      </c>
    </row>
    <row r="54" spans="1:28">
      <c r="A54" s="26" t="s">
        <v>154</v>
      </c>
      <c r="B54" s="1153">
        <v>0</v>
      </c>
      <c r="C54" s="1153">
        <v>0</v>
      </c>
      <c r="D54" s="1154">
        <v>0</v>
      </c>
      <c r="E54" s="1153">
        <v>0</v>
      </c>
      <c r="F54" s="27"/>
      <c r="G54" s="27"/>
      <c r="H54" s="27"/>
      <c r="I54" s="27"/>
      <c r="J54" s="27"/>
      <c r="K54" s="27"/>
      <c r="L54" s="27"/>
      <c r="M54" s="27"/>
      <c r="N54" s="1152">
        <f t="shared" si="3"/>
        <v>0</v>
      </c>
      <c r="O54" s="792"/>
      <c r="P54" s="85">
        <v>0</v>
      </c>
      <c r="Q54" s="85">
        <v>0</v>
      </c>
      <c r="R54" s="744">
        <v>0</v>
      </c>
      <c r="S54" s="744">
        <v>0</v>
      </c>
      <c r="T54" s="27"/>
      <c r="U54" s="27"/>
      <c r="V54" s="27"/>
      <c r="W54" s="27"/>
      <c r="X54" s="27"/>
      <c r="Y54" s="27"/>
      <c r="Z54" s="27"/>
      <c r="AA54" s="27"/>
      <c r="AB54" s="735">
        <f t="shared" si="1"/>
        <v>0</v>
      </c>
    </row>
    <row r="55" spans="1:28">
      <c r="A55" s="26" t="s">
        <v>155</v>
      </c>
      <c r="B55" s="1154">
        <v>0</v>
      </c>
      <c r="C55" s="1154">
        <v>0</v>
      </c>
      <c r="D55" s="744">
        <v>1</v>
      </c>
      <c r="E55" s="1154">
        <v>0</v>
      </c>
      <c r="F55" s="27"/>
      <c r="G55" s="27"/>
      <c r="H55" s="27"/>
      <c r="I55" s="27"/>
      <c r="J55" s="27"/>
      <c r="K55" s="27"/>
      <c r="L55" s="27"/>
      <c r="M55" s="27"/>
      <c r="N55" s="35">
        <f t="shared" si="0"/>
        <v>1</v>
      </c>
      <c r="O55" s="792"/>
      <c r="P55" s="85">
        <v>0</v>
      </c>
      <c r="Q55" s="85">
        <v>0</v>
      </c>
      <c r="R55" s="744">
        <v>1</v>
      </c>
      <c r="S55" s="744">
        <v>0</v>
      </c>
      <c r="T55" s="27"/>
      <c r="U55" s="27"/>
      <c r="V55" s="27"/>
      <c r="W55" s="27"/>
      <c r="X55" s="27"/>
      <c r="Y55" s="27"/>
      <c r="Z55" s="27"/>
      <c r="AA55" s="27"/>
      <c r="AB55" s="735">
        <f t="shared" si="1"/>
        <v>1</v>
      </c>
    </row>
    <row r="56" spans="1:28">
      <c r="A56" s="26" t="s">
        <v>156</v>
      </c>
      <c r="B56" s="1153">
        <v>0</v>
      </c>
      <c r="C56" s="1153">
        <v>0</v>
      </c>
      <c r="D56" s="1154">
        <v>0</v>
      </c>
      <c r="E56" s="1153">
        <v>0</v>
      </c>
      <c r="F56" s="27"/>
      <c r="G56" s="27"/>
      <c r="H56" s="27"/>
      <c r="I56" s="27"/>
      <c r="J56" s="27"/>
      <c r="K56" s="27"/>
      <c r="L56" s="27"/>
      <c r="M56" s="27"/>
      <c r="N56" s="1152">
        <f t="shared" ref="N56:N61" si="4">SUM(B56:M56)</f>
        <v>0</v>
      </c>
      <c r="O56" s="792"/>
      <c r="P56" s="85">
        <v>0</v>
      </c>
      <c r="Q56" s="85">
        <v>0</v>
      </c>
      <c r="R56" s="744">
        <v>0</v>
      </c>
      <c r="S56" s="744">
        <v>0</v>
      </c>
      <c r="T56" s="27"/>
      <c r="U56" s="27"/>
      <c r="V56" s="27"/>
      <c r="W56" s="27"/>
      <c r="X56" s="27"/>
      <c r="Y56" s="27"/>
      <c r="Z56" s="27"/>
      <c r="AA56" s="27"/>
      <c r="AB56" s="735">
        <f t="shared" si="1"/>
        <v>0</v>
      </c>
    </row>
    <row r="57" spans="1:28">
      <c r="A57" s="26" t="s">
        <v>157</v>
      </c>
      <c r="B57" s="1153">
        <v>0</v>
      </c>
      <c r="C57" s="1153">
        <v>0</v>
      </c>
      <c r="D57" s="1154">
        <v>0</v>
      </c>
      <c r="E57" s="1153">
        <v>0</v>
      </c>
      <c r="F57" s="27"/>
      <c r="G57" s="27"/>
      <c r="H57" s="27"/>
      <c r="I57" s="27"/>
      <c r="J57" s="27"/>
      <c r="K57" s="27"/>
      <c r="L57" s="27"/>
      <c r="M57" s="27"/>
      <c r="N57" s="1152">
        <f t="shared" si="4"/>
        <v>0</v>
      </c>
      <c r="O57" s="792"/>
      <c r="P57" s="85">
        <v>0</v>
      </c>
      <c r="Q57" s="85">
        <v>0</v>
      </c>
      <c r="R57" s="744">
        <v>0</v>
      </c>
      <c r="S57" s="744">
        <v>0</v>
      </c>
      <c r="T57" s="27"/>
      <c r="U57" s="27"/>
      <c r="V57" s="27"/>
      <c r="W57" s="27"/>
      <c r="X57" s="27"/>
      <c r="Y57" s="27"/>
      <c r="Z57" s="27"/>
      <c r="AA57" s="27"/>
      <c r="AB57" s="735">
        <f t="shared" si="1"/>
        <v>0</v>
      </c>
    </row>
    <row r="58" spans="1:28">
      <c r="A58" s="26" t="s">
        <v>158</v>
      </c>
      <c r="B58" s="1153">
        <v>0</v>
      </c>
      <c r="C58" s="1153">
        <v>0</v>
      </c>
      <c r="D58" s="1154">
        <v>0</v>
      </c>
      <c r="E58" s="1153">
        <v>0</v>
      </c>
      <c r="F58" s="27"/>
      <c r="G58" s="27"/>
      <c r="H58" s="27"/>
      <c r="I58" s="27"/>
      <c r="J58" s="27"/>
      <c r="K58" s="27"/>
      <c r="L58" s="27"/>
      <c r="M58" s="27"/>
      <c r="N58" s="1152">
        <f t="shared" si="4"/>
        <v>0</v>
      </c>
      <c r="O58" s="792"/>
      <c r="P58" s="85">
        <v>0</v>
      </c>
      <c r="Q58" s="85">
        <v>0</v>
      </c>
      <c r="R58" s="744">
        <v>0</v>
      </c>
      <c r="S58" s="744">
        <v>0</v>
      </c>
      <c r="T58" s="27"/>
      <c r="U58" s="27"/>
      <c r="V58" s="27"/>
      <c r="W58" s="27"/>
      <c r="X58" s="27"/>
      <c r="Y58" s="27"/>
      <c r="Z58" s="27"/>
      <c r="AA58" s="27"/>
      <c r="AB58" s="735">
        <f t="shared" si="1"/>
        <v>0</v>
      </c>
    </row>
    <row r="59" spans="1:28">
      <c r="A59" s="26" t="s">
        <v>159</v>
      </c>
      <c r="B59" s="1153">
        <v>0</v>
      </c>
      <c r="C59" s="1153">
        <v>0</v>
      </c>
      <c r="D59" s="1154">
        <v>0</v>
      </c>
      <c r="E59" s="1153">
        <v>0</v>
      </c>
      <c r="F59" s="27"/>
      <c r="G59" s="27"/>
      <c r="H59" s="27"/>
      <c r="I59" s="27"/>
      <c r="J59" s="27"/>
      <c r="K59" s="27"/>
      <c r="L59" s="27"/>
      <c r="M59" s="27"/>
      <c r="N59" s="1152">
        <f t="shared" si="4"/>
        <v>0</v>
      </c>
      <c r="O59" s="792"/>
      <c r="P59" s="85">
        <v>0</v>
      </c>
      <c r="Q59" s="85">
        <v>0</v>
      </c>
      <c r="R59" s="744">
        <v>0</v>
      </c>
      <c r="S59" s="744">
        <v>0</v>
      </c>
      <c r="T59" s="27"/>
      <c r="U59" s="27"/>
      <c r="V59" s="27"/>
      <c r="W59" s="27"/>
      <c r="X59" s="27"/>
      <c r="Y59" s="27"/>
      <c r="Z59" s="27"/>
      <c r="AA59" s="27"/>
      <c r="AB59" s="735">
        <f t="shared" si="1"/>
        <v>0</v>
      </c>
    </row>
    <row r="60" spans="1:28">
      <c r="A60" s="26" t="s">
        <v>160</v>
      </c>
      <c r="B60" s="1153">
        <v>0</v>
      </c>
      <c r="C60" s="1153">
        <v>0</v>
      </c>
      <c r="D60" s="1154">
        <v>0</v>
      </c>
      <c r="E60" s="1153">
        <v>0</v>
      </c>
      <c r="F60" s="27"/>
      <c r="G60" s="27"/>
      <c r="H60" s="27"/>
      <c r="I60" s="27"/>
      <c r="J60" s="27"/>
      <c r="K60" s="27"/>
      <c r="L60" s="27"/>
      <c r="M60" s="27"/>
      <c r="N60" s="1152">
        <f t="shared" si="4"/>
        <v>0</v>
      </c>
      <c r="O60" s="792"/>
      <c r="P60" s="85">
        <v>0</v>
      </c>
      <c r="Q60" s="85">
        <v>0</v>
      </c>
      <c r="R60" s="744">
        <v>0</v>
      </c>
      <c r="S60" s="744">
        <v>0</v>
      </c>
      <c r="T60" s="27"/>
      <c r="U60" s="27"/>
      <c r="V60" s="27"/>
      <c r="W60" s="27"/>
      <c r="X60" s="27"/>
      <c r="Y60" s="27"/>
      <c r="Z60" s="27"/>
      <c r="AA60" s="27"/>
      <c r="AB60" s="735">
        <f t="shared" si="1"/>
        <v>0</v>
      </c>
    </row>
    <row r="61" spans="1:28">
      <c r="A61" s="26" t="s">
        <v>161</v>
      </c>
      <c r="B61" s="1153">
        <v>0</v>
      </c>
      <c r="C61" s="1153">
        <v>0</v>
      </c>
      <c r="D61" s="1154">
        <v>0</v>
      </c>
      <c r="E61" s="1153">
        <v>0</v>
      </c>
      <c r="F61" s="27"/>
      <c r="G61" s="27"/>
      <c r="H61" s="27"/>
      <c r="I61" s="27"/>
      <c r="J61" s="27"/>
      <c r="K61" s="27"/>
      <c r="L61" s="27"/>
      <c r="M61" s="27"/>
      <c r="N61" s="1152">
        <f t="shared" si="4"/>
        <v>0</v>
      </c>
      <c r="O61" s="792"/>
      <c r="P61" s="85">
        <v>0</v>
      </c>
      <c r="Q61" s="85">
        <v>0</v>
      </c>
      <c r="R61" s="744">
        <v>0</v>
      </c>
      <c r="S61" s="744">
        <v>0</v>
      </c>
      <c r="T61" s="27"/>
      <c r="U61" s="27"/>
      <c r="V61" s="27"/>
      <c r="W61" s="27"/>
      <c r="X61" s="27"/>
      <c r="Y61" s="27"/>
      <c r="Z61" s="27"/>
      <c r="AA61" s="27"/>
      <c r="AB61" s="735">
        <f t="shared" si="1"/>
        <v>0</v>
      </c>
    </row>
    <row r="62" spans="1:28">
      <c r="A62" s="28" t="s">
        <v>162</v>
      </c>
      <c r="B62" s="751">
        <v>54</v>
      </c>
      <c r="C62" s="751">
        <v>98</v>
      </c>
      <c r="D62" s="752">
        <v>62</v>
      </c>
      <c r="E62" s="751">
        <v>49</v>
      </c>
      <c r="F62" s="753"/>
      <c r="G62" s="753"/>
      <c r="H62" s="753"/>
      <c r="I62" s="753"/>
      <c r="J62" s="753"/>
      <c r="K62" s="753"/>
      <c r="L62" s="753"/>
      <c r="M62" s="753"/>
      <c r="N62" s="754">
        <f t="shared" si="0"/>
        <v>263</v>
      </c>
      <c r="O62" s="792"/>
      <c r="P62" s="751">
        <v>54</v>
      </c>
      <c r="Q62" s="751">
        <v>98</v>
      </c>
      <c r="R62" s="752">
        <v>62</v>
      </c>
      <c r="S62" s="752">
        <v>49</v>
      </c>
      <c r="T62" s="753"/>
      <c r="U62" s="753"/>
      <c r="V62" s="753"/>
      <c r="W62" s="753"/>
      <c r="X62" s="753"/>
      <c r="Y62" s="753"/>
      <c r="Z62" s="753"/>
      <c r="AA62" s="753"/>
      <c r="AB62" s="735">
        <f t="shared" si="1"/>
        <v>263</v>
      </c>
    </row>
    <row r="63" spans="1:28">
      <c r="A63" s="28" t="s">
        <v>163</v>
      </c>
      <c r="B63" s="751">
        <v>2</v>
      </c>
      <c r="C63" s="751">
        <v>0</v>
      </c>
      <c r="D63" s="752">
        <v>0</v>
      </c>
      <c r="E63" s="751">
        <v>0</v>
      </c>
      <c r="F63" s="753"/>
      <c r="G63" s="753"/>
      <c r="H63" s="753"/>
      <c r="I63" s="753"/>
      <c r="J63" s="753"/>
      <c r="K63" s="753"/>
      <c r="L63" s="753"/>
      <c r="M63" s="753"/>
      <c r="N63" s="754">
        <f t="shared" si="0"/>
        <v>2</v>
      </c>
      <c r="O63" s="792"/>
      <c r="P63" s="751">
        <v>2</v>
      </c>
      <c r="Q63" s="751">
        <v>0</v>
      </c>
      <c r="R63" s="752">
        <v>0</v>
      </c>
      <c r="S63" s="752">
        <v>0</v>
      </c>
      <c r="T63" s="753"/>
      <c r="U63" s="753"/>
      <c r="V63" s="753"/>
      <c r="W63" s="753"/>
      <c r="X63" s="753"/>
      <c r="Y63" s="753"/>
      <c r="Z63" s="753"/>
      <c r="AA63" s="753"/>
      <c r="AB63" s="735">
        <f t="shared" si="1"/>
        <v>2</v>
      </c>
    </row>
    <row r="64" spans="1:28">
      <c r="A64" s="28" t="s">
        <v>164</v>
      </c>
      <c r="B64" s="751">
        <v>14</v>
      </c>
      <c r="C64" s="751">
        <v>39</v>
      </c>
      <c r="D64" s="752">
        <v>29</v>
      </c>
      <c r="E64" s="751">
        <v>23</v>
      </c>
      <c r="F64" s="753"/>
      <c r="G64" s="753"/>
      <c r="H64" s="753"/>
      <c r="I64" s="753"/>
      <c r="J64" s="753"/>
      <c r="K64" s="753"/>
      <c r="L64" s="753"/>
      <c r="M64" s="753"/>
      <c r="N64" s="754">
        <f t="shared" si="0"/>
        <v>105</v>
      </c>
      <c r="O64" s="792"/>
      <c r="P64" s="751">
        <v>14</v>
      </c>
      <c r="Q64" s="751">
        <v>39</v>
      </c>
      <c r="R64" s="752">
        <v>29</v>
      </c>
      <c r="S64" s="752">
        <v>23</v>
      </c>
      <c r="T64" s="753"/>
      <c r="U64" s="753"/>
      <c r="V64" s="753"/>
      <c r="W64" s="753"/>
      <c r="X64" s="753"/>
      <c r="Y64" s="753"/>
      <c r="Z64" s="753"/>
      <c r="AA64" s="753"/>
      <c r="AB64" s="735">
        <f t="shared" si="1"/>
        <v>105</v>
      </c>
    </row>
    <row r="65" spans="1:28">
      <c r="A65" s="28" t="s">
        <v>165</v>
      </c>
      <c r="B65" s="751">
        <v>0</v>
      </c>
      <c r="C65" s="751">
        <v>5</v>
      </c>
      <c r="D65" s="752">
        <v>6</v>
      </c>
      <c r="E65" s="751">
        <v>1</v>
      </c>
      <c r="F65" s="753"/>
      <c r="G65" s="753"/>
      <c r="H65" s="753"/>
      <c r="I65" s="753"/>
      <c r="J65" s="753"/>
      <c r="K65" s="753"/>
      <c r="L65" s="753"/>
      <c r="M65" s="753"/>
      <c r="N65" s="754">
        <f t="shared" si="0"/>
        <v>12</v>
      </c>
      <c r="O65" s="792"/>
      <c r="P65" s="751">
        <v>0</v>
      </c>
      <c r="Q65" s="751">
        <v>5</v>
      </c>
      <c r="R65" s="752">
        <v>6</v>
      </c>
      <c r="S65" s="752">
        <v>1</v>
      </c>
      <c r="T65" s="753"/>
      <c r="U65" s="753"/>
      <c r="V65" s="753"/>
      <c r="W65" s="753"/>
      <c r="X65" s="753"/>
      <c r="Y65" s="753"/>
      <c r="Z65" s="753"/>
      <c r="AA65" s="753"/>
      <c r="AB65" s="735">
        <f t="shared" si="1"/>
        <v>12</v>
      </c>
    </row>
    <row r="66" spans="1:28">
      <c r="A66" s="28" t="s">
        <v>166</v>
      </c>
      <c r="B66" s="751">
        <v>5</v>
      </c>
      <c r="C66" s="751">
        <v>12</v>
      </c>
      <c r="D66" s="752">
        <v>14</v>
      </c>
      <c r="E66" s="751">
        <v>8</v>
      </c>
      <c r="F66" s="753"/>
      <c r="G66" s="753"/>
      <c r="H66" s="753"/>
      <c r="I66" s="753"/>
      <c r="J66" s="753"/>
      <c r="K66" s="753"/>
      <c r="L66" s="753"/>
      <c r="M66" s="753"/>
      <c r="N66" s="754">
        <f t="shared" si="0"/>
        <v>39</v>
      </c>
      <c r="O66" s="792"/>
      <c r="P66" s="751">
        <v>5</v>
      </c>
      <c r="Q66" s="751">
        <v>12</v>
      </c>
      <c r="R66" s="752">
        <v>14</v>
      </c>
      <c r="S66" s="752">
        <v>8</v>
      </c>
      <c r="T66" s="753"/>
      <c r="U66" s="753"/>
      <c r="V66" s="753"/>
      <c r="W66" s="753"/>
      <c r="X66" s="753"/>
      <c r="Y66" s="753"/>
      <c r="Z66" s="753"/>
      <c r="AA66" s="753"/>
      <c r="AB66" s="735">
        <f t="shared" si="1"/>
        <v>39</v>
      </c>
    </row>
    <row r="67" spans="1:28">
      <c r="A67" s="28" t="s">
        <v>167</v>
      </c>
      <c r="B67" s="751">
        <v>0</v>
      </c>
      <c r="C67" s="751">
        <v>2</v>
      </c>
      <c r="D67" s="752">
        <v>1</v>
      </c>
      <c r="E67" s="751">
        <v>2</v>
      </c>
      <c r="F67" s="753"/>
      <c r="G67" s="753"/>
      <c r="H67" s="753"/>
      <c r="I67" s="753"/>
      <c r="J67" s="753"/>
      <c r="K67" s="753"/>
      <c r="L67" s="753"/>
      <c r="M67" s="753"/>
      <c r="N67" s="754">
        <f t="shared" si="0"/>
        <v>5</v>
      </c>
      <c r="O67" s="792"/>
      <c r="P67" s="751">
        <v>0</v>
      </c>
      <c r="Q67" s="751">
        <v>2</v>
      </c>
      <c r="R67" s="752">
        <v>1</v>
      </c>
      <c r="S67" s="752">
        <v>2</v>
      </c>
      <c r="T67" s="753"/>
      <c r="U67" s="753"/>
      <c r="V67" s="753"/>
      <c r="W67" s="753"/>
      <c r="X67" s="753"/>
      <c r="Y67" s="753"/>
      <c r="Z67" s="753"/>
      <c r="AA67" s="753"/>
      <c r="AB67" s="735">
        <f t="shared" si="1"/>
        <v>5</v>
      </c>
    </row>
    <row r="68" spans="1:28">
      <c r="A68" s="28" t="s">
        <v>168</v>
      </c>
      <c r="B68" s="751">
        <v>0</v>
      </c>
      <c r="C68" s="751">
        <v>5</v>
      </c>
      <c r="D68" s="752">
        <v>0</v>
      </c>
      <c r="E68" s="751">
        <v>0</v>
      </c>
      <c r="F68" s="753"/>
      <c r="G68" s="753"/>
      <c r="H68" s="753"/>
      <c r="I68" s="753"/>
      <c r="J68" s="753"/>
      <c r="K68" s="753"/>
      <c r="L68" s="753"/>
      <c r="M68" s="753"/>
      <c r="N68" s="754">
        <f t="shared" ref="N68:N85" si="5">SUM(B68:M68)</f>
        <v>5</v>
      </c>
      <c r="O68" s="792"/>
      <c r="P68" s="751">
        <v>0</v>
      </c>
      <c r="Q68" s="751">
        <v>5</v>
      </c>
      <c r="R68" s="752">
        <v>0</v>
      </c>
      <c r="S68" s="752">
        <v>0</v>
      </c>
      <c r="T68" s="753"/>
      <c r="U68" s="753"/>
      <c r="V68" s="753"/>
      <c r="W68" s="753"/>
      <c r="X68" s="753"/>
      <c r="Y68" s="753"/>
      <c r="Z68" s="753"/>
      <c r="AA68" s="753"/>
      <c r="AB68" s="735">
        <f t="shared" ref="AB68:AB85" si="6">SUM(P68:AA68)</f>
        <v>5</v>
      </c>
    </row>
    <row r="69" spans="1:28">
      <c r="A69" s="28" t="s">
        <v>169</v>
      </c>
      <c r="B69" s="751">
        <v>0</v>
      </c>
      <c r="C69" s="751">
        <v>2</v>
      </c>
      <c r="D69" s="752">
        <v>0</v>
      </c>
      <c r="E69" s="751">
        <v>4</v>
      </c>
      <c r="F69" s="753"/>
      <c r="G69" s="753"/>
      <c r="H69" s="753"/>
      <c r="I69" s="753"/>
      <c r="J69" s="753"/>
      <c r="K69" s="753"/>
      <c r="L69" s="753"/>
      <c r="M69" s="753"/>
      <c r="N69" s="754">
        <f t="shared" ref="N69:N73" si="7">SUM(B69:M69)</f>
        <v>6</v>
      </c>
      <c r="O69" s="792"/>
      <c r="P69" s="751">
        <v>0</v>
      </c>
      <c r="Q69" s="751">
        <v>2</v>
      </c>
      <c r="R69" s="752">
        <v>0</v>
      </c>
      <c r="S69" s="752">
        <v>4</v>
      </c>
      <c r="T69" s="753"/>
      <c r="U69" s="753"/>
      <c r="V69" s="753"/>
      <c r="W69" s="753"/>
      <c r="X69" s="753"/>
      <c r="Y69" s="753"/>
      <c r="Z69" s="753"/>
      <c r="AA69" s="753"/>
      <c r="AB69" s="735">
        <f t="shared" si="6"/>
        <v>6</v>
      </c>
    </row>
    <row r="70" spans="1:28">
      <c r="A70" s="28" t="s">
        <v>170</v>
      </c>
      <c r="B70" s="751">
        <v>0</v>
      </c>
      <c r="C70" s="751">
        <v>6</v>
      </c>
      <c r="D70" s="752">
        <v>0</v>
      </c>
      <c r="E70" s="751">
        <v>0</v>
      </c>
      <c r="F70" s="753"/>
      <c r="G70" s="753"/>
      <c r="H70" s="753"/>
      <c r="I70" s="753"/>
      <c r="J70" s="753"/>
      <c r="K70" s="753"/>
      <c r="L70" s="753"/>
      <c r="M70" s="753"/>
      <c r="N70" s="754">
        <f t="shared" si="7"/>
        <v>6</v>
      </c>
      <c r="O70" s="792"/>
      <c r="P70" s="751">
        <v>0</v>
      </c>
      <c r="Q70" s="751">
        <v>6</v>
      </c>
      <c r="R70" s="752">
        <v>0</v>
      </c>
      <c r="S70" s="752">
        <v>0</v>
      </c>
      <c r="T70" s="753"/>
      <c r="U70" s="753"/>
      <c r="V70" s="753"/>
      <c r="W70" s="753"/>
      <c r="X70" s="753"/>
      <c r="Y70" s="753"/>
      <c r="Z70" s="753"/>
      <c r="AA70" s="753"/>
      <c r="AB70" s="735">
        <f t="shared" si="6"/>
        <v>6</v>
      </c>
    </row>
    <row r="71" spans="1:28">
      <c r="A71" s="28" t="s">
        <v>171</v>
      </c>
      <c r="B71" s="751">
        <v>0</v>
      </c>
      <c r="C71" s="751">
        <v>2</v>
      </c>
      <c r="D71" s="752">
        <v>0</v>
      </c>
      <c r="E71" s="751">
        <v>0</v>
      </c>
      <c r="F71" s="753"/>
      <c r="G71" s="753"/>
      <c r="H71" s="753"/>
      <c r="I71" s="753"/>
      <c r="J71" s="753"/>
      <c r="K71" s="753"/>
      <c r="L71" s="753"/>
      <c r="M71" s="753"/>
      <c r="N71" s="754">
        <f t="shared" si="7"/>
        <v>2</v>
      </c>
      <c r="O71" s="792"/>
      <c r="P71" s="751">
        <v>0</v>
      </c>
      <c r="Q71" s="751">
        <v>2</v>
      </c>
      <c r="R71" s="752">
        <v>0</v>
      </c>
      <c r="S71" s="752">
        <v>0</v>
      </c>
      <c r="T71" s="753"/>
      <c r="U71" s="753"/>
      <c r="V71" s="753"/>
      <c r="W71" s="753"/>
      <c r="X71" s="753"/>
      <c r="Y71" s="753"/>
      <c r="Z71" s="753"/>
      <c r="AA71" s="753"/>
      <c r="AB71" s="735">
        <f t="shared" si="6"/>
        <v>2</v>
      </c>
    </row>
    <row r="72" spans="1:28">
      <c r="A72" s="28" t="s">
        <v>172</v>
      </c>
      <c r="B72" s="751">
        <v>0</v>
      </c>
      <c r="C72" s="751">
        <v>1</v>
      </c>
      <c r="D72" s="752">
        <v>0</v>
      </c>
      <c r="E72" s="751">
        <v>0</v>
      </c>
      <c r="F72" s="753"/>
      <c r="G72" s="753"/>
      <c r="H72" s="753"/>
      <c r="I72" s="753"/>
      <c r="J72" s="753"/>
      <c r="K72" s="753"/>
      <c r="L72" s="753"/>
      <c r="M72" s="753"/>
      <c r="N72" s="754">
        <f t="shared" si="7"/>
        <v>1</v>
      </c>
      <c r="O72" s="792"/>
      <c r="P72" s="751">
        <v>0</v>
      </c>
      <c r="Q72" s="751">
        <v>1</v>
      </c>
      <c r="R72" s="752">
        <v>0</v>
      </c>
      <c r="S72" s="752">
        <v>0</v>
      </c>
      <c r="T72" s="753"/>
      <c r="U72" s="753"/>
      <c r="V72" s="753"/>
      <c r="W72" s="753"/>
      <c r="X72" s="753"/>
      <c r="Y72" s="753"/>
      <c r="Z72" s="753"/>
      <c r="AA72" s="753"/>
      <c r="AB72" s="735">
        <f t="shared" si="6"/>
        <v>1</v>
      </c>
    </row>
    <row r="73" spans="1:28">
      <c r="A73" s="28" t="s">
        <v>173</v>
      </c>
      <c r="B73" s="751">
        <v>0</v>
      </c>
      <c r="C73" s="751">
        <v>3</v>
      </c>
      <c r="D73" s="752">
        <v>0</v>
      </c>
      <c r="E73" s="751">
        <v>0</v>
      </c>
      <c r="F73" s="753"/>
      <c r="G73" s="753"/>
      <c r="H73" s="753"/>
      <c r="I73" s="753"/>
      <c r="J73" s="753"/>
      <c r="K73" s="753"/>
      <c r="L73" s="753"/>
      <c r="M73" s="753"/>
      <c r="N73" s="754">
        <f t="shared" si="7"/>
        <v>3</v>
      </c>
      <c r="O73" s="792"/>
      <c r="P73" s="751">
        <v>0</v>
      </c>
      <c r="Q73" s="751">
        <v>3</v>
      </c>
      <c r="R73" s="752">
        <v>0</v>
      </c>
      <c r="S73" s="752">
        <v>0</v>
      </c>
      <c r="T73" s="753"/>
      <c r="U73" s="753"/>
      <c r="V73" s="753"/>
      <c r="W73" s="753"/>
      <c r="X73" s="753"/>
      <c r="Y73" s="753"/>
      <c r="Z73" s="753"/>
      <c r="AA73" s="753"/>
      <c r="AB73" s="735">
        <f t="shared" si="6"/>
        <v>3</v>
      </c>
    </row>
    <row r="74" spans="1:28">
      <c r="A74" s="28" t="s">
        <v>174</v>
      </c>
      <c r="B74" s="751">
        <v>0</v>
      </c>
      <c r="C74" s="751">
        <v>0</v>
      </c>
      <c r="D74" s="752">
        <v>0</v>
      </c>
      <c r="E74" s="751">
        <v>2</v>
      </c>
      <c r="F74" s="753"/>
      <c r="G74" s="753"/>
      <c r="H74" s="753"/>
      <c r="I74" s="753"/>
      <c r="J74" s="753"/>
      <c r="K74" s="753"/>
      <c r="L74" s="753"/>
      <c r="M74" s="753"/>
      <c r="N74" s="754"/>
      <c r="O74" s="792"/>
      <c r="P74" s="751"/>
      <c r="Q74" s="751"/>
      <c r="R74" s="752"/>
      <c r="S74" s="752">
        <v>2</v>
      </c>
      <c r="T74" s="753"/>
      <c r="U74" s="753"/>
      <c r="V74" s="753"/>
      <c r="W74" s="753"/>
      <c r="X74" s="753"/>
      <c r="Y74" s="753"/>
      <c r="Z74" s="753"/>
      <c r="AA74" s="753"/>
      <c r="AB74" s="735"/>
    </row>
    <row r="75" spans="1:28">
      <c r="A75" s="412" t="s">
        <v>175</v>
      </c>
      <c r="B75" s="755">
        <v>0</v>
      </c>
      <c r="C75" s="755">
        <v>0</v>
      </c>
      <c r="D75" s="756">
        <v>24</v>
      </c>
      <c r="E75" s="755">
        <v>33</v>
      </c>
      <c r="F75" s="757"/>
      <c r="G75" s="757"/>
      <c r="H75" s="757"/>
      <c r="I75" s="757"/>
      <c r="J75" s="757"/>
      <c r="K75" s="757"/>
      <c r="L75" s="757"/>
      <c r="M75" s="757"/>
      <c r="N75" s="758">
        <f t="shared" si="5"/>
        <v>57</v>
      </c>
      <c r="O75" s="792"/>
      <c r="P75" s="755">
        <v>0</v>
      </c>
      <c r="Q75" s="755">
        <v>0</v>
      </c>
      <c r="R75" s="756">
        <v>24</v>
      </c>
      <c r="S75" s="756">
        <v>33</v>
      </c>
      <c r="T75" s="757"/>
      <c r="U75" s="757"/>
      <c r="V75" s="757"/>
      <c r="W75" s="757"/>
      <c r="X75" s="757"/>
      <c r="Y75" s="757"/>
      <c r="Z75" s="757"/>
      <c r="AA75" s="757"/>
      <c r="AB75" s="735">
        <f t="shared" si="6"/>
        <v>57</v>
      </c>
    </row>
    <row r="76" spans="1:28">
      <c r="A76" s="412" t="s">
        <v>176</v>
      </c>
      <c r="B76" s="755">
        <v>0</v>
      </c>
      <c r="C76" s="755">
        <v>0</v>
      </c>
      <c r="D76" s="756">
        <v>17</v>
      </c>
      <c r="E76" s="755">
        <v>0</v>
      </c>
      <c r="F76" s="757"/>
      <c r="G76" s="757"/>
      <c r="H76" s="757"/>
      <c r="I76" s="757"/>
      <c r="J76" s="757"/>
      <c r="K76" s="757"/>
      <c r="L76" s="757"/>
      <c r="M76" s="757"/>
      <c r="N76" s="758">
        <f t="shared" si="5"/>
        <v>17</v>
      </c>
      <c r="O76" s="792"/>
      <c r="P76" s="755">
        <v>0</v>
      </c>
      <c r="Q76" s="755">
        <v>0</v>
      </c>
      <c r="R76" s="756">
        <v>17</v>
      </c>
      <c r="S76" s="756">
        <v>0</v>
      </c>
      <c r="T76" s="757"/>
      <c r="U76" s="757"/>
      <c r="V76" s="757"/>
      <c r="W76" s="757"/>
      <c r="X76" s="757"/>
      <c r="Y76" s="757"/>
      <c r="Z76" s="757"/>
      <c r="AA76" s="757"/>
      <c r="AB76" s="735">
        <f t="shared" si="6"/>
        <v>17</v>
      </c>
    </row>
    <row r="77" spans="1:28">
      <c r="A77" s="412" t="s">
        <v>177</v>
      </c>
      <c r="B77" s="755">
        <v>0</v>
      </c>
      <c r="C77" s="755">
        <v>0</v>
      </c>
      <c r="D77" s="756">
        <v>4</v>
      </c>
      <c r="E77" s="755">
        <v>0</v>
      </c>
      <c r="F77" s="757"/>
      <c r="G77" s="757"/>
      <c r="H77" s="757"/>
      <c r="I77" s="757"/>
      <c r="J77" s="757"/>
      <c r="K77" s="757"/>
      <c r="L77" s="757"/>
      <c r="M77" s="757"/>
      <c r="N77" s="758">
        <f t="shared" si="5"/>
        <v>4</v>
      </c>
      <c r="O77" s="792"/>
      <c r="P77" s="755">
        <v>0</v>
      </c>
      <c r="Q77" s="755">
        <v>0</v>
      </c>
      <c r="R77" s="756">
        <v>4</v>
      </c>
      <c r="S77" s="756">
        <v>0</v>
      </c>
      <c r="T77" s="757"/>
      <c r="U77" s="757"/>
      <c r="V77" s="757"/>
      <c r="W77" s="757"/>
      <c r="X77" s="757"/>
      <c r="Y77" s="757"/>
      <c r="Z77" s="757"/>
      <c r="AA77" s="757"/>
      <c r="AB77" s="735">
        <f t="shared" si="6"/>
        <v>4</v>
      </c>
    </row>
    <row r="78" spans="1:28">
      <c r="A78" s="412" t="s">
        <v>178</v>
      </c>
      <c r="B78" s="755">
        <v>0</v>
      </c>
      <c r="C78" s="755">
        <v>0</v>
      </c>
      <c r="D78" s="756">
        <v>1</v>
      </c>
      <c r="E78" s="755">
        <v>0</v>
      </c>
      <c r="F78" s="757"/>
      <c r="G78" s="757"/>
      <c r="H78" s="757"/>
      <c r="I78" s="757"/>
      <c r="J78" s="757"/>
      <c r="K78" s="757"/>
      <c r="L78" s="757"/>
      <c r="M78" s="757"/>
      <c r="N78" s="758">
        <f t="shared" si="5"/>
        <v>1</v>
      </c>
      <c r="O78" s="792"/>
      <c r="P78" s="755">
        <v>0</v>
      </c>
      <c r="Q78" s="755">
        <v>0</v>
      </c>
      <c r="R78" s="756">
        <v>1</v>
      </c>
      <c r="S78" s="756">
        <v>0</v>
      </c>
      <c r="T78" s="757"/>
      <c r="U78" s="757"/>
      <c r="V78" s="757"/>
      <c r="W78" s="757"/>
      <c r="X78" s="757"/>
      <c r="Y78" s="757"/>
      <c r="Z78" s="757"/>
      <c r="AA78" s="757"/>
      <c r="AB78" s="735">
        <f t="shared" si="6"/>
        <v>1</v>
      </c>
    </row>
    <row r="79" spans="1:28">
      <c r="A79" s="412" t="s">
        <v>179</v>
      </c>
      <c r="B79" s="755">
        <v>0</v>
      </c>
      <c r="C79" s="755">
        <v>0</v>
      </c>
      <c r="D79" s="756">
        <v>2</v>
      </c>
      <c r="E79" s="755">
        <v>10</v>
      </c>
      <c r="F79" s="757"/>
      <c r="G79" s="757"/>
      <c r="H79" s="757"/>
      <c r="I79" s="757"/>
      <c r="J79" s="757"/>
      <c r="K79" s="757"/>
      <c r="L79" s="757"/>
      <c r="M79" s="757"/>
      <c r="N79" s="758">
        <f t="shared" si="5"/>
        <v>12</v>
      </c>
      <c r="O79" s="792"/>
      <c r="P79" s="755">
        <v>0</v>
      </c>
      <c r="Q79" s="755">
        <v>0</v>
      </c>
      <c r="R79" s="756">
        <v>2</v>
      </c>
      <c r="S79" s="756">
        <v>10</v>
      </c>
      <c r="T79" s="757"/>
      <c r="U79" s="757"/>
      <c r="V79" s="757"/>
      <c r="W79" s="757"/>
      <c r="X79" s="757"/>
      <c r="Y79" s="757"/>
      <c r="Z79" s="757"/>
      <c r="AA79" s="757"/>
      <c r="AB79" s="735">
        <f t="shared" si="6"/>
        <v>12</v>
      </c>
    </row>
    <row r="80" spans="1:28">
      <c r="A80" s="412" t="s">
        <v>180</v>
      </c>
      <c r="B80" s="755">
        <v>0</v>
      </c>
      <c r="C80" s="755">
        <v>0</v>
      </c>
      <c r="D80" s="756">
        <v>1</v>
      </c>
      <c r="E80" s="755">
        <v>0</v>
      </c>
      <c r="F80" s="757"/>
      <c r="G80" s="757"/>
      <c r="H80" s="757"/>
      <c r="I80" s="757"/>
      <c r="J80" s="757"/>
      <c r="K80" s="757"/>
      <c r="L80" s="757"/>
      <c r="M80" s="757"/>
      <c r="N80" s="799">
        <f t="shared" si="5"/>
        <v>1</v>
      </c>
      <c r="O80" s="792"/>
      <c r="P80" s="755">
        <v>0</v>
      </c>
      <c r="Q80" s="755">
        <v>0</v>
      </c>
      <c r="R80" s="756">
        <v>1</v>
      </c>
      <c r="S80" s="756">
        <v>0</v>
      </c>
      <c r="T80" s="757"/>
      <c r="U80" s="757"/>
      <c r="V80" s="757"/>
      <c r="W80" s="757"/>
      <c r="X80" s="757"/>
      <c r="Y80" s="757"/>
      <c r="Z80" s="757"/>
      <c r="AA80" s="757"/>
      <c r="AB80" s="735">
        <f t="shared" si="6"/>
        <v>1</v>
      </c>
    </row>
    <row r="81" spans="1:28">
      <c r="A81" s="412" t="s">
        <v>181</v>
      </c>
      <c r="B81" s="755">
        <v>0</v>
      </c>
      <c r="C81" s="755">
        <v>0</v>
      </c>
      <c r="D81" s="756">
        <v>1</v>
      </c>
      <c r="E81" s="755">
        <v>0</v>
      </c>
      <c r="F81" s="757"/>
      <c r="G81" s="757"/>
      <c r="H81" s="757"/>
      <c r="I81" s="757"/>
      <c r="J81" s="757"/>
      <c r="K81" s="757"/>
      <c r="L81" s="757"/>
      <c r="M81" s="795"/>
      <c r="N81" s="793"/>
      <c r="O81" s="797"/>
      <c r="P81" s="755">
        <v>0</v>
      </c>
      <c r="Q81" s="755">
        <v>0</v>
      </c>
      <c r="R81" s="756">
        <v>1</v>
      </c>
      <c r="S81" s="756">
        <v>0</v>
      </c>
      <c r="T81" s="757"/>
      <c r="U81" s="757"/>
      <c r="V81" s="757"/>
      <c r="W81" s="757"/>
      <c r="X81" s="757"/>
      <c r="Y81" s="757"/>
      <c r="Z81" s="757"/>
      <c r="AA81" s="757"/>
      <c r="AB81" s="735">
        <f t="shared" si="6"/>
        <v>1</v>
      </c>
    </row>
    <row r="82" spans="1:28">
      <c r="A82" s="412" t="s">
        <v>182</v>
      </c>
      <c r="B82" s="755">
        <v>0</v>
      </c>
      <c r="C82" s="755">
        <v>0</v>
      </c>
      <c r="D82" s="756">
        <v>9</v>
      </c>
      <c r="E82" s="755">
        <v>0</v>
      </c>
      <c r="F82" s="757"/>
      <c r="G82" s="757"/>
      <c r="H82" s="757"/>
      <c r="I82" s="757"/>
      <c r="J82" s="757"/>
      <c r="K82" s="757"/>
      <c r="L82" s="757"/>
      <c r="M82" s="795"/>
      <c r="N82" s="793">
        <f t="shared" si="5"/>
        <v>9</v>
      </c>
      <c r="O82" s="797"/>
      <c r="P82" s="755">
        <v>0</v>
      </c>
      <c r="Q82" s="755">
        <v>0</v>
      </c>
      <c r="R82" s="756">
        <v>9</v>
      </c>
      <c r="S82" s="756">
        <v>0</v>
      </c>
      <c r="T82" s="757"/>
      <c r="U82" s="757"/>
      <c r="V82" s="757"/>
      <c r="W82" s="757"/>
      <c r="X82" s="757"/>
      <c r="Y82" s="757"/>
      <c r="Z82" s="757"/>
      <c r="AA82" s="757"/>
      <c r="AB82" s="735">
        <f t="shared" si="6"/>
        <v>9</v>
      </c>
    </row>
    <row r="83" spans="1:28">
      <c r="A83" s="412" t="s">
        <v>183</v>
      </c>
      <c r="B83" s="755">
        <v>0</v>
      </c>
      <c r="C83" s="755">
        <v>0</v>
      </c>
      <c r="D83" s="756">
        <v>0</v>
      </c>
      <c r="E83" s="755">
        <v>1</v>
      </c>
      <c r="F83" s="757"/>
      <c r="G83" s="757"/>
      <c r="H83" s="757"/>
      <c r="I83" s="757"/>
      <c r="J83" s="757"/>
      <c r="K83" s="757"/>
      <c r="L83" s="757"/>
      <c r="M83" s="795"/>
      <c r="N83" s="793"/>
      <c r="O83" s="797"/>
      <c r="P83" s="755"/>
      <c r="Q83" s="755"/>
      <c r="R83" s="756"/>
      <c r="S83" s="756">
        <v>1</v>
      </c>
      <c r="T83" s="757"/>
      <c r="U83" s="757"/>
      <c r="V83" s="757"/>
      <c r="W83" s="757"/>
      <c r="X83" s="757"/>
      <c r="Y83" s="757"/>
      <c r="Z83" s="757"/>
      <c r="AA83" s="757"/>
      <c r="AB83" s="735"/>
    </row>
    <row r="84" spans="1:28">
      <c r="A84" s="412" t="s">
        <v>184</v>
      </c>
      <c r="B84" s="755">
        <v>0</v>
      </c>
      <c r="C84" s="755">
        <v>0</v>
      </c>
      <c r="D84" s="756">
        <v>0</v>
      </c>
      <c r="E84" s="755">
        <v>1</v>
      </c>
      <c r="F84" s="757"/>
      <c r="G84" s="757"/>
      <c r="H84" s="757"/>
      <c r="I84" s="757"/>
      <c r="J84" s="757"/>
      <c r="K84" s="757"/>
      <c r="L84" s="757"/>
      <c r="M84" s="795"/>
      <c r="N84" s="793"/>
      <c r="O84" s="797"/>
      <c r="P84" s="755"/>
      <c r="Q84" s="755"/>
      <c r="R84" s="756"/>
      <c r="S84" s="756">
        <v>1</v>
      </c>
      <c r="T84" s="757"/>
      <c r="U84" s="757"/>
      <c r="V84" s="757"/>
      <c r="W84" s="757"/>
      <c r="X84" s="757"/>
      <c r="Y84" s="757"/>
      <c r="Z84" s="757"/>
      <c r="AA84" s="757"/>
      <c r="AB84" s="735"/>
    </row>
    <row r="85" spans="1:28">
      <c r="A85" s="468" t="s">
        <v>185</v>
      </c>
      <c r="B85" s="790">
        <v>0</v>
      </c>
      <c r="C85" s="790">
        <v>1</v>
      </c>
      <c r="D85" s="759">
        <v>0</v>
      </c>
      <c r="E85" s="1126">
        <v>0</v>
      </c>
      <c r="F85" s="760"/>
      <c r="G85" s="760"/>
      <c r="H85" s="760"/>
      <c r="I85" s="760"/>
      <c r="J85" s="760"/>
      <c r="K85" s="760"/>
      <c r="L85" s="760"/>
      <c r="M85" s="796"/>
      <c r="N85" s="794">
        <f t="shared" si="5"/>
        <v>1</v>
      </c>
      <c r="O85" s="798"/>
      <c r="P85" s="790">
        <v>0</v>
      </c>
      <c r="Q85" s="790">
        <v>1</v>
      </c>
      <c r="R85" s="760">
        <v>0</v>
      </c>
      <c r="S85" s="759">
        <v>0</v>
      </c>
      <c r="T85" s="760"/>
      <c r="U85" s="760"/>
      <c r="V85" s="760"/>
      <c r="W85" s="760"/>
      <c r="X85" s="760"/>
      <c r="Y85" s="760"/>
      <c r="Z85" s="760"/>
      <c r="AA85" s="760"/>
      <c r="AB85" s="735">
        <f t="shared" si="6"/>
        <v>1</v>
      </c>
    </row>
    <row r="86" spans="1:28">
      <c r="A86" s="28" t="s">
        <v>94</v>
      </c>
      <c r="B86" s="36">
        <f>SUM(B3:B85)</f>
        <v>195</v>
      </c>
      <c r="C86" s="36">
        <f t="shared" ref="C86:I86" si="8">SUM(C3:C85)</f>
        <v>741</v>
      </c>
      <c r="D86" s="735">
        <f t="shared" si="8"/>
        <v>601</v>
      </c>
      <c r="E86" s="36">
        <f t="shared" si="8"/>
        <v>385</v>
      </c>
      <c r="F86" s="36">
        <f t="shared" si="8"/>
        <v>0</v>
      </c>
      <c r="G86" s="36">
        <f t="shared" si="8"/>
        <v>0</v>
      </c>
      <c r="H86" s="36">
        <f t="shared" si="8"/>
        <v>0</v>
      </c>
      <c r="I86" s="36">
        <f t="shared" si="8"/>
        <v>0</v>
      </c>
      <c r="J86" s="36">
        <f>SUM(J3:J85)</f>
        <v>0</v>
      </c>
      <c r="K86" s="1125">
        <f t="shared" ref="K86" si="9">SUM(K3:K85)</f>
        <v>0</v>
      </c>
      <c r="L86" s="36">
        <f t="shared" ref="L86" si="10">SUM(L3:L85)</f>
        <v>0</v>
      </c>
      <c r="M86" s="36">
        <f t="shared" ref="M86:N86" si="11">SUM(M3:M85)</f>
        <v>0</v>
      </c>
      <c r="N86" s="800">
        <f t="shared" si="11"/>
        <v>1917</v>
      </c>
      <c r="O86" s="1007"/>
      <c r="P86" s="36">
        <f>SUM(P3:P85)</f>
        <v>195</v>
      </c>
      <c r="Q86" s="36">
        <f>SUM(Q3:Q85)</f>
        <v>741</v>
      </c>
      <c r="R86" s="36">
        <f t="shared" ref="R86:AA86" si="12">SUM(R3:R85)</f>
        <v>601</v>
      </c>
      <c r="S86" s="735">
        <f t="shared" si="12"/>
        <v>384</v>
      </c>
      <c r="T86" s="36">
        <f t="shared" si="12"/>
        <v>0</v>
      </c>
      <c r="U86" s="36">
        <f t="shared" si="12"/>
        <v>0</v>
      </c>
      <c r="V86" s="36">
        <f t="shared" si="12"/>
        <v>0</v>
      </c>
      <c r="W86" s="36">
        <f t="shared" si="12"/>
        <v>0</v>
      </c>
      <c r="X86" s="36">
        <f t="shared" si="12"/>
        <v>0</v>
      </c>
      <c r="Y86" s="36">
        <f t="shared" si="12"/>
        <v>0</v>
      </c>
      <c r="Z86" s="36">
        <f t="shared" si="12"/>
        <v>0</v>
      </c>
      <c r="AA86" s="36">
        <f t="shared" si="12"/>
        <v>0</v>
      </c>
      <c r="AB86" s="735">
        <f>SUM(P86:AA86)</f>
        <v>1921</v>
      </c>
    </row>
    <row r="87" spans="1:28">
      <c r="A87" s="29"/>
      <c r="B87" s="30"/>
      <c r="C87" s="30"/>
      <c r="D87" s="736"/>
      <c r="E87" s="30"/>
      <c r="F87" s="30"/>
      <c r="G87" s="30"/>
      <c r="H87" s="30"/>
      <c r="I87" s="30"/>
      <c r="J87" s="30"/>
      <c r="K87" s="30"/>
      <c r="L87" s="30"/>
      <c r="M87" s="30"/>
      <c r="N87" s="37"/>
      <c r="O87" s="30"/>
      <c r="P87" s="30"/>
      <c r="Q87" s="30"/>
      <c r="R87" s="30"/>
      <c r="S87" s="736"/>
      <c r="T87" s="30"/>
      <c r="U87" s="30"/>
      <c r="V87" s="30"/>
      <c r="W87" s="30"/>
      <c r="X87" s="30"/>
      <c r="Y87" s="30"/>
      <c r="Z87" s="30"/>
      <c r="AA87" s="30"/>
      <c r="AB87" s="1005"/>
    </row>
    <row r="88" spans="1:28">
      <c r="A88" s="29"/>
      <c r="B88" s="30"/>
      <c r="C88" s="30"/>
      <c r="D88" s="736"/>
      <c r="E88" s="30"/>
      <c r="F88" s="30"/>
      <c r="G88" s="30"/>
      <c r="H88" s="30"/>
      <c r="I88" s="30"/>
      <c r="J88" s="30"/>
      <c r="K88" s="30"/>
      <c r="L88" s="30"/>
      <c r="M88" s="30"/>
      <c r="N88" s="37"/>
      <c r="O88" s="30"/>
      <c r="P88" s="30"/>
      <c r="Q88" s="30"/>
      <c r="R88" s="30"/>
      <c r="S88" s="736"/>
      <c r="T88" s="30"/>
      <c r="U88" s="30"/>
      <c r="V88" s="30"/>
      <c r="W88" s="30"/>
      <c r="X88" s="30"/>
      <c r="Y88" s="30"/>
      <c r="Z88" s="30"/>
      <c r="AA88" s="30"/>
      <c r="AB88" s="1005"/>
    </row>
    <row r="89" spans="1:28">
      <c r="A89" s="29"/>
      <c r="B89" s="30"/>
      <c r="C89" s="30"/>
      <c r="D89" s="736"/>
      <c r="E89" s="30"/>
      <c r="F89" s="30"/>
      <c r="G89" s="30"/>
      <c r="H89" s="30"/>
      <c r="I89" s="30"/>
      <c r="J89" s="30"/>
      <c r="K89" s="30"/>
      <c r="L89" s="30"/>
      <c r="M89" s="30"/>
      <c r="N89" s="37"/>
      <c r="O89" s="30"/>
      <c r="P89" s="30"/>
      <c r="Q89" s="30"/>
      <c r="R89" s="30"/>
      <c r="S89" s="736"/>
      <c r="T89" s="30"/>
      <c r="U89" s="30"/>
      <c r="V89" s="30"/>
      <c r="W89" s="30"/>
      <c r="X89" s="30"/>
      <c r="Y89" s="30"/>
      <c r="Z89" s="30"/>
      <c r="AA89" s="30"/>
      <c r="AB89" s="1005"/>
    </row>
    <row r="90" spans="1:28">
      <c r="A90" s="29"/>
      <c r="B90" s="30"/>
      <c r="C90" s="30"/>
      <c r="D90" s="736"/>
      <c r="E90" s="30"/>
      <c r="F90" s="30"/>
      <c r="G90" s="30"/>
      <c r="H90" s="30"/>
      <c r="I90" s="30"/>
      <c r="J90" s="30"/>
      <c r="K90" s="30"/>
      <c r="L90" s="30"/>
      <c r="M90" s="30"/>
      <c r="N90" s="37"/>
      <c r="O90" s="30"/>
      <c r="P90" s="30"/>
      <c r="Q90" s="30"/>
      <c r="R90" s="30"/>
      <c r="S90" s="736"/>
      <c r="T90" s="30"/>
      <c r="U90" s="30"/>
      <c r="V90" s="30"/>
      <c r="W90" s="30"/>
      <c r="X90" s="30"/>
      <c r="Y90" s="30"/>
      <c r="Z90" s="30"/>
      <c r="AA90" s="30"/>
      <c r="AB90" s="1005"/>
    </row>
    <row r="91" spans="1:28">
      <c r="A91" s="29"/>
      <c r="B91" s="30"/>
      <c r="C91" s="30"/>
      <c r="D91" s="736"/>
      <c r="E91" s="30"/>
      <c r="F91" s="30"/>
      <c r="G91" s="30"/>
      <c r="H91" s="30"/>
      <c r="I91" s="30"/>
      <c r="J91" s="30"/>
      <c r="K91" s="30"/>
      <c r="L91" s="30"/>
      <c r="M91" s="30"/>
      <c r="N91" s="37"/>
      <c r="O91" s="30"/>
      <c r="P91" s="30"/>
      <c r="Q91" s="30"/>
      <c r="R91" s="30"/>
      <c r="S91" s="736"/>
      <c r="T91" s="30"/>
      <c r="U91" s="30"/>
      <c r="V91" s="30"/>
      <c r="W91" s="30"/>
      <c r="X91" s="30"/>
      <c r="Y91" s="30"/>
      <c r="Z91" s="30"/>
      <c r="AA91" s="30"/>
      <c r="AB91" s="1005"/>
    </row>
    <row r="92" spans="1:28">
      <c r="A92" s="29"/>
      <c r="B92" s="30"/>
      <c r="C92" s="30"/>
      <c r="D92" s="736"/>
      <c r="E92" s="30"/>
      <c r="F92" s="30"/>
      <c r="G92" s="30"/>
      <c r="H92" s="30"/>
      <c r="I92" s="30"/>
      <c r="J92" s="30"/>
      <c r="K92" s="30"/>
      <c r="L92" s="30"/>
      <c r="M92" s="30"/>
      <c r="N92" s="37"/>
      <c r="O92" s="30"/>
      <c r="P92" s="30"/>
      <c r="Q92" s="30"/>
      <c r="R92" s="30"/>
      <c r="S92" s="736"/>
      <c r="T92" s="30"/>
      <c r="U92" s="30"/>
      <c r="V92" s="30"/>
      <c r="W92" s="30"/>
      <c r="X92" s="30"/>
      <c r="Y92" s="30"/>
      <c r="Z92" s="30"/>
      <c r="AA92" s="30"/>
      <c r="AB92" s="1005"/>
    </row>
    <row r="93" spans="1:28">
      <c r="A93" s="29"/>
      <c r="B93" s="30"/>
      <c r="C93" s="30"/>
      <c r="D93" s="736"/>
      <c r="E93" s="30"/>
      <c r="F93" s="30"/>
      <c r="G93" s="30"/>
      <c r="H93" s="30"/>
      <c r="I93" s="30"/>
      <c r="J93" s="30"/>
      <c r="K93" s="30"/>
      <c r="L93" s="30"/>
      <c r="M93" s="30"/>
      <c r="N93" s="37"/>
      <c r="O93" s="30"/>
      <c r="P93" s="30"/>
      <c r="Q93" s="30"/>
      <c r="R93" s="30"/>
      <c r="S93" s="736"/>
      <c r="T93" s="30"/>
      <c r="U93" s="30"/>
      <c r="V93" s="30"/>
      <c r="W93" s="30"/>
      <c r="X93" s="30"/>
      <c r="Y93" s="30"/>
      <c r="Z93" s="30"/>
      <c r="AA93" s="30"/>
      <c r="AB93" s="1005"/>
    </row>
    <row r="94" spans="1:28">
      <c r="A94" s="29"/>
      <c r="B94" s="30"/>
      <c r="C94" s="30"/>
      <c r="D94" s="736"/>
      <c r="E94" s="30"/>
      <c r="F94" s="30"/>
      <c r="G94" s="30"/>
      <c r="H94" s="30"/>
      <c r="I94" s="30"/>
      <c r="J94" s="30"/>
      <c r="K94" s="30"/>
      <c r="L94" s="30"/>
      <c r="M94" s="30"/>
      <c r="N94" s="37"/>
      <c r="O94" s="30"/>
      <c r="P94" s="30"/>
      <c r="Q94" s="30"/>
      <c r="R94" s="30"/>
      <c r="S94" s="736"/>
      <c r="T94" s="30"/>
      <c r="U94" s="30"/>
      <c r="V94" s="30"/>
      <c r="W94" s="30"/>
      <c r="X94" s="30"/>
      <c r="Y94" s="30"/>
      <c r="Z94" s="30"/>
      <c r="AA94" s="30"/>
      <c r="AB94" s="1005"/>
    </row>
    <row r="95" spans="1:28">
      <c r="A95" s="29"/>
      <c r="B95" s="30"/>
      <c r="C95" s="30"/>
      <c r="D95" s="736"/>
      <c r="E95" s="30"/>
      <c r="F95" s="30"/>
      <c r="G95" s="30"/>
      <c r="H95" s="30"/>
      <c r="I95" s="30"/>
      <c r="J95" s="30"/>
      <c r="K95" s="30"/>
      <c r="L95" s="30"/>
      <c r="M95" s="30"/>
      <c r="N95" s="37"/>
      <c r="O95" s="30"/>
      <c r="P95" s="30"/>
      <c r="Q95" s="30"/>
      <c r="R95" s="30"/>
      <c r="S95" s="736"/>
      <c r="T95" s="30"/>
      <c r="U95" s="30"/>
      <c r="V95" s="30"/>
      <c r="W95" s="30"/>
      <c r="X95" s="30"/>
      <c r="Y95" s="30"/>
      <c r="Z95" s="30"/>
      <c r="AA95" s="30"/>
      <c r="AB95" s="1005"/>
    </row>
    <row r="96" spans="1:28">
      <c r="A96" s="29"/>
      <c r="B96" s="30"/>
      <c r="C96" s="30"/>
      <c r="D96" s="736"/>
      <c r="E96" s="30"/>
      <c r="F96" s="30"/>
      <c r="G96" s="30"/>
      <c r="H96" s="30"/>
      <c r="I96" s="30"/>
      <c r="J96" s="30"/>
      <c r="K96" s="30"/>
      <c r="L96" s="30"/>
      <c r="M96" s="30"/>
      <c r="N96" s="37"/>
      <c r="O96" s="30"/>
      <c r="P96" s="30"/>
      <c r="Q96" s="30"/>
      <c r="R96" s="30"/>
      <c r="S96" s="736"/>
      <c r="T96" s="30"/>
      <c r="U96" s="30"/>
      <c r="V96" s="30"/>
      <c r="W96" s="30"/>
      <c r="X96" s="30"/>
      <c r="Y96" s="30"/>
      <c r="Z96" s="30"/>
      <c r="AA96" s="30"/>
      <c r="AB96" s="1005"/>
    </row>
    <row r="97" spans="1:28">
      <c r="A97" s="29"/>
      <c r="B97" s="30"/>
      <c r="C97" s="30"/>
      <c r="D97" s="736"/>
      <c r="E97" s="30"/>
      <c r="F97" s="30"/>
      <c r="G97" s="30"/>
      <c r="H97" s="30"/>
      <c r="I97" s="30"/>
      <c r="J97" s="30"/>
      <c r="K97" s="30"/>
      <c r="L97" s="30"/>
      <c r="M97" s="30"/>
      <c r="N97" s="37"/>
      <c r="O97" s="30"/>
      <c r="P97" s="30"/>
      <c r="Q97" s="30"/>
      <c r="R97" s="30"/>
      <c r="S97" s="736"/>
      <c r="T97" s="30"/>
      <c r="U97" s="30"/>
      <c r="V97" s="30"/>
      <c r="W97" s="30"/>
      <c r="X97" s="30"/>
      <c r="Y97" s="30"/>
      <c r="Z97" s="30"/>
      <c r="AA97" s="30"/>
      <c r="AB97" s="1005"/>
    </row>
    <row r="98" spans="1:28">
      <c r="A98" s="29"/>
      <c r="B98" s="30"/>
      <c r="C98" s="30"/>
      <c r="D98" s="736"/>
      <c r="E98" s="30"/>
      <c r="F98" s="30"/>
      <c r="G98" s="30"/>
      <c r="H98" s="30"/>
      <c r="I98" s="30"/>
      <c r="J98" s="30"/>
      <c r="K98" s="30"/>
      <c r="L98" s="30"/>
      <c r="M98" s="30"/>
      <c r="N98" s="37"/>
      <c r="O98" s="30"/>
      <c r="P98" s="30"/>
      <c r="Q98" s="30"/>
      <c r="R98" s="30"/>
      <c r="S98" s="736"/>
      <c r="T98" s="30"/>
      <c r="U98" s="30"/>
      <c r="V98" s="30"/>
      <c r="W98" s="30"/>
      <c r="X98" s="30"/>
      <c r="Y98" s="30"/>
      <c r="Z98" s="30"/>
      <c r="AA98" s="30"/>
      <c r="AB98" s="1005"/>
    </row>
    <row r="99" spans="1:28">
      <c r="A99" s="29"/>
      <c r="B99" s="30"/>
      <c r="C99" s="30"/>
      <c r="D99" s="736"/>
      <c r="E99" s="30"/>
      <c r="F99" s="30"/>
      <c r="G99" s="30"/>
      <c r="H99" s="30"/>
      <c r="I99" s="30"/>
      <c r="J99" s="30"/>
      <c r="K99" s="30"/>
      <c r="L99" s="30"/>
      <c r="M99" s="30"/>
      <c r="N99" s="37"/>
      <c r="O99" s="30"/>
      <c r="P99" s="30"/>
      <c r="Q99" s="30"/>
      <c r="R99" s="30"/>
      <c r="S99" s="736"/>
      <c r="T99" s="30"/>
      <c r="U99" s="30"/>
      <c r="V99" s="30"/>
      <c r="W99" s="30"/>
      <c r="X99" s="30"/>
      <c r="Y99" s="30"/>
      <c r="Z99" s="30"/>
      <c r="AA99" s="30"/>
      <c r="AB99" s="1005"/>
    </row>
    <row r="100" spans="1:28">
      <c r="A100" s="29"/>
      <c r="B100" s="30"/>
      <c r="C100" s="30"/>
      <c r="D100" s="736"/>
      <c r="E100" s="30"/>
      <c r="F100" s="30"/>
      <c r="G100" s="30"/>
      <c r="H100" s="30"/>
      <c r="I100" s="30"/>
      <c r="J100" s="30"/>
      <c r="K100" s="30"/>
      <c r="L100" s="30"/>
      <c r="M100" s="30"/>
      <c r="N100" s="37"/>
      <c r="O100" s="30"/>
      <c r="P100" s="30"/>
      <c r="Q100" s="30"/>
      <c r="R100" s="30"/>
      <c r="S100" s="736"/>
      <c r="T100" s="30"/>
      <c r="U100" s="30"/>
      <c r="V100" s="30"/>
      <c r="W100" s="30"/>
      <c r="X100" s="30"/>
      <c r="Y100" s="30"/>
      <c r="Z100" s="30"/>
      <c r="AA100" s="30"/>
      <c r="AB100" s="1005"/>
    </row>
    <row r="101" spans="1:28">
      <c r="A101" s="29"/>
      <c r="B101" s="30"/>
      <c r="C101" s="30"/>
      <c r="D101" s="736"/>
      <c r="E101" s="30"/>
      <c r="F101" s="30"/>
      <c r="G101" s="30"/>
      <c r="H101" s="30"/>
      <c r="I101" s="30"/>
      <c r="J101" s="30"/>
      <c r="K101" s="30"/>
      <c r="L101" s="30"/>
      <c r="M101" s="30"/>
      <c r="N101" s="37"/>
      <c r="O101" s="30"/>
      <c r="P101" s="30"/>
      <c r="Q101" s="30"/>
      <c r="R101" s="30"/>
      <c r="S101" s="736"/>
      <c r="T101" s="30"/>
      <c r="U101" s="30"/>
      <c r="V101" s="30"/>
      <c r="W101" s="30"/>
      <c r="X101" s="30"/>
      <c r="Y101" s="30"/>
      <c r="Z101" s="30"/>
      <c r="AA101" s="30"/>
      <c r="AB101" s="1005"/>
    </row>
    <row r="102" spans="1:28">
      <c r="A102" s="29"/>
      <c r="B102" s="30"/>
      <c r="C102" s="30"/>
      <c r="D102" s="736"/>
      <c r="E102" s="30"/>
      <c r="F102" s="30"/>
      <c r="G102" s="30"/>
      <c r="H102" s="30"/>
      <c r="I102" s="30"/>
      <c r="J102" s="30"/>
      <c r="K102" s="30"/>
      <c r="L102" s="30"/>
      <c r="M102" s="30"/>
      <c r="N102" s="37"/>
      <c r="O102" s="30"/>
      <c r="P102" s="30"/>
      <c r="Q102" s="30"/>
      <c r="R102" s="30"/>
      <c r="S102" s="736"/>
      <c r="T102" s="30"/>
      <c r="U102" s="30"/>
      <c r="V102" s="30"/>
      <c r="W102" s="30"/>
      <c r="X102" s="30"/>
      <c r="Y102" s="30"/>
      <c r="Z102" s="30"/>
      <c r="AA102" s="30"/>
      <c r="AB102" s="1005"/>
    </row>
    <row r="103" spans="1:28">
      <c r="A103" s="29"/>
      <c r="B103" s="30"/>
      <c r="C103" s="30"/>
      <c r="D103" s="736"/>
      <c r="E103" s="30"/>
      <c r="F103" s="30"/>
      <c r="G103" s="30"/>
      <c r="H103" s="30"/>
      <c r="I103" s="30"/>
      <c r="J103" s="30"/>
      <c r="K103" s="30"/>
      <c r="L103" s="30"/>
      <c r="M103" s="30"/>
      <c r="N103" s="37"/>
      <c r="O103" s="30"/>
      <c r="P103" s="30"/>
      <c r="Q103" s="30"/>
      <c r="R103" s="30"/>
      <c r="S103" s="736"/>
      <c r="T103" s="30"/>
      <c r="U103" s="30"/>
      <c r="V103" s="30"/>
      <c r="W103" s="30"/>
      <c r="X103" s="30"/>
      <c r="Y103" s="30"/>
      <c r="Z103" s="30"/>
      <c r="AA103" s="30"/>
      <c r="AB103" s="1005"/>
    </row>
    <row r="104" spans="1:28">
      <c r="A104" s="29"/>
      <c r="B104" s="30"/>
      <c r="C104" s="30"/>
      <c r="D104" s="736"/>
      <c r="E104" s="30"/>
      <c r="F104" s="30"/>
      <c r="G104" s="30"/>
      <c r="H104" s="30"/>
      <c r="I104" s="30"/>
      <c r="J104" s="30"/>
      <c r="K104" s="30"/>
      <c r="L104" s="30"/>
      <c r="M104" s="30"/>
      <c r="N104" s="37"/>
      <c r="O104" s="30"/>
      <c r="P104" s="30"/>
      <c r="Q104" s="30"/>
      <c r="R104" s="30"/>
      <c r="S104" s="736"/>
      <c r="T104" s="30"/>
      <c r="U104" s="30"/>
      <c r="V104" s="30"/>
      <c r="W104" s="30"/>
      <c r="X104" s="30"/>
      <c r="Y104" s="30"/>
      <c r="Z104" s="30"/>
      <c r="AA104" s="30"/>
      <c r="AB104" s="1005"/>
    </row>
    <row r="105" spans="1:28">
      <c r="A105" s="29"/>
      <c r="B105" s="30"/>
      <c r="C105" s="30"/>
      <c r="D105" s="736"/>
      <c r="E105" s="30"/>
      <c r="F105" s="30"/>
      <c r="G105" s="30"/>
      <c r="H105" s="30"/>
      <c r="I105" s="30"/>
      <c r="J105" s="30"/>
      <c r="K105" s="30"/>
      <c r="L105" s="30"/>
      <c r="M105" s="30"/>
      <c r="N105" s="37"/>
      <c r="O105" s="30"/>
      <c r="P105" s="30"/>
      <c r="Q105" s="30"/>
      <c r="R105" s="30"/>
      <c r="S105" s="736"/>
      <c r="T105" s="30"/>
      <c r="U105" s="30"/>
      <c r="V105" s="30"/>
      <c r="W105" s="30"/>
      <c r="X105" s="30"/>
      <c r="Y105" s="30"/>
      <c r="Z105" s="30"/>
      <c r="AA105" s="30"/>
      <c r="AB105" s="1005"/>
    </row>
    <row r="106" spans="1:28">
      <c r="A106" s="29"/>
      <c r="B106" s="30"/>
      <c r="C106" s="30"/>
      <c r="D106" s="736"/>
      <c r="E106" s="30"/>
      <c r="F106" s="30"/>
      <c r="G106" s="30"/>
      <c r="H106" s="30"/>
      <c r="I106" s="30"/>
      <c r="J106" s="30"/>
      <c r="K106" s="30"/>
      <c r="L106" s="30"/>
      <c r="M106" s="30"/>
      <c r="N106" s="37"/>
      <c r="O106" s="30"/>
      <c r="P106" s="30"/>
      <c r="Q106" s="30"/>
      <c r="R106" s="30"/>
      <c r="S106" s="736"/>
      <c r="T106" s="30"/>
      <c r="U106" s="30"/>
      <c r="V106" s="30"/>
      <c r="W106" s="30"/>
      <c r="X106" s="30"/>
      <c r="Y106" s="30"/>
      <c r="Z106" s="30"/>
      <c r="AA106" s="30"/>
      <c r="AB106" s="1005"/>
    </row>
    <row r="107" spans="1:28">
      <c r="A107" s="29"/>
      <c r="B107" s="30"/>
      <c r="C107" s="30"/>
      <c r="D107" s="736"/>
      <c r="E107" s="30"/>
      <c r="F107" s="30"/>
      <c r="G107" s="30"/>
      <c r="H107" s="30"/>
      <c r="I107" s="30"/>
      <c r="J107" s="30"/>
      <c r="K107" s="30"/>
      <c r="L107" s="30"/>
      <c r="M107" s="30"/>
      <c r="N107" s="37"/>
      <c r="O107" s="30"/>
      <c r="P107" s="30"/>
      <c r="Q107" s="30"/>
      <c r="R107" s="30"/>
      <c r="S107" s="736"/>
      <c r="T107" s="30"/>
      <c r="U107" s="30"/>
      <c r="V107" s="30"/>
      <c r="W107" s="30"/>
      <c r="X107" s="30"/>
      <c r="Y107" s="30"/>
      <c r="Z107" s="30"/>
      <c r="AA107" s="30"/>
      <c r="AB107" s="1005"/>
    </row>
    <row r="108" spans="1:28">
      <c r="A108" s="29"/>
      <c r="B108" s="30"/>
      <c r="C108" s="30"/>
      <c r="D108" s="736"/>
      <c r="E108" s="30"/>
      <c r="F108" s="30"/>
      <c r="G108" s="30"/>
      <c r="H108" s="30"/>
      <c r="I108" s="30"/>
      <c r="J108" s="30"/>
      <c r="K108" s="30"/>
      <c r="L108" s="30"/>
      <c r="M108" s="30"/>
      <c r="N108" s="37"/>
      <c r="O108" s="30"/>
      <c r="P108" s="30"/>
      <c r="Q108" s="30"/>
      <c r="R108" s="30"/>
      <c r="S108" s="736"/>
      <c r="T108" s="30"/>
      <c r="U108" s="30"/>
      <c r="V108" s="30"/>
      <c r="W108" s="30"/>
      <c r="X108" s="30"/>
      <c r="Y108" s="30"/>
      <c r="Z108" s="30"/>
      <c r="AA108" s="30"/>
      <c r="AB108" s="1005"/>
    </row>
    <row r="109" spans="1:28">
      <c r="A109" s="29"/>
      <c r="B109" s="30"/>
      <c r="C109" s="30"/>
      <c r="D109" s="736"/>
      <c r="E109" s="30"/>
      <c r="F109" s="30"/>
      <c r="G109" s="30"/>
      <c r="H109" s="30"/>
      <c r="I109" s="30"/>
      <c r="J109" s="30"/>
      <c r="K109" s="30"/>
      <c r="L109" s="30"/>
      <c r="M109" s="30"/>
      <c r="N109" s="37"/>
      <c r="O109" s="30"/>
      <c r="P109" s="30"/>
      <c r="Q109" s="30"/>
      <c r="R109" s="30"/>
      <c r="S109" s="736"/>
      <c r="T109" s="30"/>
      <c r="U109" s="30"/>
      <c r="V109" s="30"/>
      <c r="W109" s="30"/>
      <c r="X109" s="30"/>
      <c r="Y109" s="30"/>
      <c r="Z109" s="30"/>
      <c r="AA109" s="30"/>
      <c r="AB109" s="1005"/>
    </row>
    <row r="110" spans="1:28">
      <c r="A110" s="29"/>
      <c r="B110" s="30"/>
      <c r="C110" s="30"/>
      <c r="D110" s="736"/>
      <c r="E110" s="30"/>
      <c r="F110" s="30"/>
      <c r="G110" s="30"/>
      <c r="H110" s="30"/>
      <c r="I110" s="30"/>
      <c r="J110" s="30"/>
      <c r="K110" s="30"/>
      <c r="L110" s="30"/>
      <c r="M110" s="30"/>
      <c r="N110" s="37"/>
      <c r="O110" s="30"/>
      <c r="P110" s="30"/>
      <c r="Q110" s="30"/>
      <c r="R110" s="30"/>
      <c r="S110" s="736"/>
      <c r="T110" s="30"/>
      <c r="U110" s="30"/>
      <c r="V110" s="30"/>
      <c r="W110" s="30"/>
      <c r="X110" s="30"/>
      <c r="Y110" s="30"/>
      <c r="Z110" s="30"/>
      <c r="AA110" s="30"/>
      <c r="AB110" s="1005"/>
    </row>
    <row r="111" spans="1:28">
      <c r="A111" s="29"/>
      <c r="B111" s="30"/>
      <c r="C111" s="30"/>
      <c r="D111" s="736"/>
      <c r="E111" s="30"/>
      <c r="F111" s="30"/>
      <c r="G111" s="30"/>
      <c r="H111" s="30"/>
      <c r="I111" s="30"/>
      <c r="J111" s="30"/>
      <c r="K111" s="30"/>
      <c r="L111" s="30"/>
      <c r="M111" s="30"/>
      <c r="N111" s="37"/>
      <c r="O111" s="30"/>
      <c r="P111" s="30"/>
      <c r="Q111" s="30"/>
      <c r="R111" s="30"/>
      <c r="S111" s="736"/>
      <c r="T111" s="30"/>
      <c r="U111" s="30"/>
      <c r="V111" s="30"/>
      <c r="W111" s="30"/>
      <c r="X111" s="30"/>
      <c r="Y111" s="30"/>
      <c r="Z111" s="30"/>
      <c r="AA111" s="30"/>
      <c r="AB111" s="1005"/>
    </row>
    <row r="112" spans="1:28">
      <c r="A112" s="29"/>
      <c r="B112" s="30"/>
      <c r="C112" s="30"/>
      <c r="D112" s="736"/>
      <c r="E112" s="30"/>
      <c r="F112" s="30"/>
      <c r="G112" s="30"/>
      <c r="H112" s="30"/>
      <c r="I112" s="30"/>
      <c r="J112" s="30"/>
      <c r="K112" s="30"/>
      <c r="L112" s="30"/>
      <c r="M112" s="30"/>
      <c r="N112" s="37"/>
      <c r="O112" s="30"/>
      <c r="P112" s="30"/>
      <c r="Q112" s="30"/>
      <c r="R112" s="30"/>
      <c r="S112" s="736"/>
      <c r="T112" s="30"/>
      <c r="U112" s="30"/>
      <c r="V112" s="30"/>
      <c r="W112" s="30"/>
      <c r="X112" s="30"/>
      <c r="Y112" s="30"/>
      <c r="Z112" s="30"/>
      <c r="AA112" s="30"/>
      <c r="AB112" s="1005"/>
    </row>
    <row r="113" spans="1:28">
      <c r="A113" s="29"/>
      <c r="B113" s="30"/>
      <c r="C113" s="30"/>
      <c r="D113" s="736"/>
      <c r="E113" s="30"/>
      <c r="F113" s="30"/>
      <c r="G113" s="30"/>
      <c r="H113" s="30"/>
      <c r="I113" s="30"/>
      <c r="J113" s="30"/>
      <c r="K113" s="30"/>
      <c r="L113" s="30"/>
      <c r="M113" s="30"/>
      <c r="N113" s="37"/>
      <c r="O113" s="30"/>
      <c r="P113" s="30"/>
      <c r="Q113" s="30"/>
      <c r="R113" s="30"/>
      <c r="S113" s="736"/>
      <c r="T113" s="30"/>
      <c r="U113" s="30"/>
      <c r="V113" s="30"/>
      <c r="W113" s="30"/>
      <c r="X113" s="30"/>
      <c r="Y113" s="30"/>
      <c r="Z113" s="30"/>
      <c r="AA113" s="30"/>
      <c r="AB113" s="1005"/>
    </row>
    <row r="114" spans="1:28">
      <c r="A114" s="29"/>
      <c r="B114" s="30"/>
      <c r="C114" s="30"/>
      <c r="D114" s="736"/>
      <c r="E114" s="30"/>
      <c r="F114" s="30"/>
      <c r="G114" s="30"/>
      <c r="H114" s="30"/>
      <c r="I114" s="30"/>
      <c r="J114" s="30"/>
      <c r="K114" s="30"/>
      <c r="L114" s="30"/>
      <c r="M114" s="30"/>
      <c r="N114" s="37"/>
      <c r="O114" s="30"/>
      <c r="P114" s="30"/>
      <c r="Q114" s="30"/>
      <c r="R114" s="30"/>
      <c r="S114" s="736"/>
      <c r="T114" s="30"/>
      <c r="U114" s="30"/>
      <c r="V114" s="30"/>
      <c r="W114" s="30"/>
      <c r="X114" s="30"/>
      <c r="Y114" s="30"/>
      <c r="Z114" s="30"/>
      <c r="AA114" s="30"/>
      <c r="AB114" s="1005"/>
    </row>
    <row r="115" spans="1:28">
      <c r="A115" s="29"/>
      <c r="B115" s="30"/>
      <c r="C115" s="30"/>
      <c r="D115" s="736"/>
      <c r="E115" s="30"/>
      <c r="F115" s="30"/>
      <c r="G115" s="30"/>
      <c r="H115" s="30"/>
      <c r="I115" s="30"/>
      <c r="J115" s="30"/>
      <c r="K115" s="30"/>
      <c r="L115" s="30"/>
      <c r="M115" s="30"/>
      <c r="N115" s="37"/>
      <c r="O115" s="30"/>
      <c r="P115" s="30"/>
      <c r="Q115" s="30"/>
      <c r="R115" s="30"/>
      <c r="S115" s="736"/>
      <c r="T115" s="30"/>
      <c r="U115" s="30"/>
      <c r="V115" s="30"/>
      <c r="W115" s="30"/>
      <c r="X115" s="30"/>
      <c r="Y115" s="30"/>
      <c r="Z115" s="30"/>
      <c r="AA115" s="30"/>
      <c r="AB115" s="1005"/>
    </row>
    <row r="116" spans="1:28">
      <c r="A116" s="29"/>
      <c r="B116" s="30"/>
      <c r="C116" s="30"/>
      <c r="D116" s="736"/>
      <c r="E116" s="30"/>
      <c r="F116" s="30"/>
      <c r="G116" s="30"/>
      <c r="H116" s="30"/>
      <c r="I116" s="30"/>
      <c r="J116" s="30"/>
      <c r="K116" s="30"/>
      <c r="L116" s="30"/>
      <c r="M116" s="30"/>
      <c r="N116" s="37"/>
      <c r="O116" s="30"/>
      <c r="P116" s="30"/>
      <c r="Q116" s="30"/>
      <c r="R116" s="30"/>
      <c r="S116" s="736"/>
      <c r="T116" s="30"/>
      <c r="U116" s="30"/>
      <c r="V116" s="30"/>
      <c r="W116" s="30"/>
      <c r="X116" s="30"/>
      <c r="Y116" s="30"/>
      <c r="Z116" s="30"/>
      <c r="AA116" s="30"/>
      <c r="AB116" s="1005"/>
    </row>
    <row r="117" spans="1:28">
      <c r="A117" s="29"/>
      <c r="B117" s="30"/>
      <c r="C117" s="30"/>
      <c r="D117" s="736"/>
      <c r="E117" s="30"/>
      <c r="F117" s="30"/>
      <c r="G117" s="30"/>
      <c r="H117" s="30"/>
      <c r="I117" s="30"/>
      <c r="J117" s="30"/>
      <c r="K117" s="30"/>
      <c r="L117" s="30"/>
      <c r="M117" s="30"/>
      <c r="N117" s="37"/>
      <c r="O117" s="30"/>
      <c r="P117" s="30"/>
      <c r="Q117" s="30"/>
      <c r="R117" s="30"/>
      <c r="S117" s="736"/>
      <c r="T117" s="30"/>
      <c r="U117" s="30"/>
      <c r="V117" s="30"/>
      <c r="W117" s="30"/>
      <c r="X117" s="30"/>
      <c r="Y117" s="30"/>
      <c r="Z117" s="30"/>
      <c r="AA117" s="30"/>
      <c r="AB117" s="1005"/>
    </row>
    <row r="118" spans="1:28">
      <c r="A118" s="29"/>
      <c r="B118" s="30"/>
      <c r="C118" s="30"/>
      <c r="D118" s="736"/>
      <c r="E118" s="30"/>
      <c r="F118" s="30"/>
      <c r="G118" s="30"/>
      <c r="H118" s="30"/>
      <c r="I118" s="30"/>
      <c r="J118" s="30"/>
      <c r="K118" s="30"/>
      <c r="L118" s="30"/>
      <c r="M118" s="30"/>
      <c r="N118" s="37"/>
      <c r="O118" s="30"/>
      <c r="P118" s="30"/>
      <c r="Q118" s="30"/>
      <c r="R118" s="30"/>
      <c r="S118" s="736"/>
      <c r="T118" s="30"/>
      <c r="U118" s="30"/>
      <c r="V118" s="30"/>
      <c r="W118" s="30"/>
      <c r="X118" s="30"/>
      <c r="Y118" s="30"/>
      <c r="Z118" s="30"/>
      <c r="AA118" s="30"/>
      <c r="AB118" s="1005"/>
    </row>
    <row r="119" spans="1:28">
      <c r="A119" s="29"/>
      <c r="B119" s="30"/>
      <c r="C119" s="30"/>
      <c r="D119" s="736"/>
      <c r="E119" s="30"/>
      <c r="F119" s="30"/>
      <c r="G119" s="30"/>
      <c r="H119" s="30"/>
      <c r="I119" s="30"/>
      <c r="J119" s="30"/>
      <c r="K119" s="30"/>
      <c r="L119" s="30"/>
      <c r="M119" s="30"/>
      <c r="N119" s="37"/>
      <c r="O119" s="30"/>
      <c r="P119" s="30"/>
      <c r="Q119" s="30"/>
      <c r="R119" s="30"/>
      <c r="S119" s="736"/>
      <c r="T119" s="30"/>
      <c r="U119" s="30"/>
      <c r="V119" s="30"/>
      <c r="W119" s="30"/>
      <c r="X119" s="30"/>
      <c r="Y119" s="30"/>
      <c r="Z119" s="30"/>
      <c r="AA119" s="30"/>
      <c r="AB119" s="1005"/>
    </row>
    <row r="120" spans="1:28">
      <c r="A120" s="29"/>
      <c r="B120" s="30"/>
      <c r="C120" s="30"/>
      <c r="D120" s="736"/>
      <c r="E120" s="30"/>
      <c r="F120" s="30"/>
      <c r="G120" s="30"/>
      <c r="H120" s="30"/>
      <c r="I120" s="30"/>
      <c r="J120" s="30"/>
      <c r="K120" s="30"/>
      <c r="L120" s="30"/>
      <c r="M120" s="30"/>
      <c r="N120" s="37"/>
      <c r="O120" s="30"/>
      <c r="P120" s="30"/>
      <c r="Q120" s="30"/>
      <c r="R120" s="30"/>
      <c r="S120" s="736"/>
      <c r="T120" s="30"/>
      <c r="U120" s="30"/>
      <c r="V120" s="30"/>
      <c r="W120" s="30"/>
      <c r="X120" s="30"/>
      <c r="Y120" s="30"/>
      <c r="Z120" s="30"/>
      <c r="AA120" s="30"/>
      <c r="AB120" s="1005"/>
    </row>
    <row r="121" spans="1:28">
      <c r="A121" s="29"/>
      <c r="B121" s="30"/>
      <c r="C121" s="30"/>
      <c r="D121" s="736"/>
      <c r="E121" s="30"/>
      <c r="F121" s="30"/>
      <c r="G121" s="30"/>
      <c r="H121" s="30"/>
      <c r="I121" s="30"/>
      <c r="J121" s="30"/>
      <c r="K121" s="30"/>
      <c r="L121" s="30"/>
      <c r="M121" s="30"/>
      <c r="N121" s="37"/>
      <c r="O121" s="30"/>
      <c r="P121" s="30"/>
      <c r="Q121" s="30"/>
      <c r="R121" s="30"/>
      <c r="S121" s="736"/>
      <c r="T121" s="30"/>
      <c r="U121" s="30"/>
      <c r="V121" s="30"/>
      <c r="W121" s="30"/>
      <c r="X121" s="30"/>
      <c r="Y121" s="30"/>
      <c r="Z121" s="30"/>
      <c r="AA121" s="30"/>
      <c r="AB121" s="1005"/>
    </row>
    <row r="122" spans="1:28">
      <c r="A122" s="29"/>
      <c r="B122" s="30"/>
      <c r="C122" s="30"/>
      <c r="D122" s="736"/>
      <c r="E122" s="30"/>
      <c r="F122" s="30"/>
      <c r="G122" s="30"/>
      <c r="H122" s="30"/>
      <c r="I122" s="30"/>
      <c r="J122" s="30"/>
      <c r="K122" s="30"/>
      <c r="L122" s="30"/>
      <c r="M122" s="30"/>
      <c r="N122" s="37"/>
      <c r="O122" s="30"/>
      <c r="P122" s="30"/>
      <c r="Q122" s="30"/>
      <c r="R122" s="30"/>
      <c r="S122" s="736"/>
      <c r="T122" s="30"/>
      <c r="U122" s="30"/>
      <c r="V122" s="30"/>
      <c r="W122" s="30"/>
      <c r="X122" s="30"/>
      <c r="Y122" s="30"/>
      <c r="Z122" s="30"/>
      <c r="AA122" s="30"/>
      <c r="AB122" s="1005"/>
    </row>
    <row r="123" spans="1:28">
      <c r="A123" s="29"/>
      <c r="B123" s="30"/>
      <c r="C123" s="30"/>
      <c r="D123" s="736"/>
      <c r="E123" s="30"/>
      <c r="F123" s="30"/>
      <c r="G123" s="30"/>
      <c r="H123" s="30"/>
      <c r="I123" s="30"/>
      <c r="J123" s="30"/>
      <c r="K123" s="30"/>
      <c r="L123" s="30"/>
      <c r="M123" s="30"/>
      <c r="N123" s="37"/>
      <c r="O123" s="30"/>
      <c r="P123" s="30"/>
      <c r="Q123" s="30"/>
      <c r="R123" s="30"/>
      <c r="S123" s="736"/>
      <c r="T123" s="30"/>
      <c r="U123" s="30"/>
      <c r="V123" s="30"/>
      <c r="W123" s="30"/>
      <c r="X123" s="30"/>
      <c r="Y123" s="30"/>
      <c r="Z123" s="30"/>
      <c r="AA123" s="30"/>
      <c r="AB123" s="1005"/>
    </row>
    <row r="124" spans="1:28">
      <c r="A124" s="29"/>
      <c r="B124" s="30"/>
      <c r="C124" s="30"/>
      <c r="D124" s="736"/>
      <c r="E124" s="30"/>
      <c r="F124" s="30"/>
      <c r="G124" s="30"/>
      <c r="H124" s="30"/>
      <c r="I124" s="30"/>
      <c r="J124" s="30"/>
      <c r="K124" s="30"/>
      <c r="L124" s="30"/>
      <c r="M124" s="30"/>
      <c r="N124" s="37"/>
      <c r="O124" s="30"/>
      <c r="P124" s="30"/>
      <c r="Q124" s="30"/>
      <c r="R124" s="30"/>
      <c r="S124" s="736"/>
      <c r="T124" s="30"/>
      <c r="U124" s="30"/>
      <c r="V124" s="30"/>
      <c r="W124" s="30"/>
      <c r="X124" s="30"/>
      <c r="Y124" s="30"/>
      <c r="Z124" s="30"/>
      <c r="AA124" s="30"/>
      <c r="AB124" s="1005"/>
    </row>
    <row r="125" spans="1:28">
      <c r="A125" s="29"/>
      <c r="B125" s="30"/>
      <c r="C125" s="30"/>
      <c r="D125" s="736"/>
      <c r="E125" s="30"/>
      <c r="F125" s="30"/>
      <c r="G125" s="30"/>
      <c r="H125" s="30"/>
      <c r="I125" s="30"/>
      <c r="J125" s="30"/>
      <c r="K125" s="30"/>
      <c r="L125" s="30"/>
      <c r="M125" s="30"/>
      <c r="N125" s="37"/>
      <c r="O125" s="30"/>
      <c r="P125" s="30"/>
      <c r="Q125" s="30"/>
      <c r="R125" s="30"/>
      <c r="S125" s="736"/>
      <c r="T125" s="30"/>
      <c r="U125" s="30"/>
      <c r="V125" s="30"/>
      <c r="W125" s="30"/>
      <c r="X125" s="30"/>
      <c r="Y125" s="30"/>
      <c r="Z125" s="30"/>
      <c r="AA125" s="30"/>
      <c r="AB125" s="1005"/>
    </row>
    <row r="126" spans="1:28">
      <c r="A126" s="29"/>
      <c r="B126" s="30"/>
      <c r="C126" s="30"/>
      <c r="D126" s="736"/>
      <c r="E126" s="30"/>
      <c r="F126" s="30"/>
      <c r="G126" s="30"/>
      <c r="H126" s="30"/>
      <c r="I126" s="30"/>
      <c r="J126" s="30"/>
      <c r="K126" s="30"/>
      <c r="L126" s="30"/>
      <c r="M126" s="30"/>
      <c r="N126" s="37"/>
      <c r="O126" s="30"/>
      <c r="P126" s="30"/>
      <c r="Q126" s="30"/>
      <c r="R126" s="30"/>
      <c r="S126" s="736"/>
      <c r="T126" s="30"/>
      <c r="U126" s="30"/>
      <c r="V126" s="30"/>
      <c r="W126" s="30"/>
      <c r="X126" s="30"/>
      <c r="Y126" s="30"/>
      <c r="Z126" s="30"/>
      <c r="AA126" s="30"/>
      <c r="AB126" s="1005"/>
    </row>
    <row r="127" spans="1:28">
      <c r="A127" s="29"/>
      <c r="B127" s="30"/>
      <c r="C127" s="30"/>
      <c r="D127" s="736"/>
      <c r="E127" s="30"/>
      <c r="F127" s="30"/>
      <c r="G127" s="30"/>
      <c r="H127" s="30"/>
      <c r="I127" s="30"/>
      <c r="J127" s="30"/>
      <c r="K127" s="30"/>
      <c r="L127" s="30"/>
      <c r="M127" s="30"/>
      <c r="N127" s="37"/>
      <c r="O127" s="30"/>
      <c r="P127" s="30"/>
      <c r="Q127" s="30"/>
      <c r="R127" s="30"/>
      <c r="S127" s="736"/>
      <c r="T127" s="30"/>
      <c r="U127" s="30"/>
      <c r="V127" s="30"/>
      <c r="W127" s="30"/>
      <c r="X127" s="30"/>
      <c r="Y127" s="30"/>
      <c r="Z127" s="30"/>
      <c r="AA127" s="30"/>
      <c r="AB127" s="1005"/>
    </row>
    <row r="128" spans="1:28">
      <c r="A128" s="29"/>
      <c r="B128" s="30"/>
      <c r="C128" s="30"/>
      <c r="D128" s="736"/>
      <c r="E128" s="30"/>
      <c r="F128" s="30"/>
      <c r="G128" s="30"/>
      <c r="H128" s="30"/>
      <c r="I128" s="30"/>
      <c r="J128" s="30"/>
      <c r="K128" s="30"/>
      <c r="L128" s="30"/>
      <c r="M128" s="30"/>
      <c r="N128" s="37"/>
      <c r="O128" s="30"/>
      <c r="P128" s="30"/>
      <c r="Q128" s="30"/>
      <c r="R128" s="30"/>
      <c r="S128" s="736"/>
      <c r="T128" s="30"/>
      <c r="U128" s="30"/>
      <c r="V128" s="30"/>
      <c r="W128" s="30"/>
      <c r="X128" s="30"/>
      <c r="Y128" s="30"/>
      <c r="Z128" s="30"/>
      <c r="AA128" s="30"/>
      <c r="AB128" s="1005"/>
    </row>
    <row r="129" spans="1:28">
      <c r="A129" s="29"/>
      <c r="B129" s="30"/>
      <c r="C129" s="30"/>
      <c r="D129" s="736"/>
      <c r="E129" s="30"/>
      <c r="F129" s="30"/>
      <c r="G129" s="30"/>
      <c r="H129" s="30"/>
      <c r="I129" s="30"/>
      <c r="J129" s="30"/>
      <c r="K129" s="30"/>
      <c r="L129" s="30"/>
      <c r="M129" s="30"/>
      <c r="N129" s="37"/>
      <c r="O129" s="30"/>
      <c r="P129" s="30"/>
      <c r="Q129" s="30"/>
      <c r="R129" s="30"/>
      <c r="S129" s="736"/>
      <c r="T129" s="30"/>
      <c r="U129" s="30"/>
      <c r="V129" s="30"/>
      <c r="W129" s="30"/>
      <c r="X129" s="30"/>
      <c r="Y129" s="30"/>
      <c r="Z129" s="30"/>
      <c r="AA129" s="30"/>
      <c r="AB129" s="1005"/>
    </row>
    <row r="130" spans="1:28">
      <c r="A130" s="29"/>
      <c r="B130" s="30"/>
      <c r="C130" s="30"/>
      <c r="D130" s="736"/>
      <c r="E130" s="30"/>
      <c r="F130" s="30"/>
      <c r="G130" s="30"/>
      <c r="H130" s="30"/>
      <c r="I130" s="30"/>
      <c r="J130" s="30"/>
      <c r="K130" s="30"/>
      <c r="L130" s="30"/>
      <c r="M130" s="30"/>
      <c r="N130" s="37"/>
      <c r="O130" s="30"/>
      <c r="P130" s="30"/>
      <c r="Q130" s="30"/>
      <c r="R130" s="30"/>
      <c r="S130" s="736"/>
      <c r="T130" s="30"/>
      <c r="U130" s="30"/>
      <c r="V130" s="30"/>
      <c r="W130" s="30"/>
      <c r="X130" s="30"/>
      <c r="Y130" s="30"/>
      <c r="Z130" s="30"/>
      <c r="AA130" s="30"/>
      <c r="AB130" s="1005"/>
    </row>
    <row r="131" spans="1:28">
      <c r="A131" s="29"/>
      <c r="B131" s="30"/>
      <c r="C131" s="30"/>
      <c r="D131" s="736"/>
      <c r="E131" s="30"/>
      <c r="F131" s="30"/>
      <c r="G131" s="30"/>
      <c r="H131" s="30"/>
      <c r="I131" s="30"/>
      <c r="J131" s="30"/>
      <c r="K131" s="30"/>
      <c r="L131" s="30"/>
      <c r="M131" s="30"/>
      <c r="N131" s="37"/>
      <c r="O131" s="30"/>
      <c r="P131" s="30"/>
      <c r="Q131" s="30"/>
      <c r="R131" s="30"/>
      <c r="S131" s="736"/>
      <c r="T131" s="30"/>
      <c r="U131" s="30"/>
      <c r="V131" s="30"/>
      <c r="W131" s="30"/>
      <c r="X131" s="30"/>
      <c r="Y131" s="30"/>
      <c r="Z131" s="30"/>
      <c r="AA131" s="30"/>
      <c r="AB131" s="1005"/>
    </row>
    <row r="132" spans="1:28">
      <c r="A132" s="29"/>
      <c r="B132" s="30"/>
      <c r="C132" s="30"/>
      <c r="D132" s="736"/>
      <c r="E132" s="30"/>
      <c r="F132" s="30"/>
      <c r="G132" s="30"/>
      <c r="H132" s="30"/>
      <c r="I132" s="30"/>
      <c r="J132" s="30"/>
      <c r="K132" s="30"/>
      <c r="L132" s="30"/>
      <c r="M132" s="30"/>
      <c r="N132" s="37"/>
      <c r="O132" s="30"/>
      <c r="P132" s="30"/>
      <c r="Q132" s="30"/>
      <c r="R132" s="30"/>
      <c r="S132" s="736"/>
      <c r="T132" s="30"/>
      <c r="U132" s="30"/>
      <c r="V132" s="30"/>
      <c r="W132" s="30"/>
      <c r="X132" s="30"/>
      <c r="Y132" s="30"/>
      <c r="Z132" s="30"/>
      <c r="AA132" s="30"/>
      <c r="AB132" s="1005"/>
    </row>
    <row r="133" spans="1:28">
      <c r="A133" s="29"/>
      <c r="B133" s="30"/>
      <c r="C133" s="30"/>
      <c r="D133" s="736"/>
      <c r="E133" s="30"/>
      <c r="F133" s="30"/>
      <c r="G133" s="30"/>
      <c r="H133" s="30"/>
      <c r="I133" s="30"/>
      <c r="J133" s="30"/>
      <c r="K133" s="30"/>
      <c r="L133" s="30"/>
      <c r="M133" s="30"/>
      <c r="N133" s="37"/>
      <c r="O133" s="30"/>
      <c r="P133" s="30"/>
      <c r="Q133" s="30"/>
      <c r="R133" s="30"/>
      <c r="S133" s="736"/>
      <c r="T133" s="30"/>
      <c r="U133" s="30"/>
      <c r="V133" s="30"/>
      <c r="W133" s="30"/>
      <c r="X133" s="30"/>
      <c r="Y133" s="30"/>
      <c r="Z133" s="30"/>
      <c r="AA133" s="30"/>
      <c r="AB133" s="1005"/>
    </row>
    <row r="134" spans="1:28">
      <c r="A134" s="29"/>
      <c r="B134" s="30"/>
      <c r="C134" s="30"/>
      <c r="D134" s="736"/>
      <c r="E134" s="30"/>
      <c r="F134" s="30"/>
      <c r="G134" s="30"/>
      <c r="H134" s="30"/>
      <c r="I134" s="30"/>
      <c r="J134" s="30"/>
      <c r="K134" s="30"/>
      <c r="L134" s="30"/>
      <c r="M134" s="30"/>
      <c r="N134" s="37"/>
      <c r="O134" s="30"/>
      <c r="P134" s="30"/>
      <c r="Q134" s="30"/>
      <c r="R134" s="30"/>
      <c r="S134" s="736"/>
      <c r="T134" s="30"/>
      <c r="U134" s="30"/>
      <c r="V134" s="30"/>
      <c r="W134" s="30"/>
      <c r="X134" s="30"/>
      <c r="Y134" s="30"/>
      <c r="Z134" s="30"/>
      <c r="AA134" s="30"/>
      <c r="AB134" s="1005"/>
    </row>
    <row r="135" spans="1:28">
      <c r="A135" s="29"/>
      <c r="B135" s="30"/>
      <c r="C135" s="30"/>
      <c r="D135" s="736"/>
      <c r="E135" s="30"/>
      <c r="F135" s="30"/>
      <c r="G135" s="30"/>
      <c r="H135" s="30"/>
      <c r="I135" s="30"/>
      <c r="J135" s="30"/>
      <c r="K135" s="30"/>
      <c r="L135" s="30"/>
      <c r="M135" s="30"/>
      <c r="N135" s="37"/>
      <c r="O135" s="30"/>
      <c r="P135" s="30"/>
      <c r="Q135" s="30"/>
      <c r="R135" s="30"/>
      <c r="S135" s="736"/>
      <c r="T135" s="30"/>
      <c r="U135" s="30"/>
      <c r="V135" s="30"/>
      <c r="W135" s="30"/>
      <c r="X135" s="30"/>
      <c r="Y135" s="30"/>
      <c r="Z135" s="30"/>
      <c r="AA135" s="30"/>
      <c r="AB135" s="1005"/>
    </row>
    <row r="136" spans="1:28">
      <c r="A136" s="29"/>
      <c r="B136" s="30"/>
      <c r="C136" s="30"/>
      <c r="D136" s="736"/>
      <c r="E136" s="30"/>
      <c r="F136" s="30"/>
      <c r="G136" s="30"/>
      <c r="H136" s="30"/>
      <c r="I136" s="30"/>
      <c r="J136" s="30"/>
      <c r="K136" s="30"/>
      <c r="L136" s="30"/>
      <c r="M136" s="30"/>
      <c r="N136" s="37"/>
      <c r="O136" s="30"/>
      <c r="P136" s="30"/>
      <c r="Q136" s="30"/>
      <c r="R136" s="30"/>
      <c r="S136" s="736"/>
      <c r="T136" s="30"/>
      <c r="U136" s="30"/>
      <c r="V136" s="30"/>
      <c r="W136" s="30"/>
      <c r="X136" s="30"/>
      <c r="Y136" s="30"/>
      <c r="Z136" s="30"/>
      <c r="AA136" s="30"/>
      <c r="AB136" s="1005"/>
    </row>
    <row r="137" spans="1:28">
      <c r="A137" s="29"/>
      <c r="B137" s="30"/>
      <c r="C137" s="30"/>
      <c r="D137" s="736"/>
      <c r="E137" s="30"/>
      <c r="F137" s="30"/>
      <c r="G137" s="30"/>
      <c r="H137" s="30"/>
      <c r="I137" s="30"/>
      <c r="J137" s="30"/>
      <c r="K137" s="30"/>
      <c r="L137" s="30"/>
      <c r="M137" s="30"/>
      <c r="N137" s="37"/>
      <c r="O137" s="30"/>
      <c r="P137" s="30"/>
      <c r="Q137" s="30"/>
      <c r="R137" s="30"/>
      <c r="S137" s="736"/>
      <c r="T137" s="30"/>
      <c r="U137" s="30"/>
      <c r="V137" s="30"/>
      <c r="W137" s="30"/>
      <c r="X137" s="30"/>
      <c r="Y137" s="30"/>
      <c r="Z137" s="30"/>
      <c r="AA137" s="30"/>
      <c r="AB137" s="1005"/>
    </row>
    <row r="138" spans="1:28">
      <c r="A138" s="29"/>
      <c r="B138" s="30"/>
      <c r="C138" s="30"/>
      <c r="D138" s="736"/>
      <c r="E138" s="30"/>
      <c r="F138" s="30"/>
      <c r="G138" s="30"/>
      <c r="H138" s="30"/>
      <c r="I138" s="30"/>
      <c r="J138" s="30"/>
      <c r="K138" s="30"/>
      <c r="L138" s="30"/>
      <c r="M138" s="30"/>
      <c r="N138" s="37"/>
      <c r="O138" s="30"/>
      <c r="P138" s="30"/>
      <c r="Q138" s="30"/>
      <c r="R138" s="30"/>
      <c r="S138" s="736"/>
      <c r="T138" s="30"/>
      <c r="U138" s="30"/>
      <c r="V138" s="30"/>
      <c r="W138" s="30"/>
      <c r="X138" s="30"/>
      <c r="Y138" s="30"/>
      <c r="Z138" s="30"/>
      <c r="AA138" s="30"/>
      <c r="AB138" s="1005"/>
    </row>
    <row r="139" spans="1:28">
      <c r="A139" s="29"/>
      <c r="B139" s="30"/>
      <c r="C139" s="30"/>
      <c r="D139" s="736"/>
      <c r="E139" s="30"/>
      <c r="F139" s="30"/>
      <c r="G139" s="30"/>
      <c r="H139" s="30"/>
      <c r="I139" s="30"/>
      <c r="J139" s="30"/>
      <c r="K139" s="30"/>
      <c r="L139" s="30"/>
      <c r="M139" s="30"/>
      <c r="N139" s="37"/>
      <c r="O139" s="30"/>
      <c r="P139" s="30"/>
      <c r="Q139" s="30"/>
      <c r="R139" s="30"/>
      <c r="S139" s="736"/>
      <c r="T139" s="30"/>
      <c r="U139" s="30"/>
      <c r="V139" s="30"/>
      <c r="W139" s="30"/>
      <c r="X139" s="30"/>
      <c r="Y139" s="30"/>
      <c r="Z139" s="30"/>
      <c r="AA139" s="30"/>
      <c r="AB139" s="1005"/>
    </row>
    <row r="140" spans="1:28">
      <c r="A140" s="29"/>
      <c r="B140" s="30"/>
      <c r="C140" s="30"/>
      <c r="D140" s="736"/>
      <c r="E140" s="30"/>
      <c r="F140" s="30"/>
      <c r="G140" s="30"/>
      <c r="H140" s="30"/>
      <c r="I140" s="30"/>
      <c r="J140" s="30"/>
      <c r="K140" s="30"/>
      <c r="L140" s="30"/>
      <c r="M140" s="30"/>
      <c r="N140" s="37"/>
      <c r="O140" s="30"/>
      <c r="P140" s="30"/>
      <c r="Q140" s="30"/>
      <c r="R140" s="30"/>
      <c r="S140" s="736"/>
      <c r="T140" s="30"/>
      <c r="U140" s="30"/>
      <c r="V140" s="30"/>
      <c r="W140" s="30"/>
      <c r="X140" s="30"/>
      <c r="Y140" s="30"/>
      <c r="Z140" s="30"/>
      <c r="AA140" s="30"/>
      <c r="AB140" s="1005"/>
    </row>
    <row r="141" spans="1:28">
      <c r="A141" s="29"/>
      <c r="B141" s="30"/>
      <c r="C141" s="30"/>
      <c r="D141" s="736"/>
      <c r="E141" s="30"/>
      <c r="F141" s="30"/>
      <c r="G141" s="30"/>
      <c r="H141" s="30"/>
      <c r="I141" s="30"/>
      <c r="J141" s="30"/>
      <c r="K141" s="30"/>
      <c r="L141" s="30"/>
      <c r="M141" s="30"/>
      <c r="N141" s="37"/>
      <c r="O141" s="30"/>
      <c r="P141" s="30"/>
      <c r="Q141" s="30"/>
      <c r="R141" s="30"/>
      <c r="S141" s="736"/>
      <c r="T141" s="30"/>
      <c r="U141" s="30"/>
      <c r="V141" s="30"/>
      <c r="W141" s="30"/>
      <c r="X141" s="30"/>
      <c r="Y141" s="30"/>
      <c r="Z141" s="30"/>
      <c r="AA141" s="30"/>
      <c r="AB141" s="1005"/>
    </row>
    <row r="142" spans="1:28">
      <c r="A142" s="29"/>
      <c r="B142" s="30"/>
      <c r="C142" s="30"/>
      <c r="D142" s="736"/>
      <c r="E142" s="30"/>
      <c r="F142" s="30"/>
      <c r="G142" s="30"/>
      <c r="H142" s="30"/>
      <c r="I142" s="30"/>
      <c r="J142" s="30"/>
      <c r="K142" s="30"/>
      <c r="L142" s="30"/>
      <c r="M142" s="30"/>
      <c r="N142" s="37"/>
      <c r="O142" s="30"/>
      <c r="P142" s="30"/>
      <c r="Q142" s="30"/>
      <c r="R142" s="30"/>
      <c r="S142" s="736"/>
      <c r="T142" s="30"/>
      <c r="U142" s="30"/>
      <c r="V142" s="30"/>
      <c r="W142" s="30"/>
      <c r="X142" s="30"/>
      <c r="Y142" s="30"/>
      <c r="Z142" s="30"/>
      <c r="AA142" s="30"/>
      <c r="AB142" s="1005"/>
    </row>
    <row r="143" spans="1:28">
      <c r="A143" s="29"/>
      <c r="B143" s="30"/>
      <c r="C143" s="30"/>
      <c r="D143" s="736"/>
      <c r="E143" s="30"/>
      <c r="F143" s="30"/>
      <c r="G143" s="30"/>
      <c r="H143" s="30"/>
      <c r="I143" s="30"/>
      <c r="J143" s="30"/>
      <c r="K143" s="30"/>
      <c r="L143" s="30"/>
      <c r="M143" s="30"/>
      <c r="N143" s="37"/>
      <c r="O143" s="30"/>
      <c r="P143" s="30"/>
      <c r="Q143" s="30"/>
      <c r="R143" s="30"/>
      <c r="S143" s="736"/>
      <c r="T143" s="30"/>
      <c r="U143" s="30"/>
      <c r="V143" s="30"/>
      <c r="W143" s="30"/>
      <c r="X143" s="30"/>
      <c r="Y143" s="30"/>
      <c r="Z143" s="30"/>
      <c r="AA143" s="30"/>
      <c r="AB143" s="1005"/>
    </row>
    <row r="144" spans="1:28">
      <c r="A144" s="29"/>
      <c r="B144" s="30"/>
      <c r="C144" s="30"/>
      <c r="D144" s="736"/>
      <c r="E144" s="30"/>
      <c r="F144" s="30"/>
      <c r="G144" s="30"/>
      <c r="H144" s="30"/>
      <c r="I144" s="30"/>
      <c r="J144" s="30"/>
      <c r="K144" s="30"/>
      <c r="L144" s="30"/>
      <c r="M144" s="30"/>
      <c r="N144" s="37"/>
      <c r="O144" s="30"/>
      <c r="P144" s="30"/>
      <c r="Q144" s="30"/>
      <c r="R144" s="30"/>
      <c r="S144" s="736"/>
      <c r="T144" s="30"/>
      <c r="U144" s="30"/>
      <c r="V144" s="30"/>
      <c r="W144" s="30"/>
      <c r="X144" s="30"/>
      <c r="Y144" s="30"/>
      <c r="Z144" s="30"/>
      <c r="AA144" s="30"/>
      <c r="AB144" s="1005"/>
    </row>
    <row r="145" spans="1:28">
      <c r="A145" s="29"/>
      <c r="B145" s="30"/>
      <c r="C145" s="30"/>
      <c r="D145" s="736"/>
      <c r="E145" s="30"/>
      <c r="F145" s="30"/>
      <c r="G145" s="30"/>
      <c r="H145" s="30"/>
      <c r="I145" s="30"/>
      <c r="J145" s="30"/>
      <c r="K145" s="30"/>
      <c r="L145" s="30"/>
      <c r="M145" s="30"/>
      <c r="N145" s="37"/>
      <c r="O145" s="30"/>
      <c r="P145" s="30"/>
      <c r="Q145" s="30"/>
      <c r="R145" s="30"/>
      <c r="S145" s="736"/>
      <c r="T145" s="30"/>
      <c r="U145" s="30"/>
      <c r="V145" s="30"/>
      <c r="W145" s="30"/>
      <c r="X145" s="30"/>
      <c r="Y145" s="30"/>
      <c r="Z145" s="30"/>
      <c r="AA145" s="30"/>
      <c r="AB145" s="1005"/>
    </row>
    <row r="146" spans="1:28">
      <c r="A146" s="29"/>
      <c r="B146" s="30"/>
      <c r="C146" s="30"/>
      <c r="D146" s="736"/>
      <c r="E146" s="30"/>
      <c r="F146" s="30"/>
      <c r="G146" s="30"/>
      <c r="H146" s="30"/>
      <c r="I146" s="30"/>
      <c r="J146" s="30"/>
      <c r="K146" s="30"/>
      <c r="L146" s="30"/>
      <c r="M146" s="30"/>
      <c r="N146" s="37"/>
      <c r="O146" s="30"/>
      <c r="P146" s="30"/>
      <c r="Q146" s="30"/>
      <c r="R146" s="30"/>
      <c r="S146" s="736"/>
      <c r="T146" s="30"/>
      <c r="U146" s="30"/>
      <c r="V146" s="30"/>
      <c r="W146" s="30"/>
      <c r="X146" s="30"/>
      <c r="Y146" s="30"/>
      <c r="Z146" s="30"/>
      <c r="AA146" s="30"/>
      <c r="AB146" s="1005"/>
    </row>
    <row r="147" spans="1:28">
      <c r="A147" s="29"/>
      <c r="B147" s="30"/>
      <c r="C147" s="30"/>
      <c r="D147" s="736"/>
      <c r="E147" s="30"/>
      <c r="F147" s="30"/>
      <c r="G147" s="30"/>
      <c r="H147" s="30"/>
      <c r="I147" s="30"/>
      <c r="J147" s="30"/>
      <c r="K147" s="30"/>
      <c r="L147" s="30"/>
      <c r="M147" s="30"/>
      <c r="N147" s="37"/>
      <c r="O147" s="30"/>
      <c r="P147" s="30"/>
      <c r="Q147" s="30"/>
      <c r="R147" s="30"/>
      <c r="S147" s="736"/>
      <c r="T147" s="30"/>
      <c r="U147" s="30"/>
      <c r="V147" s="30"/>
      <c r="W147" s="30"/>
      <c r="X147" s="30"/>
      <c r="Y147" s="30"/>
      <c r="Z147" s="30"/>
      <c r="AA147" s="30"/>
      <c r="AB147" s="1005"/>
    </row>
    <row r="148" spans="1:28">
      <c r="A148" s="29"/>
      <c r="B148" s="30"/>
      <c r="C148" s="30"/>
      <c r="D148" s="736"/>
      <c r="E148" s="30"/>
      <c r="F148" s="30"/>
      <c r="G148" s="30"/>
      <c r="H148" s="30"/>
      <c r="I148" s="30"/>
      <c r="J148" s="30"/>
      <c r="K148" s="30"/>
      <c r="L148" s="30"/>
      <c r="M148" s="30"/>
      <c r="N148" s="37"/>
      <c r="O148" s="30"/>
      <c r="P148" s="30"/>
      <c r="Q148" s="30"/>
      <c r="R148" s="30"/>
      <c r="S148" s="736"/>
      <c r="T148" s="30"/>
      <c r="U148" s="30"/>
      <c r="V148" s="30"/>
      <c r="W148" s="30"/>
      <c r="X148" s="30"/>
      <c r="Y148" s="30"/>
      <c r="Z148" s="30"/>
      <c r="AA148" s="30"/>
      <c r="AB148" s="1005"/>
    </row>
    <row r="149" spans="1:28">
      <c r="A149" s="29"/>
      <c r="B149" s="30"/>
      <c r="C149" s="30"/>
      <c r="D149" s="736"/>
      <c r="E149" s="30"/>
      <c r="F149" s="30"/>
      <c r="G149" s="30"/>
      <c r="H149" s="30"/>
      <c r="I149" s="30"/>
      <c r="J149" s="30"/>
      <c r="K149" s="30"/>
      <c r="L149" s="30"/>
      <c r="M149" s="30"/>
      <c r="N149" s="37"/>
      <c r="O149" s="30"/>
      <c r="P149" s="30"/>
      <c r="Q149" s="30"/>
      <c r="R149" s="30"/>
      <c r="S149" s="736"/>
      <c r="T149" s="30"/>
      <c r="U149" s="30"/>
      <c r="V149" s="30"/>
      <c r="W149" s="30"/>
      <c r="X149" s="30"/>
      <c r="Y149" s="30"/>
      <c r="Z149" s="30"/>
      <c r="AA149" s="30"/>
      <c r="AB149" s="1005"/>
    </row>
    <row r="150" spans="1:28">
      <c r="A150" s="29"/>
      <c r="B150" s="30"/>
      <c r="C150" s="30"/>
      <c r="D150" s="736"/>
      <c r="E150" s="30"/>
      <c r="F150" s="30"/>
      <c r="G150" s="30"/>
      <c r="H150" s="30"/>
      <c r="I150" s="30"/>
      <c r="J150" s="30"/>
      <c r="K150" s="30"/>
      <c r="L150" s="30"/>
      <c r="M150" s="30"/>
      <c r="N150" s="37"/>
      <c r="O150" s="30"/>
      <c r="P150" s="30"/>
      <c r="Q150" s="30"/>
      <c r="R150" s="30"/>
      <c r="S150" s="736"/>
      <c r="T150" s="30"/>
      <c r="U150" s="30"/>
      <c r="V150" s="30"/>
      <c r="W150" s="30"/>
      <c r="X150" s="30"/>
      <c r="Y150" s="30"/>
      <c r="Z150" s="30"/>
      <c r="AA150" s="30"/>
      <c r="AB150" s="1005"/>
    </row>
    <row r="151" spans="1:28">
      <c r="A151" s="29"/>
      <c r="B151" s="30"/>
      <c r="C151" s="30"/>
      <c r="D151" s="736"/>
      <c r="E151" s="30"/>
      <c r="F151" s="30"/>
      <c r="G151" s="30"/>
      <c r="H151" s="30"/>
      <c r="I151" s="30"/>
      <c r="J151" s="30"/>
      <c r="K151" s="30"/>
      <c r="L151" s="30"/>
      <c r="M151" s="30"/>
      <c r="N151" s="37"/>
      <c r="O151" s="30"/>
      <c r="P151" s="30"/>
      <c r="Q151" s="30"/>
      <c r="R151" s="30"/>
      <c r="S151" s="736"/>
      <c r="T151" s="30"/>
      <c r="U151" s="30"/>
      <c r="V151" s="30"/>
      <c r="W151" s="30"/>
      <c r="X151" s="30"/>
      <c r="Y151" s="30"/>
      <c r="Z151" s="30"/>
      <c r="AA151" s="30"/>
      <c r="AB151" s="1005"/>
    </row>
    <row r="152" spans="1:28">
      <c r="A152" s="29"/>
      <c r="B152" s="30"/>
      <c r="C152" s="30"/>
      <c r="D152" s="736"/>
      <c r="E152" s="30"/>
      <c r="F152" s="30"/>
      <c r="G152" s="30"/>
      <c r="H152" s="30"/>
      <c r="I152" s="30"/>
      <c r="J152" s="30"/>
      <c r="K152" s="30"/>
      <c r="L152" s="30"/>
      <c r="M152" s="30"/>
      <c r="N152" s="37"/>
      <c r="O152" s="30"/>
      <c r="P152" s="30"/>
      <c r="Q152" s="30"/>
      <c r="R152" s="30"/>
      <c r="S152" s="736"/>
      <c r="T152" s="30"/>
      <c r="U152" s="30"/>
      <c r="V152" s="30"/>
      <c r="W152" s="30"/>
      <c r="X152" s="30"/>
      <c r="Y152" s="30"/>
      <c r="Z152" s="30"/>
      <c r="AA152" s="30"/>
      <c r="AB152" s="1005"/>
    </row>
    <row r="153" spans="1:28">
      <c r="A153" s="29"/>
      <c r="B153" s="30"/>
      <c r="C153" s="30"/>
      <c r="D153" s="736"/>
      <c r="E153" s="30"/>
      <c r="F153" s="30"/>
      <c r="G153" s="30"/>
      <c r="H153" s="30"/>
      <c r="I153" s="30"/>
      <c r="J153" s="30"/>
      <c r="K153" s="30"/>
      <c r="L153" s="30"/>
      <c r="M153" s="30"/>
      <c r="N153" s="37"/>
      <c r="O153" s="30"/>
      <c r="P153" s="30"/>
      <c r="Q153" s="30"/>
      <c r="R153" s="30"/>
      <c r="S153" s="736"/>
      <c r="T153" s="30"/>
      <c r="U153" s="30"/>
      <c r="V153" s="30"/>
      <c r="W153" s="30"/>
      <c r="X153" s="30"/>
      <c r="Y153" s="30"/>
      <c r="Z153" s="30"/>
      <c r="AA153" s="30"/>
      <c r="AB153" s="1005"/>
    </row>
    <row r="154" spans="1:28">
      <c r="A154" s="29"/>
      <c r="B154" s="30"/>
      <c r="C154" s="30"/>
      <c r="D154" s="736"/>
      <c r="E154" s="30"/>
      <c r="F154" s="30"/>
      <c r="G154" s="30"/>
      <c r="H154" s="30"/>
      <c r="I154" s="30"/>
      <c r="J154" s="30"/>
      <c r="K154" s="30"/>
      <c r="L154" s="30"/>
      <c r="M154" s="30"/>
      <c r="N154" s="37"/>
      <c r="O154" s="30"/>
      <c r="P154" s="30"/>
      <c r="Q154" s="30"/>
      <c r="R154" s="30"/>
      <c r="S154" s="736"/>
      <c r="T154" s="30"/>
      <c r="U154" s="30"/>
      <c r="V154" s="30"/>
      <c r="W154" s="30"/>
      <c r="X154" s="30"/>
      <c r="Y154" s="30"/>
      <c r="Z154" s="30"/>
      <c r="AA154" s="30"/>
      <c r="AB154" s="1005"/>
    </row>
    <row r="155" spans="1:28">
      <c r="A155" s="29"/>
      <c r="B155" s="30"/>
      <c r="C155" s="30"/>
      <c r="D155" s="736"/>
      <c r="E155" s="30"/>
      <c r="F155" s="30"/>
      <c r="G155" s="30"/>
      <c r="H155" s="30"/>
      <c r="I155" s="30"/>
      <c r="J155" s="30"/>
      <c r="K155" s="30"/>
      <c r="L155" s="30"/>
      <c r="M155" s="30"/>
      <c r="N155" s="37"/>
      <c r="O155" s="30"/>
      <c r="P155" s="30"/>
      <c r="Q155" s="30"/>
      <c r="R155" s="30"/>
      <c r="S155" s="736"/>
      <c r="T155" s="30"/>
      <c r="U155" s="30"/>
      <c r="V155" s="30"/>
      <c r="W155" s="30"/>
      <c r="X155" s="30"/>
      <c r="Y155" s="30"/>
      <c r="Z155" s="30"/>
      <c r="AA155" s="30"/>
      <c r="AB155" s="1005"/>
    </row>
    <row r="156" spans="1:28">
      <c r="A156" s="29"/>
      <c r="B156" s="30"/>
      <c r="C156" s="30"/>
      <c r="D156" s="736"/>
      <c r="E156" s="30"/>
      <c r="F156" s="30"/>
      <c r="G156" s="30"/>
      <c r="H156" s="30"/>
      <c r="I156" s="30"/>
      <c r="J156" s="30"/>
      <c r="K156" s="30"/>
      <c r="L156" s="30"/>
      <c r="M156" s="30"/>
      <c r="N156" s="37"/>
      <c r="O156" s="30"/>
      <c r="P156" s="30"/>
      <c r="Q156" s="30"/>
      <c r="R156" s="30"/>
      <c r="S156" s="736"/>
      <c r="T156" s="30"/>
      <c r="U156" s="30"/>
      <c r="V156" s="30"/>
      <c r="W156" s="30"/>
      <c r="X156" s="30"/>
      <c r="Y156" s="30"/>
      <c r="Z156" s="30"/>
      <c r="AA156" s="30"/>
      <c r="AB156" s="1005"/>
    </row>
    <row r="157" spans="1:28">
      <c r="A157" s="29"/>
      <c r="B157" s="30"/>
      <c r="C157" s="30"/>
      <c r="D157" s="736"/>
      <c r="E157" s="30"/>
      <c r="F157" s="30"/>
      <c r="G157" s="30"/>
      <c r="H157" s="30"/>
      <c r="I157" s="30"/>
      <c r="J157" s="30"/>
      <c r="K157" s="30"/>
      <c r="L157" s="30"/>
      <c r="M157" s="30"/>
      <c r="N157" s="37"/>
      <c r="O157" s="30"/>
      <c r="P157" s="30"/>
      <c r="Q157" s="30"/>
      <c r="R157" s="30"/>
      <c r="S157" s="736"/>
      <c r="T157" s="30"/>
      <c r="U157" s="30"/>
      <c r="V157" s="30"/>
      <c r="W157" s="30"/>
      <c r="X157" s="30"/>
      <c r="Y157" s="30"/>
      <c r="Z157" s="30"/>
      <c r="AA157" s="30"/>
      <c r="AB157" s="1005"/>
    </row>
    <row r="158" spans="1:28">
      <c r="A158" s="29"/>
      <c r="B158" s="30"/>
      <c r="C158" s="30"/>
      <c r="D158" s="736"/>
      <c r="E158" s="30"/>
      <c r="F158" s="30"/>
      <c r="G158" s="30"/>
      <c r="H158" s="30"/>
      <c r="I158" s="30"/>
      <c r="J158" s="30"/>
      <c r="K158" s="30"/>
      <c r="L158" s="30"/>
      <c r="M158" s="30"/>
      <c r="N158" s="37"/>
      <c r="O158" s="30"/>
      <c r="P158" s="30"/>
      <c r="Q158" s="30"/>
      <c r="R158" s="30"/>
      <c r="S158" s="736"/>
      <c r="T158" s="30"/>
      <c r="U158" s="30"/>
      <c r="V158" s="30"/>
      <c r="W158" s="30"/>
      <c r="X158" s="30"/>
      <c r="Y158" s="30"/>
      <c r="Z158" s="30"/>
      <c r="AA158" s="30"/>
      <c r="AB158" s="1005"/>
    </row>
    <row r="159" spans="1:28">
      <c r="A159" s="29"/>
      <c r="B159" s="30"/>
      <c r="C159" s="30"/>
      <c r="D159" s="736"/>
      <c r="E159" s="30"/>
      <c r="F159" s="30"/>
      <c r="G159" s="30"/>
      <c r="H159" s="30"/>
      <c r="I159" s="30"/>
      <c r="J159" s="30"/>
      <c r="K159" s="30"/>
      <c r="L159" s="30"/>
      <c r="M159" s="30"/>
      <c r="N159" s="37"/>
      <c r="O159" s="30"/>
      <c r="P159" s="30"/>
      <c r="Q159" s="30"/>
      <c r="R159" s="30"/>
      <c r="S159" s="736"/>
      <c r="T159" s="30"/>
      <c r="U159" s="30"/>
      <c r="V159" s="30"/>
      <c r="W159" s="30"/>
      <c r="X159" s="30"/>
      <c r="Y159" s="30"/>
      <c r="Z159" s="30"/>
      <c r="AA159" s="30"/>
      <c r="AB159" s="1005"/>
    </row>
    <row r="160" spans="1:28">
      <c r="A160" s="29"/>
      <c r="B160" s="30"/>
      <c r="C160" s="30"/>
      <c r="D160" s="736"/>
      <c r="E160" s="30"/>
      <c r="F160" s="30"/>
      <c r="G160" s="30"/>
      <c r="H160" s="30"/>
      <c r="I160" s="30"/>
      <c r="J160" s="30"/>
      <c r="K160" s="30"/>
      <c r="L160" s="30"/>
      <c r="M160" s="30"/>
      <c r="N160" s="37"/>
      <c r="O160" s="30"/>
      <c r="P160" s="30"/>
      <c r="Q160" s="30"/>
      <c r="R160" s="30"/>
      <c r="S160" s="736"/>
      <c r="T160" s="30"/>
      <c r="U160" s="30"/>
      <c r="V160" s="30"/>
      <c r="W160" s="30"/>
      <c r="X160" s="30"/>
      <c r="Y160" s="30"/>
      <c r="Z160" s="30"/>
      <c r="AA160" s="30"/>
      <c r="AB160" s="1005"/>
    </row>
    <row r="161" spans="1:28">
      <c r="A161" s="29"/>
      <c r="B161" s="30"/>
      <c r="C161" s="30"/>
      <c r="D161" s="736"/>
      <c r="E161" s="30"/>
      <c r="F161" s="30"/>
      <c r="G161" s="30"/>
      <c r="H161" s="30"/>
      <c r="I161" s="30"/>
      <c r="J161" s="30"/>
      <c r="K161" s="30"/>
      <c r="L161" s="30"/>
      <c r="M161" s="30"/>
      <c r="N161" s="37"/>
      <c r="O161" s="30"/>
      <c r="P161" s="30"/>
      <c r="Q161" s="30"/>
      <c r="R161" s="30"/>
      <c r="S161" s="736"/>
      <c r="T161" s="30"/>
      <c r="U161" s="30"/>
      <c r="V161" s="30"/>
      <c r="W161" s="30"/>
      <c r="X161" s="30"/>
      <c r="Y161" s="30"/>
      <c r="Z161" s="30"/>
      <c r="AA161" s="30"/>
      <c r="AB161" s="1005"/>
    </row>
    <row r="162" spans="1:28">
      <c r="A162" s="29"/>
      <c r="B162" s="30"/>
      <c r="C162" s="30"/>
      <c r="D162" s="736"/>
      <c r="E162" s="30"/>
      <c r="F162" s="30"/>
      <c r="G162" s="30"/>
      <c r="H162" s="30"/>
      <c r="I162" s="30"/>
      <c r="J162" s="30"/>
      <c r="K162" s="30"/>
      <c r="L162" s="30"/>
      <c r="M162" s="30"/>
      <c r="N162" s="37"/>
      <c r="O162" s="30"/>
      <c r="P162" s="30"/>
      <c r="Q162" s="30"/>
      <c r="R162" s="30"/>
      <c r="S162" s="736"/>
      <c r="T162" s="30"/>
      <c r="U162" s="30"/>
      <c r="V162" s="30"/>
      <c r="W162" s="30"/>
      <c r="X162" s="30"/>
      <c r="Y162" s="30"/>
      <c r="Z162" s="30"/>
      <c r="AA162" s="30"/>
      <c r="AB162" s="1005"/>
    </row>
    <row r="163" spans="1:28">
      <c r="A163" s="29"/>
      <c r="B163" s="30"/>
      <c r="C163" s="30"/>
      <c r="D163" s="736"/>
      <c r="E163" s="30"/>
      <c r="F163" s="30"/>
      <c r="G163" s="30"/>
      <c r="H163" s="30"/>
      <c r="I163" s="30"/>
      <c r="J163" s="30"/>
      <c r="K163" s="30"/>
      <c r="L163" s="30"/>
      <c r="M163" s="30"/>
      <c r="N163" s="37"/>
      <c r="O163" s="30"/>
      <c r="P163" s="30"/>
      <c r="Q163" s="30"/>
      <c r="R163" s="30"/>
      <c r="S163" s="736"/>
      <c r="T163" s="30"/>
      <c r="U163" s="30"/>
      <c r="V163" s="30"/>
      <c r="W163" s="30"/>
      <c r="X163" s="30"/>
      <c r="Y163" s="30"/>
      <c r="Z163" s="30"/>
      <c r="AA163" s="30"/>
      <c r="AB163" s="1005"/>
    </row>
    <row r="164" spans="1:28">
      <c r="A164" s="29"/>
      <c r="B164" s="30"/>
      <c r="C164" s="30"/>
      <c r="D164" s="736"/>
      <c r="E164" s="30"/>
      <c r="F164" s="30"/>
      <c r="G164" s="30"/>
      <c r="H164" s="30"/>
      <c r="I164" s="30"/>
      <c r="J164" s="30"/>
      <c r="K164" s="30"/>
      <c r="L164" s="30"/>
      <c r="M164" s="30"/>
      <c r="N164" s="37"/>
      <c r="O164" s="30"/>
      <c r="P164" s="30"/>
      <c r="Q164" s="30"/>
      <c r="R164" s="30"/>
      <c r="S164" s="736"/>
      <c r="T164" s="30"/>
      <c r="U164" s="30"/>
      <c r="V164" s="30"/>
      <c r="W164" s="30"/>
      <c r="X164" s="30"/>
      <c r="Y164" s="30"/>
      <c r="Z164" s="30"/>
      <c r="AA164" s="30"/>
      <c r="AB164" s="1005"/>
    </row>
    <row r="165" spans="1:28">
      <c r="A165" s="29"/>
      <c r="B165" s="30"/>
      <c r="C165" s="30"/>
      <c r="D165" s="736"/>
      <c r="E165" s="30"/>
      <c r="F165" s="30"/>
      <c r="G165" s="30"/>
      <c r="H165" s="30"/>
      <c r="I165" s="30"/>
      <c r="J165" s="30"/>
      <c r="K165" s="30"/>
      <c r="L165" s="30"/>
      <c r="M165" s="30"/>
      <c r="N165" s="37"/>
      <c r="O165" s="30"/>
      <c r="P165" s="30"/>
      <c r="Q165" s="30"/>
      <c r="R165" s="30"/>
      <c r="S165" s="736"/>
      <c r="T165" s="30"/>
      <c r="U165" s="30"/>
      <c r="V165" s="30"/>
      <c r="W165" s="30"/>
      <c r="X165" s="30"/>
      <c r="Y165" s="30"/>
      <c r="Z165" s="30"/>
      <c r="AA165" s="30"/>
      <c r="AB165" s="1005"/>
    </row>
    <row r="166" spans="1:28">
      <c r="A166" s="29"/>
      <c r="B166" s="30"/>
      <c r="C166" s="30"/>
      <c r="D166" s="736"/>
      <c r="E166" s="30"/>
      <c r="F166" s="30"/>
      <c r="G166" s="30"/>
      <c r="H166" s="30"/>
      <c r="I166" s="30"/>
      <c r="J166" s="30"/>
      <c r="K166" s="30"/>
      <c r="L166" s="30"/>
      <c r="M166" s="30"/>
      <c r="N166" s="37"/>
      <c r="O166" s="30"/>
      <c r="P166" s="30"/>
      <c r="Q166" s="30"/>
      <c r="R166" s="30"/>
      <c r="S166" s="736"/>
      <c r="T166" s="30"/>
      <c r="U166" s="30"/>
      <c r="V166" s="30"/>
      <c r="W166" s="30"/>
      <c r="X166" s="30"/>
      <c r="Y166" s="30"/>
      <c r="Z166" s="30"/>
      <c r="AA166" s="30"/>
      <c r="AB166" s="1005"/>
    </row>
    <row r="167" spans="1:28">
      <c r="A167" s="29"/>
      <c r="B167" s="30"/>
      <c r="C167" s="30"/>
      <c r="D167" s="736"/>
      <c r="E167" s="30"/>
      <c r="F167" s="30"/>
      <c r="G167" s="30"/>
      <c r="H167" s="30"/>
      <c r="I167" s="30"/>
      <c r="J167" s="30"/>
      <c r="K167" s="30"/>
      <c r="L167" s="30"/>
      <c r="M167" s="30"/>
      <c r="N167" s="37"/>
      <c r="O167" s="30"/>
      <c r="P167" s="30"/>
      <c r="Q167" s="30"/>
      <c r="R167" s="30"/>
      <c r="S167" s="736"/>
      <c r="T167" s="30"/>
      <c r="U167" s="30"/>
      <c r="V167" s="30"/>
      <c r="W167" s="30"/>
      <c r="X167" s="30"/>
      <c r="Y167" s="30"/>
      <c r="Z167" s="30"/>
      <c r="AA167" s="30"/>
      <c r="AB167" s="1005"/>
    </row>
    <row r="168" spans="1:28">
      <c r="A168" s="29"/>
      <c r="B168" s="30"/>
      <c r="C168" s="30"/>
      <c r="D168" s="736"/>
      <c r="E168" s="30"/>
      <c r="F168" s="30"/>
      <c r="G168" s="30"/>
      <c r="H168" s="30"/>
      <c r="I168" s="30"/>
      <c r="J168" s="30"/>
      <c r="K168" s="30"/>
      <c r="L168" s="30"/>
      <c r="M168" s="30"/>
      <c r="N168" s="37"/>
      <c r="O168" s="30"/>
      <c r="P168" s="30"/>
      <c r="Q168" s="30"/>
      <c r="R168" s="30"/>
      <c r="S168" s="736"/>
      <c r="T168" s="30"/>
      <c r="U168" s="30"/>
      <c r="V168" s="30"/>
      <c r="W168" s="30"/>
      <c r="X168" s="30"/>
      <c r="Y168" s="30"/>
      <c r="Z168" s="30"/>
      <c r="AA168" s="30"/>
      <c r="AB168" s="1005"/>
    </row>
    <row r="169" spans="1:28">
      <c r="A169" s="29"/>
      <c r="B169" s="30"/>
      <c r="C169" s="30"/>
      <c r="D169" s="736"/>
      <c r="E169" s="30"/>
      <c r="F169" s="30"/>
      <c r="G169" s="30"/>
      <c r="H169" s="30"/>
      <c r="I169" s="30"/>
      <c r="J169" s="30"/>
      <c r="K169" s="30"/>
      <c r="L169" s="30"/>
      <c r="M169" s="30"/>
      <c r="N169" s="37"/>
      <c r="O169" s="30"/>
      <c r="P169" s="30"/>
      <c r="Q169" s="30"/>
      <c r="R169" s="30"/>
      <c r="S169" s="736"/>
      <c r="T169" s="30"/>
      <c r="U169" s="30"/>
      <c r="V169" s="30"/>
      <c r="W169" s="30"/>
      <c r="X169" s="30"/>
      <c r="Y169" s="30"/>
      <c r="Z169" s="30"/>
      <c r="AA169" s="30"/>
      <c r="AB169" s="1005"/>
    </row>
    <row r="170" spans="1:28">
      <c r="A170" s="29"/>
      <c r="B170" s="30"/>
      <c r="C170" s="30"/>
      <c r="D170" s="736"/>
      <c r="E170" s="30"/>
      <c r="F170" s="30"/>
      <c r="G170" s="30"/>
      <c r="H170" s="30"/>
      <c r="I170" s="30"/>
      <c r="J170" s="30"/>
      <c r="K170" s="30"/>
      <c r="L170" s="30"/>
      <c r="M170" s="30"/>
      <c r="N170" s="37"/>
      <c r="O170" s="30"/>
      <c r="P170" s="30"/>
      <c r="Q170" s="30"/>
      <c r="R170" s="30"/>
      <c r="S170" s="736"/>
      <c r="T170" s="30"/>
      <c r="U170" s="30"/>
      <c r="V170" s="30"/>
      <c r="W170" s="30"/>
      <c r="X170" s="30"/>
      <c r="Y170" s="30"/>
      <c r="Z170" s="30"/>
      <c r="AA170" s="30"/>
      <c r="AB170" s="1005"/>
    </row>
    <row r="171" spans="1:28">
      <c r="A171" s="29"/>
      <c r="B171" s="30"/>
      <c r="C171" s="30"/>
      <c r="D171" s="736"/>
      <c r="E171" s="30"/>
      <c r="F171" s="30"/>
      <c r="G171" s="30"/>
      <c r="H171" s="30"/>
      <c r="I171" s="30"/>
      <c r="J171" s="30"/>
      <c r="K171" s="30"/>
      <c r="L171" s="30"/>
      <c r="M171" s="30"/>
      <c r="N171" s="37"/>
      <c r="O171" s="30"/>
      <c r="P171" s="30"/>
      <c r="Q171" s="30"/>
      <c r="R171" s="30"/>
      <c r="S171" s="736"/>
      <c r="T171" s="30"/>
      <c r="U171" s="30"/>
      <c r="V171" s="30"/>
      <c r="W171" s="30"/>
      <c r="X171" s="30"/>
      <c r="Y171" s="30"/>
      <c r="Z171" s="30"/>
      <c r="AA171" s="30"/>
      <c r="AB171" s="1005"/>
    </row>
    <row r="172" spans="1:28">
      <c r="A172" s="29"/>
      <c r="B172" s="30"/>
      <c r="C172" s="30"/>
      <c r="D172" s="736"/>
      <c r="E172" s="30"/>
      <c r="F172" s="30"/>
      <c r="G172" s="30"/>
      <c r="H172" s="30"/>
      <c r="I172" s="30"/>
      <c r="J172" s="30"/>
      <c r="K172" s="30"/>
      <c r="L172" s="30"/>
      <c r="M172" s="30"/>
      <c r="N172" s="37"/>
      <c r="O172" s="30"/>
      <c r="P172" s="30"/>
      <c r="Q172" s="30"/>
      <c r="R172" s="30"/>
      <c r="S172" s="736"/>
      <c r="T172" s="30"/>
      <c r="U172" s="30"/>
      <c r="V172" s="30"/>
      <c r="W172" s="30"/>
      <c r="X172" s="30"/>
      <c r="Y172" s="30"/>
      <c r="Z172" s="30"/>
      <c r="AA172" s="30"/>
      <c r="AB172" s="1005"/>
    </row>
    <row r="173" spans="1:28">
      <c r="A173" s="29"/>
      <c r="B173" s="30"/>
      <c r="C173" s="30"/>
      <c r="D173" s="736"/>
      <c r="E173" s="30"/>
      <c r="F173" s="30"/>
      <c r="G173" s="30"/>
      <c r="H173" s="30"/>
      <c r="I173" s="30"/>
      <c r="J173" s="30"/>
      <c r="K173" s="30"/>
      <c r="L173" s="30"/>
      <c r="M173" s="30"/>
      <c r="N173" s="37"/>
      <c r="O173" s="30"/>
      <c r="P173" s="30"/>
      <c r="Q173" s="30"/>
      <c r="R173" s="30"/>
      <c r="S173" s="736"/>
      <c r="T173" s="30"/>
      <c r="U173" s="30"/>
      <c r="V173" s="30"/>
      <c r="W173" s="30"/>
      <c r="X173" s="30"/>
      <c r="Y173" s="30"/>
      <c r="Z173" s="30"/>
      <c r="AA173" s="30"/>
      <c r="AB173" s="1005"/>
    </row>
    <row r="174" spans="1:28">
      <c r="A174" s="29"/>
      <c r="B174" s="30"/>
      <c r="C174" s="30"/>
      <c r="D174" s="736"/>
      <c r="E174" s="30"/>
      <c r="F174" s="30"/>
      <c r="G174" s="30"/>
      <c r="H174" s="30"/>
      <c r="I174" s="30"/>
      <c r="J174" s="30"/>
      <c r="K174" s="30"/>
      <c r="L174" s="30"/>
      <c r="M174" s="30"/>
      <c r="N174" s="37"/>
      <c r="O174" s="30"/>
      <c r="P174" s="30"/>
      <c r="Q174" s="30"/>
      <c r="R174" s="30"/>
      <c r="S174" s="736"/>
      <c r="T174" s="30"/>
      <c r="U174" s="30"/>
      <c r="V174" s="30"/>
      <c r="W174" s="30"/>
      <c r="X174" s="30"/>
      <c r="Y174" s="30"/>
      <c r="Z174" s="30"/>
      <c r="AA174" s="30"/>
      <c r="AB174" s="1005"/>
    </row>
    <row r="175" spans="1:28">
      <c r="A175" s="29"/>
      <c r="B175" s="30"/>
      <c r="C175" s="30"/>
      <c r="D175" s="736"/>
      <c r="E175" s="30"/>
      <c r="F175" s="30"/>
      <c r="G175" s="30"/>
      <c r="H175" s="30"/>
      <c r="I175" s="30"/>
      <c r="J175" s="30"/>
      <c r="K175" s="30"/>
      <c r="L175" s="30"/>
      <c r="M175" s="30"/>
      <c r="N175" s="37"/>
      <c r="O175" s="30"/>
      <c r="P175" s="30"/>
      <c r="Q175" s="30"/>
      <c r="R175" s="30"/>
      <c r="S175" s="736"/>
      <c r="T175" s="30"/>
      <c r="U175" s="30"/>
      <c r="V175" s="30"/>
      <c r="W175" s="30"/>
      <c r="X175" s="30"/>
      <c r="Y175" s="30"/>
      <c r="Z175" s="30"/>
      <c r="AA175" s="30"/>
      <c r="AB175" s="1005"/>
    </row>
    <row r="176" spans="1:28">
      <c r="A176" s="29"/>
      <c r="B176" s="30"/>
      <c r="C176" s="30"/>
      <c r="D176" s="736"/>
      <c r="E176" s="30"/>
      <c r="F176" s="30"/>
      <c r="G176" s="30"/>
      <c r="H176" s="30"/>
      <c r="I176" s="30"/>
      <c r="J176" s="30"/>
      <c r="K176" s="30"/>
      <c r="L176" s="30"/>
      <c r="M176" s="30"/>
      <c r="N176" s="37"/>
      <c r="O176" s="30"/>
      <c r="P176" s="30"/>
      <c r="Q176" s="30"/>
      <c r="R176" s="30"/>
      <c r="S176" s="736"/>
      <c r="T176" s="30"/>
      <c r="U176" s="30"/>
      <c r="V176" s="30"/>
      <c r="W176" s="30"/>
      <c r="X176" s="30"/>
      <c r="Y176" s="30"/>
      <c r="Z176" s="30"/>
      <c r="AA176" s="30"/>
      <c r="AB176" s="1005"/>
    </row>
    <row r="177" spans="1:28">
      <c r="A177" s="29"/>
      <c r="B177" s="30"/>
      <c r="C177" s="30"/>
      <c r="D177" s="736"/>
      <c r="E177" s="30"/>
      <c r="F177" s="30"/>
      <c r="G177" s="30"/>
      <c r="H177" s="30"/>
      <c r="I177" s="30"/>
      <c r="J177" s="30"/>
      <c r="K177" s="30"/>
      <c r="L177" s="30"/>
      <c r="M177" s="30"/>
      <c r="N177" s="37"/>
      <c r="O177" s="30"/>
      <c r="P177" s="30"/>
      <c r="Q177" s="30"/>
      <c r="R177" s="30"/>
      <c r="S177" s="736"/>
      <c r="T177" s="30"/>
      <c r="U177" s="30"/>
      <c r="V177" s="30"/>
      <c r="W177" s="30"/>
      <c r="X177" s="30"/>
      <c r="Y177" s="30"/>
      <c r="Z177" s="30"/>
      <c r="AA177" s="30"/>
      <c r="AB177" s="1005"/>
    </row>
    <row r="178" spans="1:28">
      <c r="A178" s="29"/>
      <c r="B178" s="30"/>
      <c r="C178" s="30"/>
      <c r="D178" s="736"/>
      <c r="E178" s="30"/>
      <c r="F178" s="30"/>
      <c r="G178" s="30"/>
      <c r="H178" s="30"/>
      <c r="I178" s="30"/>
      <c r="J178" s="30"/>
      <c r="K178" s="30"/>
      <c r="L178" s="30"/>
      <c r="M178" s="30"/>
      <c r="N178" s="37"/>
      <c r="O178" s="30"/>
      <c r="P178" s="30"/>
      <c r="Q178" s="30"/>
      <c r="R178" s="30"/>
      <c r="S178" s="736"/>
      <c r="T178" s="30"/>
      <c r="U178" s="30"/>
      <c r="V178" s="30"/>
      <c r="W178" s="30"/>
      <c r="X178" s="30"/>
      <c r="Y178" s="30"/>
      <c r="Z178" s="30"/>
      <c r="AA178" s="30"/>
      <c r="AB178" s="1005"/>
    </row>
    <row r="179" spans="1:28">
      <c r="A179" s="29"/>
      <c r="B179" s="30"/>
      <c r="C179" s="30"/>
      <c r="D179" s="736"/>
      <c r="E179" s="30"/>
      <c r="F179" s="30"/>
      <c r="G179" s="30"/>
      <c r="H179" s="30"/>
      <c r="I179" s="30"/>
      <c r="J179" s="30"/>
      <c r="K179" s="30"/>
      <c r="L179" s="30"/>
      <c r="M179" s="30"/>
      <c r="N179" s="37"/>
      <c r="O179" s="30"/>
      <c r="P179" s="30"/>
      <c r="Q179" s="30"/>
      <c r="R179" s="30"/>
      <c r="S179" s="736"/>
      <c r="T179" s="30"/>
      <c r="U179" s="30"/>
      <c r="V179" s="30"/>
      <c r="W179" s="30"/>
      <c r="X179" s="30"/>
      <c r="Y179" s="30"/>
      <c r="Z179" s="30"/>
      <c r="AA179" s="30"/>
      <c r="AB179" s="1005"/>
    </row>
    <row r="180" spans="1:28">
      <c r="A180" s="29"/>
      <c r="B180" s="30"/>
      <c r="C180" s="30"/>
      <c r="D180" s="736"/>
      <c r="E180" s="30"/>
      <c r="F180" s="30"/>
      <c r="G180" s="30"/>
      <c r="H180" s="30"/>
      <c r="I180" s="30"/>
      <c r="J180" s="30"/>
      <c r="K180" s="30"/>
      <c r="L180" s="30"/>
      <c r="M180" s="30"/>
      <c r="N180" s="37"/>
      <c r="O180" s="30"/>
      <c r="P180" s="30"/>
      <c r="Q180" s="30"/>
      <c r="R180" s="30"/>
      <c r="S180" s="736"/>
      <c r="T180" s="30"/>
      <c r="U180" s="30"/>
      <c r="V180" s="30"/>
      <c r="W180" s="30"/>
      <c r="X180" s="30"/>
      <c r="Y180" s="30"/>
      <c r="Z180" s="30"/>
      <c r="AA180" s="30"/>
      <c r="AB180" s="1005"/>
    </row>
    <row r="181" spans="1:28">
      <c r="A181" s="29"/>
      <c r="B181" s="30"/>
      <c r="C181" s="30"/>
      <c r="D181" s="736"/>
      <c r="E181" s="30"/>
      <c r="F181" s="30"/>
      <c r="G181" s="30"/>
      <c r="H181" s="30"/>
      <c r="I181" s="30"/>
      <c r="J181" s="30"/>
      <c r="K181" s="30"/>
      <c r="L181" s="30"/>
      <c r="M181" s="30"/>
      <c r="N181" s="37"/>
      <c r="O181" s="30"/>
      <c r="P181" s="30"/>
      <c r="Q181" s="30"/>
      <c r="R181" s="30"/>
      <c r="S181" s="736"/>
      <c r="T181" s="30"/>
      <c r="U181" s="30"/>
      <c r="V181" s="30"/>
      <c r="W181" s="30"/>
      <c r="X181" s="30"/>
      <c r="Y181" s="30"/>
      <c r="Z181" s="30"/>
      <c r="AA181" s="30"/>
      <c r="AB181" s="1005"/>
    </row>
    <row r="182" spans="1:28">
      <c r="A182" s="29"/>
      <c r="B182" s="30"/>
      <c r="C182" s="30"/>
      <c r="D182" s="736"/>
      <c r="E182" s="30"/>
      <c r="F182" s="30"/>
      <c r="G182" s="30"/>
      <c r="H182" s="30"/>
      <c r="I182" s="30"/>
      <c r="J182" s="30"/>
      <c r="K182" s="30"/>
      <c r="L182" s="30"/>
      <c r="M182" s="30"/>
      <c r="N182" s="37"/>
      <c r="O182" s="30"/>
      <c r="P182" s="30"/>
      <c r="Q182" s="30"/>
      <c r="R182" s="30"/>
      <c r="S182" s="736"/>
      <c r="T182" s="30"/>
      <c r="U182" s="30"/>
      <c r="V182" s="30"/>
      <c r="W182" s="30"/>
      <c r="X182" s="30"/>
      <c r="Y182" s="30"/>
      <c r="Z182" s="30"/>
      <c r="AA182" s="30"/>
      <c r="AB182" s="1005"/>
    </row>
    <row r="183" spans="1:28">
      <c r="A183" s="29"/>
      <c r="B183" s="30"/>
      <c r="C183" s="30"/>
      <c r="D183" s="736"/>
      <c r="E183" s="30"/>
      <c r="F183" s="30"/>
      <c r="G183" s="30"/>
      <c r="H183" s="30"/>
      <c r="I183" s="30"/>
      <c r="J183" s="30"/>
      <c r="K183" s="30"/>
      <c r="L183" s="30"/>
      <c r="M183" s="30"/>
      <c r="N183" s="37"/>
      <c r="O183" s="30"/>
      <c r="P183" s="30"/>
      <c r="Q183" s="30"/>
      <c r="R183" s="30"/>
      <c r="S183" s="736"/>
      <c r="T183" s="30"/>
      <c r="U183" s="30"/>
      <c r="V183" s="30"/>
      <c r="W183" s="30"/>
      <c r="X183" s="30"/>
      <c r="Y183" s="30"/>
      <c r="Z183" s="30"/>
      <c r="AA183" s="30"/>
      <c r="AB183" s="1005"/>
    </row>
    <row r="184" spans="1:28">
      <c r="A184" s="29"/>
      <c r="B184" s="30"/>
      <c r="C184" s="30"/>
      <c r="D184" s="736"/>
      <c r="E184" s="30"/>
      <c r="F184" s="30"/>
      <c r="G184" s="30"/>
      <c r="H184" s="30"/>
      <c r="I184" s="30"/>
      <c r="J184" s="30"/>
      <c r="K184" s="30"/>
      <c r="L184" s="30"/>
      <c r="M184" s="30"/>
      <c r="N184" s="37"/>
      <c r="O184" s="30"/>
      <c r="P184" s="30"/>
      <c r="Q184" s="30"/>
      <c r="R184" s="30"/>
      <c r="S184" s="736"/>
      <c r="T184" s="30"/>
      <c r="U184" s="30"/>
      <c r="V184" s="30"/>
      <c r="W184" s="30"/>
      <c r="X184" s="30"/>
      <c r="Y184" s="30"/>
      <c r="Z184" s="30"/>
      <c r="AA184" s="30"/>
      <c r="AB184" s="1005"/>
    </row>
    <row r="185" spans="1:28">
      <c r="A185" s="29"/>
      <c r="B185" s="30"/>
      <c r="C185" s="30"/>
      <c r="D185" s="736"/>
      <c r="E185" s="30"/>
      <c r="F185" s="30"/>
      <c r="G185" s="30"/>
      <c r="H185" s="30"/>
      <c r="I185" s="30"/>
      <c r="J185" s="30"/>
      <c r="K185" s="30"/>
      <c r="L185" s="30"/>
      <c r="M185" s="30"/>
      <c r="N185" s="37"/>
      <c r="O185" s="30"/>
      <c r="P185" s="30"/>
      <c r="Q185" s="30"/>
      <c r="R185" s="30"/>
      <c r="S185" s="736"/>
      <c r="T185" s="30"/>
      <c r="U185" s="30"/>
      <c r="V185" s="30"/>
      <c r="W185" s="30"/>
      <c r="X185" s="30"/>
      <c r="Y185" s="30"/>
      <c r="Z185" s="30"/>
      <c r="AA185" s="30"/>
      <c r="AB185" s="1005"/>
    </row>
    <row r="186" spans="1:28">
      <c r="A186" s="29"/>
      <c r="B186" s="30"/>
      <c r="C186" s="30"/>
      <c r="D186" s="736"/>
      <c r="E186" s="30"/>
      <c r="F186" s="30"/>
      <c r="G186" s="30"/>
      <c r="H186" s="30"/>
      <c r="I186" s="30"/>
      <c r="J186" s="30"/>
      <c r="K186" s="30"/>
      <c r="L186" s="30"/>
      <c r="M186" s="30"/>
      <c r="N186" s="37"/>
      <c r="O186" s="30"/>
      <c r="P186" s="30"/>
      <c r="Q186" s="30"/>
      <c r="R186" s="30"/>
      <c r="S186" s="736"/>
      <c r="T186" s="30"/>
      <c r="U186" s="30"/>
      <c r="V186" s="30"/>
      <c r="W186" s="30"/>
      <c r="X186" s="30"/>
      <c r="Y186" s="30"/>
      <c r="Z186" s="30"/>
      <c r="AA186" s="30"/>
      <c r="AB186" s="1005"/>
    </row>
    <row r="187" spans="1:28">
      <c r="A187" s="29"/>
      <c r="B187" s="30"/>
      <c r="C187" s="30"/>
      <c r="D187" s="736"/>
      <c r="E187" s="30"/>
      <c r="F187" s="30"/>
      <c r="G187" s="30"/>
      <c r="H187" s="30"/>
      <c r="I187" s="30"/>
      <c r="J187" s="30"/>
      <c r="K187" s="30"/>
      <c r="L187" s="30"/>
      <c r="M187" s="30"/>
      <c r="N187" s="37"/>
      <c r="O187" s="30"/>
      <c r="P187" s="30"/>
      <c r="Q187" s="30"/>
      <c r="R187" s="30"/>
      <c r="S187" s="736"/>
      <c r="T187" s="30"/>
      <c r="U187" s="30"/>
      <c r="V187" s="30"/>
      <c r="W187" s="30"/>
      <c r="X187" s="30"/>
      <c r="Y187" s="30"/>
      <c r="Z187" s="30"/>
      <c r="AA187" s="30"/>
      <c r="AB187" s="1005"/>
    </row>
    <row r="188" spans="1:28">
      <c r="A188" s="29"/>
      <c r="B188" s="30"/>
      <c r="C188" s="30"/>
      <c r="D188" s="736"/>
      <c r="E188" s="30"/>
      <c r="F188" s="30"/>
      <c r="G188" s="30"/>
      <c r="H188" s="30"/>
      <c r="I188" s="30"/>
      <c r="J188" s="30"/>
      <c r="K188" s="30"/>
      <c r="L188" s="30"/>
      <c r="M188" s="30"/>
      <c r="N188" s="37"/>
      <c r="O188" s="30"/>
      <c r="P188" s="30"/>
      <c r="Q188" s="30"/>
      <c r="R188" s="30"/>
      <c r="S188" s="736"/>
      <c r="T188" s="30"/>
      <c r="U188" s="30"/>
      <c r="V188" s="30"/>
      <c r="W188" s="30"/>
      <c r="X188" s="30"/>
      <c r="Y188" s="30"/>
      <c r="Z188" s="30"/>
      <c r="AA188" s="30"/>
      <c r="AB188" s="1005"/>
    </row>
    <row r="189" spans="1:28">
      <c r="A189" s="29"/>
      <c r="B189" s="30"/>
      <c r="C189" s="30"/>
      <c r="D189" s="736"/>
      <c r="E189" s="30"/>
      <c r="F189" s="30"/>
      <c r="G189" s="30"/>
      <c r="H189" s="30"/>
      <c r="I189" s="30"/>
      <c r="J189" s="30"/>
      <c r="K189" s="30"/>
      <c r="L189" s="30"/>
      <c r="M189" s="30"/>
      <c r="N189" s="37"/>
      <c r="O189" s="30"/>
      <c r="P189" s="30"/>
      <c r="Q189" s="30"/>
      <c r="R189" s="30"/>
      <c r="S189" s="736"/>
      <c r="T189" s="30"/>
      <c r="U189" s="30"/>
      <c r="V189" s="30"/>
      <c r="W189" s="30"/>
      <c r="X189" s="30"/>
      <c r="Y189" s="30"/>
      <c r="Z189" s="30"/>
      <c r="AA189" s="30"/>
      <c r="AB189" s="1005"/>
    </row>
    <row r="190" spans="1:28">
      <c r="A190" s="29"/>
      <c r="B190" s="30"/>
      <c r="C190" s="30"/>
      <c r="D190" s="736"/>
      <c r="E190" s="30"/>
      <c r="F190" s="30"/>
      <c r="G190" s="30"/>
      <c r="H190" s="30"/>
      <c r="I190" s="30"/>
      <c r="J190" s="30"/>
      <c r="K190" s="30"/>
      <c r="L190" s="30"/>
      <c r="M190" s="30"/>
      <c r="N190" s="37"/>
      <c r="O190" s="30"/>
      <c r="P190" s="30"/>
      <c r="Q190" s="30"/>
      <c r="R190" s="30"/>
      <c r="S190" s="736"/>
      <c r="T190" s="30"/>
      <c r="U190" s="30"/>
      <c r="V190" s="30"/>
      <c r="W190" s="30"/>
      <c r="X190" s="30"/>
      <c r="Y190" s="30"/>
      <c r="Z190" s="30"/>
      <c r="AA190" s="30"/>
      <c r="AB190" s="1005"/>
    </row>
    <row r="191" spans="1:28">
      <c r="A191" s="29"/>
      <c r="B191" s="30"/>
      <c r="C191" s="30"/>
      <c r="D191" s="736"/>
      <c r="E191" s="30"/>
      <c r="F191" s="30"/>
      <c r="G191" s="30"/>
      <c r="H191" s="30"/>
      <c r="I191" s="30"/>
      <c r="J191" s="30"/>
      <c r="K191" s="30"/>
      <c r="L191" s="30"/>
      <c r="M191" s="30"/>
      <c r="N191" s="37"/>
      <c r="O191" s="30"/>
      <c r="P191" s="30"/>
      <c r="Q191" s="30"/>
      <c r="R191" s="30"/>
      <c r="S191" s="736"/>
      <c r="T191" s="30"/>
      <c r="U191" s="30"/>
      <c r="V191" s="30"/>
      <c r="W191" s="30"/>
      <c r="X191" s="30"/>
      <c r="Y191" s="30"/>
      <c r="Z191" s="30"/>
      <c r="AA191" s="30"/>
      <c r="AB191" s="1005"/>
    </row>
    <row r="192" spans="1:28">
      <c r="A192" s="29"/>
      <c r="B192" s="30"/>
      <c r="C192" s="30"/>
      <c r="D192" s="736"/>
      <c r="E192" s="30"/>
      <c r="F192" s="30"/>
      <c r="G192" s="30"/>
      <c r="H192" s="30"/>
      <c r="I192" s="30"/>
      <c r="J192" s="30"/>
      <c r="K192" s="30"/>
      <c r="L192" s="30"/>
      <c r="M192" s="30"/>
      <c r="N192" s="37"/>
      <c r="O192" s="30"/>
      <c r="P192" s="30"/>
      <c r="Q192" s="30"/>
      <c r="R192" s="30"/>
      <c r="S192" s="736"/>
      <c r="T192" s="30"/>
      <c r="U192" s="30"/>
      <c r="V192" s="30"/>
      <c r="W192" s="30"/>
      <c r="X192" s="30"/>
      <c r="Y192" s="30"/>
      <c r="Z192" s="30"/>
      <c r="AA192" s="30"/>
      <c r="AB192" s="1005"/>
    </row>
    <row r="193" spans="1:28">
      <c r="A193" s="29"/>
      <c r="B193" s="30"/>
      <c r="C193" s="30"/>
      <c r="D193" s="736"/>
      <c r="E193" s="30"/>
      <c r="F193" s="30"/>
      <c r="G193" s="30"/>
      <c r="H193" s="30"/>
      <c r="I193" s="30"/>
      <c r="J193" s="30"/>
      <c r="K193" s="30"/>
      <c r="L193" s="30"/>
      <c r="M193" s="30"/>
      <c r="N193" s="37"/>
      <c r="O193" s="30"/>
      <c r="P193" s="30"/>
      <c r="Q193" s="30"/>
      <c r="R193" s="30"/>
      <c r="S193" s="736"/>
      <c r="T193" s="30"/>
      <c r="U193" s="30"/>
      <c r="V193" s="30"/>
      <c r="W193" s="30"/>
      <c r="X193" s="30"/>
      <c r="Y193" s="30"/>
      <c r="Z193" s="30"/>
      <c r="AA193" s="30"/>
      <c r="AB193" s="1005"/>
    </row>
    <row r="194" spans="1:28">
      <c r="A194" s="29"/>
      <c r="B194" s="30"/>
      <c r="C194" s="30"/>
      <c r="D194" s="736"/>
      <c r="E194" s="30"/>
      <c r="F194" s="30"/>
      <c r="G194" s="30"/>
      <c r="H194" s="30"/>
      <c r="I194" s="30"/>
      <c r="J194" s="30"/>
      <c r="K194" s="30"/>
      <c r="L194" s="30"/>
      <c r="M194" s="30"/>
      <c r="N194" s="37"/>
      <c r="O194" s="30"/>
      <c r="P194" s="30"/>
      <c r="Q194" s="30"/>
      <c r="R194" s="30"/>
      <c r="S194" s="736"/>
      <c r="T194" s="30"/>
      <c r="U194" s="30"/>
      <c r="V194" s="30"/>
      <c r="W194" s="30"/>
      <c r="X194" s="30"/>
      <c r="Y194" s="30"/>
      <c r="Z194" s="30"/>
      <c r="AA194" s="30"/>
      <c r="AB194" s="1005"/>
    </row>
    <row r="195" spans="1:28">
      <c r="A195" s="29"/>
      <c r="B195" s="30"/>
      <c r="C195" s="30"/>
      <c r="D195" s="736"/>
      <c r="E195" s="30"/>
      <c r="F195" s="30"/>
      <c r="G195" s="30"/>
      <c r="H195" s="30"/>
      <c r="I195" s="30"/>
      <c r="J195" s="30"/>
      <c r="K195" s="30"/>
      <c r="L195" s="30"/>
      <c r="M195" s="30"/>
      <c r="N195" s="37"/>
      <c r="O195" s="30"/>
      <c r="P195" s="30"/>
      <c r="Q195" s="30"/>
      <c r="R195" s="30"/>
      <c r="S195" s="736"/>
      <c r="T195" s="30"/>
      <c r="U195" s="30"/>
      <c r="V195" s="30"/>
      <c r="W195" s="30"/>
      <c r="X195" s="30"/>
      <c r="Y195" s="30"/>
      <c r="Z195" s="30"/>
      <c r="AA195" s="30"/>
      <c r="AB195" s="1005"/>
    </row>
    <row r="196" spans="1:28">
      <c r="A196" s="29"/>
      <c r="B196" s="30"/>
      <c r="C196" s="30"/>
      <c r="D196" s="736"/>
      <c r="E196" s="30"/>
      <c r="F196" s="30"/>
      <c r="G196" s="30"/>
      <c r="H196" s="30"/>
      <c r="I196" s="30"/>
      <c r="J196" s="30"/>
      <c r="K196" s="30"/>
      <c r="L196" s="30"/>
      <c r="M196" s="30"/>
      <c r="N196" s="37"/>
      <c r="O196" s="30"/>
      <c r="P196" s="30"/>
      <c r="Q196" s="30"/>
      <c r="R196" s="30"/>
      <c r="S196" s="736"/>
      <c r="T196" s="30"/>
      <c r="U196" s="30"/>
      <c r="V196" s="30"/>
      <c r="W196" s="30"/>
      <c r="X196" s="30"/>
      <c r="Y196" s="30"/>
      <c r="Z196" s="30"/>
      <c r="AA196" s="30"/>
      <c r="AB196" s="1005"/>
    </row>
    <row r="197" spans="1:28">
      <c r="A197" s="29"/>
      <c r="B197" s="30"/>
      <c r="C197" s="30"/>
      <c r="D197" s="736"/>
      <c r="E197" s="30"/>
      <c r="F197" s="30"/>
      <c r="G197" s="30"/>
      <c r="H197" s="30"/>
      <c r="I197" s="30"/>
      <c r="J197" s="30"/>
      <c r="K197" s="30"/>
      <c r="L197" s="30"/>
      <c r="M197" s="30"/>
      <c r="N197" s="37"/>
      <c r="O197" s="30"/>
      <c r="P197" s="30"/>
      <c r="Q197" s="30"/>
      <c r="R197" s="30"/>
      <c r="S197" s="736"/>
      <c r="T197" s="30"/>
      <c r="U197" s="30"/>
      <c r="V197" s="30"/>
      <c r="W197" s="30"/>
      <c r="X197" s="30"/>
      <c r="Y197" s="30"/>
      <c r="Z197" s="30"/>
      <c r="AA197" s="30"/>
      <c r="AB197" s="1005"/>
    </row>
    <row r="198" spans="1:28">
      <c r="A198" s="29"/>
      <c r="B198" s="30"/>
      <c r="C198" s="30"/>
      <c r="D198" s="736"/>
      <c r="E198" s="30"/>
      <c r="F198" s="30"/>
      <c r="G198" s="30"/>
      <c r="H198" s="30"/>
      <c r="I198" s="30"/>
      <c r="J198" s="30"/>
      <c r="K198" s="30"/>
      <c r="L198" s="30"/>
      <c r="M198" s="30"/>
      <c r="N198" s="37"/>
      <c r="O198" s="30"/>
      <c r="P198" s="30"/>
      <c r="Q198" s="30"/>
      <c r="R198" s="30"/>
      <c r="S198" s="736"/>
      <c r="T198" s="30"/>
      <c r="U198" s="30"/>
      <c r="V198" s="30"/>
      <c r="W198" s="30"/>
      <c r="X198" s="30"/>
      <c r="Y198" s="30"/>
      <c r="Z198" s="30"/>
      <c r="AA198" s="30"/>
      <c r="AB198" s="1005"/>
    </row>
    <row r="199" spans="1:28">
      <c r="A199" s="29"/>
      <c r="B199" s="30"/>
      <c r="C199" s="30"/>
      <c r="D199" s="736"/>
      <c r="E199" s="30"/>
      <c r="F199" s="30"/>
      <c r="G199" s="30"/>
      <c r="H199" s="30"/>
      <c r="I199" s="30"/>
      <c r="J199" s="30"/>
      <c r="K199" s="30"/>
      <c r="L199" s="30"/>
      <c r="M199" s="30"/>
      <c r="N199" s="37"/>
      <c r="O199" s="30"/>
      <c r="P199" s="30"/>
      <c r="Q199" s="30"/>
      <c r="R199" s="30"/>
      <c r="S199" s="736"/>
      <c r="T199" s="30"/>
      <c r="U199" s="30"/>
      <c r="V199" s="30"/>
      <c r="W199" s="30"/>
      <c r="X199" s="30"/>
      <c r="Y199" s="30"/>
      <c r="Z199" s="30"/>
      <c r="AA199" s="30"/>
      <c r="AB199" s="1005"/>
    </row>
    <row r="200" spans="1:28">
      <c r="A200" s="29"/>
      <c r="B200" s="30"/>
      <c r="C200" s="30"/>
      <c r="D200" s="736"/>
      <c r="E200" s="30"/>
      <c r="F200" s="30"/>
      <c r="G200" s="30"/>
      <c r="H200" s="30"/>
      <c r="I200" s="30"/>
      <c r="J200" s="30"/>
      <c r="K200" s="30"/>
      <c r="L200" s="30"/>
      <c r="M200" s="30"/>
      <c r="N200" s="37"/>
      <c r="O200" s="30"/>
      <c r="P200" s="30"/>
      <c r="Q200" s="30"/>
      <c r="R200" s="30"/>
      <c r="S200" s="736"/>
      <c r="T200" s="30"/>
      <c r="U200" s="30"/>
      <c r="V200" s="30"/>
      <c r="W200" s="30"/>
      <c r="X200" s="30"/>
      <c r="Y200" s="30"/>
      <c r="Z200" s="30"/>
      <c r="AA200" s="30"/>
      <c r="AB200" s="1005"/>
    </row>
    <row r="201" spans="1:28">
      <c r="A201" s="29"/>
      <c r="B201" s="30"/>
      <c r="C201" s="30"/>
      <c r="D201" s="736"/>
      <c r="E201" s="30"/>
      <c r="F201" s="30"/>
      <c r="G201" s="30"/>
      <c r="H201" s="30"/>
      <c r="I201" s="30"/>
      <c r="J201" s="30"/>
      <c r="K201" s="30"/>
      <c r="L201" s="30"/>
      <c r="M201" s="30"/>
      <c r="N201" s="37"/>
      <c r="O201" s="30"/>
      <c r="P201" s="30"/>
      <c r="Q201" s="30"/>
      <c r="R201" s="30"/>
      <c r="S201" s="736"/>
      <c r="T201" s="30"/>
      <c r="U201" s="30"/>
      <c r="V201" s="30"/>
      <c r="W201" s="30"/>
      <c r="X201" s="30"/>
      <c r="Y201" s="30"/>
      <c r="Z201" s="30"/>
      <c r="AA201" s="30"/>
      <c r="AB201" s="1005"/>
    </row>
    <row r="202" spans="1:28">
      <c r="A202" s="29"/>
      <c r="B202" s="30"/>
      <c r="C202" s="30"/>
      <c r="D202" s="736"/>
      <c r="E202" s="30"/>
      <c r="F202" s="30"/>
      <c r="G202" s="30"/>
      <c r="H202" s="30"/>
      <c r="I202" s="30"/>
      <c r="J202" s="30"/>
      <c r="K202" s="30"/>
      <c r="L202" s="30"/>
      <c r="M202" s="30"/>
      <c r="N202" s="37"/>
      <c r="O202" s="30"/>
      <c r="P202" s="30"/>
      <c r="Q202" s="30"/>
      <c r="R202" s="30"/>
      <c r="S202" s="736"/>
      <c r="T202" s="30"/>
      <c r="U202" s="30"/>
      <c r="V202" s="30"/>
      <c r="W202" s="30"/>
      <c r="X202" s="30"/>
      <c r="Y202" s="30"/>
      <c r="Z202" s="30"/>
      <c r="AA202" s="30"/>
      <c r="AB202" s="1005"/>
    </row>
    <row r="203" spans="1:28">
      <c r="A203" s="29"/>
      <c r="B203" s="30"/>
      <c r="C203" s="30"/>
      <c r="D203" s="736"/>
      <c r="E203" s="30"/>
      <c r="F203" s="30"/>
      <c r="G203" s="30"/>
      <c r="H203" s="30"/>
      <c r="I203" s="30"/>
      <c r="J203" s="30"/>
      <c r="K203" s="30"/>
      <c r="L203" s="30"/>
      <c r="M203" s="30"/>
      <c r="N203" s="37"/>
      <c r="O203" s="30"/>
      <c r="P203" s="30"/>
      <c r="Q203" s="30"/>
      <c r="R203" s="30"/>
      <c r="S203" s="736"/>
      <c r="T203" s="30"/>
      <c r="U203" s="30"/>
      <c r="V203" s="30"/>
      <c r="W203" s="30"/>
      <c r="X203" s="30"/>
      <c r="Y203" s="30"/>
      <c r="Z203" s="30"/>
      <c r="AA203" s="30"/>
      <c r="AB203" s="1005"/>
    </row>
    <row r="204" spans="1:28">
      <c r="A204" s="29"/>
      <c r="B204" s="30"/>
      <c r="C204" s="30"/>
      <c r="D204" s="736"/>
      <c r="E204" s="30"/>
      <c r="F204" s="30"/>
      <c r="G204" s="30"/>
      <c r="H204" s="30"/>
      <c r="I204" s="30"/>
      <c r="J204" s="30"/>
      <c r="K204" s="30"/>
      <c r="L204" s="30"/>
      <c r="M204" s="30"/>
      <c r="N204" s="37"/>
      <c r="O204" s="30"/>
      <c r="P204" s="30"/>
      <c r="Q204" s="30"/>
      <c r="R204" s="30"/>
      <c r="S204" s="736"/>
      <c r="T204" s="30"/>
      <c r="U204" s="30"/>
      <c r="V204" s="30"/>
      <c r="W204" s="30"/>
      <c r="X204" s="30"/>
      <c r="Y204" s="30"/>
      <c r="Z204" s="30"/>
      <c r="AA204" s="30"/>
      <c r="AB204" s="1005"/>
    </row>
    <row r="205" spans="1:28">
      <c r="A205" s="29"/>
      <c r="B205" s="30"/>
      <c r="C205" s="30"/>
      <c r="D205" s="736"/>
      <c r="E205" s="30"/>
      <c r="F205" s="30"/>
      <c r="G205" s="30"/>
      <c r="H205" s="30"/>
      <c r="I205" s="30"/>
      <c r="J205" s="30"/>
      <c r="K205" s="30"/>
      <c r="L205" s="30"/>
      <c r="M205" s="30"/>
      <c r="N205" s="37"/>
      <c r="O205" s="30"/>
      <c r="P205" s="30"/>
      <c r="Q205" s="30"/>
      <c r="R205" s="30"/>
      <c r="S205" s="736"/>
      <c r="T205" s="30"/>
      <c r="U205" s="30"/>
      <c r="V205" s="30"/>
      <c r="W205" s="30"/>
      <c r="X205" s="30"/>
      <c r="Y205" s="30"/>
      <c r="Z205" s="30"/>
      <c r="AA205" s="30"/>
      <c r="AB205" s="1005"/>
    </row>
    <row r="206" spans="1:28">
      <c r="A206" s="29"/>
      <c r="B206" s="30"/>
      <c r="C206" s="30"/>
      <c r="D206" s="736"/>
      <c r="E206" s="30"/>
      <c r="F206" s="30"/>
      <c r="G206" s="30"/>
      <c r="H206" s="30"/>
      <c r="I206" s="30"/>
      <c r="J206" s="30"/>
      <c r="K206" s="30"/>
      <c r="L206" s="30"/>
      <c r="M206" s="30"/>
      <c r="N206" s="37"/>
      <c r="O206" s="30"/>
      <c r="P206" s="30"/>
      <c r="Q206" s="30"/>
      <c r="R206" s="30"/>
      <c r="S206" s="736"/>
      <c r="T206" s="30"/>
      <c r="U206" s="30"/>
      <c r="V206" s="30"/>
      <c r="W206" s="30"/>
      <c r="X206" s="30"/>
      <c r="Y206" s="30"/>
      <c r="Z206" s="30"/>
      <c r="AA206" s="30"/>
      <c r="AB206" s="1005"/>
    </row>
    <row r="207" spans="1:28">
      <c r="A207" s="29"/>
      <c r="B207" s="30"/>
      <c r="C207" s="30"/>
      <c r="D207" s="736"/>
      <c r="E207" s="30"/>
      <c r="F207" s="30"/>
      <c r="G207" s="30"/>
      <c r="H207" s="30"/>
      <c r="I207" s="30"/>
      <c r="J207" s="30"/>
      <c r="K207" s="30"/>
      <c r="L207" s="30"/>
      <c r="M207" s="30"/>
      <c r="N207" s="37"/>
      <c r="O207" s="30"/>
      <c r="P207" s="30"/>
      <c r="Q207" s="30"/>
      <c r="R207" s="30"/>
      <c r="S207" s="736"/>
      <c r="T207" s="30"/>
      <c r="U207" s="30"/>
      <c r="V207" s="30"/>
      <c r="W207" s="30"/>
      <c r="X207" s="30"/>
      <c r="Y207" s="30"/>
      <c r="Z207" s="30"/>
      <c r="AA207" s="30"/>
      <c r="AB207" s="1005"/>
    </row>
    <row r="208" spans="1:28">
      <c r="A208" s="29"/>
      <c r="B208" s="30"/>
      <c r="C208" s="30"/>
      <c r="D208" s="736"/>
      <c r="E208" s="30"/>
      <c r="F208" s="30"/>
      <c r="G208" s="30"/>
      <c r="H208" s="30"/>
      <c r="I208" s="30"/>
      <c r="J208" s="30"/>
      <c r="K208" s="30"/>
      <c r="L208" s="30"/>
      <c r="M208" s="30"/>
      <c r="N208" s="37"/>
      <c r="O208" s="30"/>
      <c r="P208" s="30"/>
      <c r="Q208" s="30"/>
      <c r="R208" s="30"/>
      <c r="S208" s="736"/>
      <c r="T208" s="30"/>
      <c r="U208" s="30"/>
      <c r="V208" s="30"/>
      <c r="W208" s="30"/>
      <c r="X208" s="30"/>
      <c r="Y208" s="30"/>
      <c r="Z208" s="30"/>
      <c r="AA208" s="30"/>
      <c r="AB208" s="1005"/>
    </row>
    <row r="209" spans="1:28">
      <c r="A209" s="29"/>
      <c r="B209" s="30"/>
      <c r="C209" s="30"/>
      <c r="D209" s="736"/>
      <c r="E209" s="30"/>
      <c r="F209" s="30"/>
      <c r="G209" s="30"/>
      <c r="H209" s="30"/>
      <c r="I209" s="30"/>
      <c r="J209" s="30"/>
      <c r="K209" s="30"/>
      <c r="L209" s="30"/>
      <c r="M209" s="30"/>
      <c r="N209" s="37"/>
      <c r="O209" s="30"/>
      <c r="P209" s="30"/>
      <c r="Q209" s="30"/>
      <c r="R209" s="30"/>
      <c r="S209" s="736"/>
      <c r="T209" s="30"/>
      <c r="U209" s="30"/>
      <c r="V209" s="30"/>
      <c r="W209" s="30"/>
      <c r="X209" s="30"/>
      <c r="Y209" s="30"/>
      <c r="Z209" s="30"/>
      <c r="AA209" s="30"/>
      <c r="AB209" s="1005"/>
    </row>
    <row r="210" spans="1:28">
      <c r="A210" s="29"/>
      <c r="B210" s="30"/>
      <c r="C210" s="30"/>
      <c r="D210" s="736"/>
      <c r="E210" s="30"/>
      <c r="F210" s="30"/>
      <c r="G210" s="30"/>
      <c r="H210" s="30"/>
      <c r="I210" s="30"/>
      <c r="J210" s="30"/>
      <c r="K210" s="30"/>
      <c r="L210" s="30"/>
      <c r="M210" s="30"/>
      <c r="N210" s="37"/>
      <c r="O210" s="30"/>
      <c r="P210" s="30"/>
      <c r="Q210" s="30"/>
      <c r="R210" s="30"/>
      <c r="S210" s="736"/>
      <c r="T210" s="30"/>
      <c r="U210" s="30"/>
      <c r="V210" s="30"/>
      <c r="W210" s="30"/>
      <c r="X210" s="30"/>
      <c r="Y210" s="30"/>
      <c r="Z210" s="30"/>
      <c r="AA210" s="30"/>
      <c r="AB210" s="1005"/>
    </row>
    <row r="211" spans="1:28">
      <c r="A211" s="29"/>
      <c r="B211" s="30"/>
      <c r="C211" s="30"/>
      <c r="D211" s="736"/>
      <c r="E211" s="30"/>
      <c r="F211" s="30"/>
      <c r="G211" s="30"/>
      <c r="H211" s="30"/>
      <c r="I211" s="30"/>
      <c r="J211" s="30"/>
      <c r="K211" s="30"/>
      <c r="L211" s="30"/>
      <c r="M211" s="30"/>
      <c r="N211" s="37"/>
      <c r="O211" s="30"/>
      <c r="P211" s="30"/>
      <c r="Q211" s="30"/>
      <c r="R211" s="30"/>
      <c r="S211" s="736"/>
      <c r="T211" s="30"/>
      <c r="U211" s="30"/>
      <c r="V211" s="30"/>
      <c r="W211" s="30"/>
      <c r="X211" s="30"/>
      <c r="Y211" s="30"/>
      <c r="Z211" s="30"/>
      <c r="AA211" s="30"/>
      <c r="AB211" s="1005"/>
    </row>
    <row r="212" spans="1:28">
      <c r="A212" s="29"/>
      <c r="B212" s="30"/>
      <c r="C212" s="30"/>
      <c r="D212" s="736"/>
      <c r="E212" s="30"/>
      <c r="F212" s="30"/>
      <c r="G212" s="30"/>
      <c r="H212" s="30"/>
      <c r="I212" s="30"/>
      <c r="J212" s="30"/>
      <c r="K212" s="30"/>
      <c r="L212" s="30"/>
      <c r="M212" s="30"/>
      <c r="N212" s="37"/>
      <c r="O212" s="30"/>
      <c r="P212" s="30"/>
      <c r="Q212" s="30"/>
      <c r="R212" s="30"/>
      <c r="S212" s="736"/>
      <c r="T212" s="30"/>
      <c r="U212" s="30"/>
      <c r="V212" s="30"/>
      <c r="W212" s="30"/>
      <c r="X212" s="30"/>
      <c r="Y212" s="30"/>
      <c r="Z212" s="30"/>
      <c r="AA212" s="30"/>
      <c r="AB212" s="1005"/>
    </row>
    <row r="213" spans="1:28">
      <c r="A213" s="29"/>
      <c r="B213" s="30"/>
      <c r="C213" s="30"/>
      <c r="D213" s="736"/>
      <c r="E213" s="30"/>
      <c r="F213" s="30"/>
      <c r="G213" s="30"/>
      <c r="H213" s="30"/>
      <c r="I213" s="30"/>
      <c r="J213" s="30"/>
      <c r="K213" s="30"/>
      <c r="L213" s="30"/>
      <c r="M213" s="30"/>
      <c r="N213" s="37"/>
      <c r="O213" s="30"/>
      <c r="P213" s="30"/>
      <c r="Q213" s="30"/>
      <c r="R213" s="30"/>
      <c r="S213" s="736"/>
      <c r="T213" s="30"/>
      <c r="U213" s="30"/>
      <c r="V213" s="30"/>
      <c r="W213" s="30"/>
      <c r="X213" s="30"/>
      <c r="Y213" s="30"/>
      <c r="Z213" s="30"/>
      <c r="AA213" s="30"/>
      <c r="AB213" s="1005"/>
    </row>
    <row r="214" spans="1:28">
      <c r="A214" s="29"/>
      <c r="B214" s="30"/>
      <c r="C214" s="30"/>
      <c r="D214" s="736"/>
      <c r="E214" s="30"/>
      <c r="F214" s="30"/>
      <c r="G214" s="30"/>
      <c r="H214" s="30"/>
      <c r="I214" s="30"/>
      <c r="J214" s="30"/>
      <c r="K214" s="30"/>
      <c r="L214" s="30"/>
      <c r="M214" s="30"/>
      <c r="N214" s="37"/>
      <c r="O214" s="30"/>
      <c r="P214" s="30"/>
      <c r="Q214" s="30"/>
      <c r="R214" s="30"/>
      <c r="S214" s="736"/>
      <c r="T214" s="30"/>
      <c r="U214" s="30"/>
      <c r="V214" s="30"/>
      <c r="W214" s="30"/>
      <c r="X214" s="30"/>
      <c r="Y214" s="30"/>
      <c r="Z214" s="30"/>
      <c r="AA214" s="30"/>
      <c r="AB214" s="1005"/>
    </row>
    <row r="215" spans="1:28">
      <c r="A215" s="29"/>
      <c r="B215" s="30"/>
      <c r="C215" s="30"/>
      <c r="D215" s="736"/>
      <c r="E215" s="30"/>
      <c r="F215" s="30"/>
      <c r="G215" s="30"/>
      <c r="H215" s="30"/>
      <c r="I215" s="30"/>
      <c r="J215" s="30"/>
      <c r="K215" s="30"/>
      <c r="L215" s="30"/>
      <c r="M215" s="30"/>
      <c r="N215" s="37"/>
      <c r="O215" s="30"/>
      <c r="P215" s="30"/>
      <c r="Q215" s="30"/>
      <c r="R215" s="30"/>
      <c r="S215" s="736"/>
      <c r="T215" s="30"/>
      <c r="U215" s="30"/>
      <c r="V215" s="30"/>
      <c r="W215" s="30"/>
      <c r="X215" s="30"/>
      <c r="Y215" s="30"/>
      <c r="Z215" s="30"/>
      <c r="AA215" s="30"/>
      <c r="AB215" s="1005"/>
    </row>
    <row r="216" spans="1:28">
      <c r="A216" s="29"/>
      <c r="B216" s="30"/>
      <c r="C216" s="30"/>
      <c r="D216" s="736"/>
      <c r="E216" s="30"/>
      <c r="F216" s="30"/>
      <c r="G216" s="30"/>
      <c r="H216" s="30"/>
      <c r="I216" s="30"/>
      <c r="J216" s="30"/>
      <c r="K216" s="30"/>
      <c r="L216" s="30"/>
      <c r="M216" s="30"/>
      <c r="N216" s="37"/>
      <c r="O216" s="30"/>
      <c r="P216" s="30"/>
      <c r="Q216" s="30"/>
      <c r="R216" s="30"/>
      <c r="S216" s="736"/>
      <c r="T216" s="30"/>
      <c r="U216" s="30"/>
      <c r="V216" s="30"/>
      <c r="W216" s="30"/>
      <c r="X216" s="30"/>
      <c r="Y216" s="30"/>
      <c r="Z216" s="30"/>
      <c r="AA216" s="30"/>
      <c r="AB216" s="1005"/>
    </row>
    <row r="217" spans="1:28">
      <c r="A217" s="29"/>
      <c r="B217" s="30"/>
      <c r="C217" s="30"/>
      <c r="D217" s="736"/>
      <c r="E217" s="30"/>
      <c r="F217" s="30"/>
      <c r="G217" s="30"/>
      <c r="H217" s="30"/>
      <c r="I217" s="30"/>
      <c r="J217" s="30"/>
      <c r="K217" s="30"/>
      <c r="L217" s="30"/>
      <c r="M217" s="30"/>
      <c r="N217" s="37"/>
      <c r="O217" s="30"/>
      <c r="P217" s="30"/>
      <c r="Q217" s="30"/>
      <c r="R217" s="30"/>
      <c r="S217" s="736"/>
      <c r="T217" s="30"/>
      <c r="U217" s="30"/>
      <c r="V217" s="30"/>
      <c r="W217" s="30"/>
      <c r="X217" s="30"/>
      <c r="Y217" s="30"/>
      <c r="Z217" s="30"/>
      <c r="AA217" s="30"/>
      <c r="AB217" s="1005"/>
    </row>
    <row r="218" spans="1:28">
      <c r="A218" s="29"/>
      <c r="B218" s="30"/>
      <c r="C218" s="30"/>
      <c r="D218" s="736"/>
      <c r="E218" s="30"/>
      <c r="F218" s="30"/>
      <c r="G218" s="30"/>
      <c r="H218" s="30"/>
      <c r="I218" s="30"/>
      <c r="J218" s="30"/>
      <c r="K218" s="30"/>
      <c r="L218" s="30"/>
      <c r="M218" s="30"/>
      <c r="N218" s="37"/>
      <c r="O218" s="30"/>
      <c r="P218" s="30"/>
      <c r="Q218" s="30"/>
      <c r="R218" s="30"/>
      <c r="S218" s="736"/>
      <c r="T218" s="30"/>
      <c r="U218" s="30"/>
      <c r="V218" s="30"/>
      <c r="W218" s="30"/>
      <c r="X218" s="30"/>
      <c r="Y218" s="30"/>
      <c r="Z218" s="30"/>
      <c r="AA218" s="30"/>
      <c r="AB218" s="1005"/>
    </row>
    <row r="219" spans="1:28">
      <c r="A219" s="29"/>
      <c r="B219" s="30"/>
      <c r="C219" s="30"/>
      <c r="D219" s="736"/>
      <c r="E219" s="30"/>
      <c r="F219" s="30"/>
      <c r="G219" s="30"/>
      <c r="H219" s="30"/>
      <c r="I219" s="30"/>
      <c r="J219" s="30"/>
      <c r="K219" s="30"/>
      <c r="L219" s="30"/>
      <c r="M219" s="30"/>
      <c r="N219" s="37"/>
      <c r="O219" s="30"/>
      <c r="P219" s="30"/>
      <c r="Q219" s="30"/>
      <c r="R219" s="30"/>
      <c r="S219" s="736"/>
      <c r="T219" s="30"/>
      <c r="U219" s="30"/>
      <c r="V219" s="30"/>
      <c r="W219" s="30"/>
      <c r="X219" s="30"/>
      <c r="Y219" s="30"/>
      <c r="Z219" s="30"/>
      <c r="AA219" s="30"/>
      <c r="AB219" s="1005"/>
    </row>
    <row r="220" spans="1:28">
      <c r="A220" s="29"/>
      <c r="B220" s="30"/>
      <c r="C220" s="30"/>
      <c r="D220" s="736"/>
      <c r="E220" s="30"/>
      <c r="F220" s="30"/>
      <c r="G220" s="30"/>
      <c r="H220" s="30"/>
      <c r="I220" s="30"/>
      <c r="J220" s="30"/>
      <c r="K220" s="30"/>
      <c r="L220" s="30"/>
      <c r="M220" s="30"/>
      <c r="N220" s="37"/>
      <c r="O220" s="30"/>
      <c r="P220" s="30"/>
      <c r="Q220" s="30"/>
      <c r="R220" s="30"/>
      <c r="S220" s="736"/>
      <c r="T220" s="30"/>
      <c r="U220" s="30"/>
      <c r="V220" s="30"/>
      <c r="W220" s="30"/>
      <c r="X220" s="30"/>
      <c r="Y220" s="30"/>
      <c r="Z220" s="30"/>
      <c r="AA220" s="30"/>
      <c r="AB220" s="1005"/>
    </row>
    <row r="221" spans="1:28">
      <c r="A221" s="29"/>
      <c r="B221" s="30"/>
      <c r="C221" s="30"/>
      <c r="D221" s="736"/>
      <c r="E221" s="30"/>
      <c r="F221" s="30"/>
      <c r="G221" s="30"/>
      <c r="H221" s="30"/>
      <c r="I221" s="30"/>
      <c r="J221" s="30"/>
      <c r="K221" s="30"/>
      <c r="L221" s="30"/>
      <c r="M221" s="30"/>
      <c r="N221" s="37"/>
      <c r="O221" s="30"/>
      <c r="P221" s="30"/>
      <c r="Q221" s="30"/>
      <c r="R221" s="30"/>
      <c r="S221" s="736"/>
      <c r="T221" s="30"/>
      <c r="U221" s="30"/>
      <c r="V221" s="30"/>
      <c r="W221" s="30"/>
      <c r="X221" s="30"/>
      <c r="Y221" s="30"/>
      <c r="Z221" s="30"/>
      <c r="AA221" s="30"/>
      <c r="AB221" s="1005"/>
    </row>
    <row r="222" spans="1:28">
      <c r="A222" s="29"/>
      <c r="B222" s="30"/>
      <c r="C222" s="30"/>
      <c r="D222" s="736"/>
      <c r="E222" s="30"/>
      <c r="F222" s="30"/>
      <c r="G222" s="30"/>
      <c r="H222" s="30"/>
      <c r="I222" s="30"/>
      <c r="J222" s="30"/>
      <c r="K222" s="30"/>
      <c r="L222" s="30"/>
      <c r="M222" s="30"/>
      <c r="N222" s="37"/>
      <c r="O222" s="30"/>
      <c r="P222" s="30"/>
      <c r="Q222" s="30"/>
      <c r="R222" s="30"/>
      <c r="S222" s="736"/>
      <c r="T222" s="30"/>
      <c r="U222" s="30"/>
      <c r="V222" s="30"/>
      <c r="W222" s="30"/>
      <c r="X222" s="30"/>
      <c r="Y222" s="30"/>
      <c r="Z222" s="30"/>
      <c r="AA222" s="30"/>
      <c r="AB222" s="1005"/>
    </row>
    <row r="223" spans="1:28">
      <c r="A223" s="29"/>
      <c r="B223" s="30"/>
      <c r="C223" s="30"/>
      <c r="D223" s="736"/>
      <c r="E223" s="30"/>
      <c r="F223" s="30"/>
      <c r="G223" s="30"/>
      <c r="H223" s="30"/>
      <c r="I223" s="30"/>
      <c r="J223" s="30"/>
      <c r="K223" s="30"/>
      <c r="L223" s="30"/>
      <c r="M223" s="30"/>
      <c r="N223" s="37"/>
      <c r="O223" s="30"/>
      <c r="P223" s="30"/>
      <c r="Q223" s="30"/>
      <c r="R223" s="30"/>
      <c r="S223" s="736"/>
      <c r="T223" s="30"/>
      <c r="U223" s="30"/>
      <c r="V223" s="30"/>
      <c r="W223" s="30"/>
      <c r="X223" s="30"/>
      <c r="Y223" s="30"/>
      <c r="Z223" s="30"/>
      <c r="AA223" s="30"/>
      <c r="AB223" s="1005"/>
    </row>
    <row r="224" spans="1:28">
      <c r="A224" s="29"/>
      <c r="B224" s="30"/>
      <c r="C224" s="30"/>
      <c r="D224" s="736"/>
      <c r="E224" s="30"/>
      <c r="F224" s="30"/>
      <c r="G224" s="30"/>
      <c r="H224" s="30"/>
      <c r="I224" s="30"/>
      <c r="J224" s="30"/>
      <c r="K224" s="30"/>
      <c r="L224" s="30"/>
      <c r="M224" s="30"/>
      <c r="N224" s="37"/>
      <c r="O224" s="30"/>
      <c r="P224" s="30"/>
      <c r="Q224" s="30"/>
      <c r="R224" s="30"/>
      <c r="S224" s="736"/>
      <c r="T224" s="30"/>
      <c r="U224" s="30"/>
      <c r="V224" s="30"/>
      <c r="W224" s="30"/>
      <c r="X224" s="30"/>
      <c r="Y224" s="30"/>
      <c r="Z224" s="30"/>
      <c r="AA224" s="30"/>
      <c r="AB224" s="1005"/>
    </row>
    <row r="225" spans="1:28">
      <c r="A225" s="29"/>
      <c r="B225" s="30"/>
      <c r="C225" s="30"/>
      <c r="D225" s="736"/>
      <c r="E225" s="30"/>
      <c r="F225" s="30"/>
      <c r="G225" s="30"/>
      <c r="H225" s="30"/>
      <c r="I225" s="30"/>
      <c r="J225" s="30"/>
      <c r="K225" s="30"/>
      <c r="L225" s="30"/>
      <c r="M225" s="30"/>
      <c r="N225" s="37"/>
      <c r="O225" s="30"/>
      <c r="P225" s="30"/>
      <c r="Q225" s="30"/>
      <c r="R225" s="30"/>
      <c r="S225" s="736"/>
      <c r="T225" s="30"/>
      <c r="U225" s="30"/>
      <c r="V225" s="30"/>
      <c r="W225" s="30"/>
      <c r="X225" s="30"/>
      <c r="Y225" s="30"/>
      <c r="Z225" s="30"/>
      <c r="AA225" s="30"/>
      <c r="AB225" s="1005"/>
    </row>
    <row r="226" spans="1:28">
      <c r="A226" s="29"/>
      <c r="B226" s="30"/>
      <c r="C226" s="30"/>
      <c r="D226" s="736"/>
      <c r="E226" s="30"/>
      <c r="F226" s="30"/>
      <c r="G226" s="30"/>
      <c r="H226" s="30"/>
      <c r="I226" s="30"/>
      <c r="J226" s="30"/>
      <c r="K226" s="30"/>
      <c r="L226" s="30"/>
      <c r="M226" s="30"/>
      <c r="N226" s="37"/>
      <c r="O226" s="30"/>
      <c r="P226" s="30"/>
      <c r="Q226" s="30"/>
      <c r="R226" s="30"/>
      <c r="S226" s="736"/>
      <c r="T226" s="30"/>
      <c r="U226" s="30"/>
      <c r="V226" s="30"/>
      <c r="W226" s="30"/>
      <c r="X226" s="30"/>
      <c r="Y226" s="30"/>
      <c r="Z226" s="30"/>
      <c r="AA226" s="30"/>
      <c r="AB226" s="1005"/>
    </row>
    <row r="227" spans="1:28">
      <c r="A227" s="29"/>
      <c r="B227" s="30"/>
      <c r="C227" s="30"/>
      <c r="D227" s="736"/>
      <c r="E227" s="30"/>
      <c r="F227" s="30"/>
      <c r="G227" s="30"/>
      <c r="H227" s="30"/>
      <c r="I227" s="30"/>
      <c r="J227" s="30"/>
      <c r="K227" s="30"/>
      <c r="L227" s="30"/>
      <c r="M227" s="30"/>
      <c r="N227" s="37"/>
      <c r="O227" s="30"/>
      <c r="P227" s="30"/>
      <c r="Q227" s="30"/>
      <c r="R227" s="30"/>
      <c r="S227" s="736"/>
      <c r="T227" s="30"/>
      <c r="U227" s="30"/>
      <c r="V227" s="30"/>
      <c r="W227" s="30"/>
      <c r="X227" s="30"/>
      <c r="Y227" s="30"/>
      <c r="Z227" s="30"/>
      <c r="AA227" s="30"/>
      <c r="AB227" s="1005"/>
    </row>
    <row r="228" spans="1:28">
      <c r="A228" s="29"/>
      <c r="B228" s="30"/>
      <c r="C228" s="30"/>
      <c r="D228" s="736"/>
      <c r="E228" s="30"/>
      <c r="F228" s="30"/>
      <c r="G228" s="30"/>
      <c r="H228" s="30"/>
      <c r="I228" s="30"/>
      <c r="J228" s="30"/>
      <c r="K228" s="30"/>
      <c r="L228" s="30"/>
      <c r="M228" s="30"/>
      <c r="N228" s="37"/>
      <c r="O228" s="30"/>
      <c r="P228" s="30"/>
      <c r="Q228" s="30"/>
      <c r="R228" s="30"/>
      <c r="S228" s="736"/>
      <c r="T228" s="30"/>
      <c r="U228" s="30"/>
      <c r="V228" s="30"/>
      <c r="W228" s="30"/>
      <c r="X228" s="30"/>
      <c r="Y228" s="30"/>
      <c r="Z228" s="30"/>
      <c r="AA228" s="30"/>
      <c r="AB228" s="1005"/>
    </row>
    <row r="229" spans="1:28">
      <c r="A229" s="29"/>
      <c r="B229" s="30"/>
      <c r="C229" s="30"/>
      <c r="D229" s="736"/>
      <c r="E229" s="30"/>
      <c r="F229" s="30"/>
      <c r="G229" s="30"/>
      <c r="H229" s="30"/>
      <c r="I229" s="30"/>
      <c r="J229" s="30"/>
      <c r="K229" s="30"/>
      <c r="L229" s="30"/>
      <c r="M229" s="30"/>
      <c r="N229" s="37"/>
      <c r="O229" s="30"/>
      <c r="P229" s="30"/>
      <c r="Q229" s="30"/>
      <c r="R229" s="30"/>
      <c r="S229" s="736"/>
      <c r="T229" s="30"/>
      <c r="U229" s="30"/>
      <c r="V229" s="30"/>
      <c r="W229" s="30"/>
      <c r="X229" s="30"/>
      <c r="Y229" s="30"/>
      <c r="Z229" s="30"/>
      <c r="AA229" s="30"/>
      <c r="AB229" s="1005"/>
    </row>
    <row r="230" spans="1:28">
      <c r="A230" s="29"/>
      <c r="B230" s="30"/>
      <c r="C230" s="30"/>
      <c r="D230" s="736"/>
      <c r="E230" s="30"/>
      <c r="F230" s="30"/>
      <c r="G230" s="30"/>
      <c r="H230" s="30"/>
      <c r="I230" s="30"/>
      <c r="J230" s="30"/>
      <c r="K230" s="30"/>
      <c r="L230" s="30"/>
      <c r="M230" s="30"/>
      <c r="N230" s="37"/>
      <c r="O230" s="30"/>
      <c r="P230" s="30"/>
      <c r="Q230" s="30"/>
      <c r="R230" s="30"/>
      <c r="S230" s="736"/>
      <c r="T230" s="30"/>
      <c r="U230" s="30"/>
      <c r="V230" s="30"/>
      <c r="W230" s="30"/>
      <c r="X230" s="30"/>
      <c r="Y230" s="30"/>
      <c r="Z230" s="30"/>
      <c r="AA230" s="30"/>
      <c r="AB230" s="1005"/>
    </row>
    <row r="231" spans="1:28">
      <c r="A231" s="29"/>
      <c r="B231" s="30"/>
      <c r="C231" s="30"/>
      <c r="D231" s="736"/>
      <c r="E231" s="30"/>
      <c r="F231" s="30"/>
      <c r="G231" s="30"/>
      <c r="H231" s="30"/>
      <c r="I231" s="30"/>
      <c r="J231" s="30"/>
      <c r="K231" s="30"/>
      <c r="L231" s="30"/>
      <c r="M231" s="30"/>
      <c r="N231" s="37"/>
      <c r="O231" s="30"/>
      <c r="P231" s="30"/>
      <c r="Q231" s="30"/>
      <c r="R231" s="30"/>
      <c r="S231" s="736"/>
      <c r="T231" s="30"/>
      <c r="U231" s="30"/>
      <c r="V231" s="30"/>
      <c r="W231" s="30"/>
      <c r="X231" s="30"/>
      <c r="Y231" s="30"/>
      <c r="Z231" s="30"/>
      <c r="AA231" s="30"/>
      <c r="AB231" s="1005"/>
    </row>
    <row r="232" spans="1:28">
      <c r="A232" s="29"/>
      <c r="B232" s="30"/>
      <c r="C232" s="30"/>
      <c r="D232" s="736"/>
      <c r="E232" s="30"/>
      <c r="F232" s="30"/>
      <c r="G232" s="30"/>
      <c r="H232" s="30"/>
      <c r="I232" s="30"/>
      <c r="J232" s="30"/>
      <c r="K232" s="30"/>
      <c r="L232" s="30"/>
      <c r="M232" s="30"/>
      <c r="N232" s="37"/>
      <c r="O232" s="30"/>
      <c r="P232" s="30"/>
      <c r="Q232" s="30"/>
      <c r="R232" s="30"/>
      <c r="S232" s="736"/>
      <c r="T232" s="30"/>
      <c r="U232" s="30"/>
      <c r="V232" s="30"/>
      <c r="W232" s="30"/>
      <c r="X232" s="30"/>
      <c r="Y232" s="30"/>
      <c r="Z232" s="30"/>
      <c r="AA232" s="30"/>
      <c r="AB232" s="1005"/>
    </row>
    <row r="233" spans="1:28">
      <c r="A233" s="29"/>
      <c r="B233" s="30"/>
      <c r="C233" s="30"/>
      <c r="D233" s="736"/>
      <c r="E233" s="30"/>
      <c r="F233" s="30"/>
      <c r="G233" s="30"/>
      <c r="H233" s="30"/>
      <c r="I233" s="30"/>
      <c r="J233" s="30"/>
      <c r="K233" s="30"/>
      <c r="L233" s="30"/>
      <c r="M233" s="30"/>
      <c r="N233" s="37"/>
      <c r="O233" s="30"/>
      <c r="P233" s="30"/>
      <c r="Q233" s="30"/>
      <c r="R233" s="30"/>
      <c r="S233" s="736"/>
      <c r="T233" s="30"/>
      <c r="U233" s="30"/>
      <c r="V233" s="30"/>
      <c r="W233" s="30"/>
      <c r="X233" s="30"/>
      <c r="Y233" s="30"/>
      <c r="Z233" s="30"/>
      <c r="AA233" s="30"/>
      <c r="AB233" s="1005"/>
    </row>
    <row r="234" spans="1:28">
      <c r="A234" s="29"/>
      <c r="B234" s="30"/>
      <c r="C234" s="30"/>
      <c r="D234" s="736"/>
      <c r="E234" s="30"/>
      <c r="F234" s="30"/>
      <c r="G234" s="30"/>
      <c r="H234" s="30"/>
      <c r="I234" s="30"/>
      <c r="J234" s="30"/>
      <c r="K234" s="30"/>
      <c r="L234" s="30"/>
      <c r="M234" s="30"/>
      <c r="N234" s="37"/>
      <c r="O234" s="30"/>
      <c r="P234" s="30"/>
      <c r="Q234" s="30"/>
      <c r="R234" s="30"/>
      <c r="S234" s="736"/>
      <c r="T234" s="30"/>
      <c r="U234" s="30"/>
      <c r="V234" s="30"/>
      <c r="W234" s="30"/>
      <c r="X234" s="30"/>
      <c r="Y234" s="30"/>
      <c r="Z234" s="30"/>
      <c r="AA234" s="30"/>
      <c r="AB234" s="1005"/>
    </row>
    <row r="235" spans="1:28">
      <c r="A235" s="29"/>
      <c r="B235" s="30"/>
      <c r="C235" s="30"/>
      <c r="D235" s="736"/>
      <c r="E235" s="30"/>
      <c r="F235" s="30"/>
      <c r="G235" s="30"/>
      <c r="H235" s="30"/>
      <c r="I235" s="30"/>
      <c r="J235" s="30"/>
      <c r="K235" s="30"/>
      <c r="L235" s="30"/>
      <c r="M235" s="30"/>
      <c r="N235" s="37"/>
      <c r="O235" s="30"/>
      <c r="P235" s="30"/>
      <c r="Q235" s="30"/>
      <c r="R235" s="30"/>
      <c r="S235" s="736"/>
      <c r="T235" s="30"/>
      <c r="U235" s="30"/>
      <c r="V235" s="30"/>
      <c r="W235" s="30"/>
      <c r="X235" s="30"/>
      <c r="Y235" s="30"/>
      <c r="Z235" s="30"/>
      <c r="AA235" s="30"/>
      <c r="AB235" s="1005"/>
    </row>
    <row r="236" spans="1:28">
      <c r="A236" s="29"/>
      <c r="B236" s="30"/>
      <c r="C236" s="30"/>
      <c r="D236" s="736"/>
      <c r="E236" s="30"/>
      <c r="F236" s="30"/>
      <c r="G236" s="30"/>
      <c r="H236" s="30"/>
      <c r="I236" s="30"/>
      <c r="J236" s="30"/>
      <c r="K236" s="30"/>
      <c r="L236" s="30"/>
      <c r="M236" s="30"/>
      <c r="N236" s="37"/>
      <c r="O236" s="30"/>
      <c r="P236" s="30"/>
      <c r="Q236" s="30"/>
      <c r="R236" s="30"/>
      <c r="S236" s="736"/>
      <c r="T236" s="30"/>
      <c r="U236" s="30"/>
      <c r="V236" s="30"/>
      <c r="W236" s="30"/>
      <c r="X236" s="30"/>
      <c r="Y236" s="30"/>
      <c r="Z236" s="30"/>
      <c r="AA236" s="30"/>
      <c r="AB236" s="1005"/>
    </row>
    <row r="237" spans="1:28">
      <c r="A237" s="29"/>
      <c r="B237" s="30"/>
      <c r="C237" s="30"/>
      <c r="D237" s="736"/>
      <c r="E237" s="30"/>
      <c r="F237" s="30"/>
      <c r="G237" s="30"/>
      <c r="H237" s="30"/>
      <c r="I237" s="30"/>
      <c r="J237" s="30"/>
      <c r="K237" s="30"/>
      <c r="L237" s="30"/>
      <c r="M237" s="30"/>
      <c r="N237" s="37"/>
      <c r="O237" s="30"/>
      <c r="P237" s="30"/>
      <c r="Q237" s="30"/>
      <c r="R237" s="30"/>
      <c r="S237" s="736"/>
      <c r="T237" s="30"/>
      <c r="U237" s="30"/>
      <c r="V237" s="30"/>
      <c r="W237" s="30"/>
      <c r="X237" s="30"/>
      <c r="Y237" s="30"/>
      <c r="Z237" s="30"/>
      <c r="AA237" s="30"/>
      <c r="AB237" s="1005"/>
    </row>
    <row r="238" spans="1:28">
      <c r="A238" s="29"/>
      <c r="B238" s="30"/>
      <c r="C238" s="30"/>
      <c r="D238" s="736"/>
      <c r="E238" s="30"/>
      <c r="F238" s="30"/>
      <c r="G238" s="30"/>
      <c r="H238" s="30"/>
      <c r="I238" s="30"/>
      <c r="J238" s="30"/>
      <c r="K238" s="30"/>
      <c r="L238" s="30"/>
      <c r="M238" s="30"/>
      <c r="N238" s="37"/>
      <c r="O238" s="30"/>
      <c r="P238" s="30"/>
      <c r="Q238" s="30"/>
      <c r="R238" s="30"/>
      <c r="S238" s="736"/>
      <c r="T238" s="30"/>
      <c r="U238" s="30"/>
      <c r="V238" s="30"/>
      <c r="W238" s="30"/>
      <c r="X238" s="30"/>
      <c r="Y238" s="30"/>
      <c r="Z238" s="30"/>
      <c r="AA238" s="30"/>
      <c r="AB238" s="1005"/>
    </row>
    <row r="239" spans="1:28">
      <c r="A239" s="29"/>
      <c r="B239" s="30"/>
      <c r="C239" s="30"/>
      <c r="D239" s="736"/>
      <c r="E239" s="30"/>
      <c r="F239" s="30"/>
      <c r="G239" s="30"/>
      <c r="H239" s="30"/>
      <c r="I239" s="30"/>
      <c r="J239" s="30"/>
      <c r="K239" s="30"/>
      <c r="L239" s="30"/>
      <c r="M239" s="30"/>
      <c r="N239" s="37"/>
      <c r="O239" s="30"/>
      <c r="P239" s="30"/>
      <c r="Q239" s="30"/>
      <c r="R239" s="30"/>
      <c r="S239" s="736"/>
      <c r="T239" s="30"/>
      <c r="U239" s="30"/>
      <c r="V239" s="30"/>
      <c r="W239" s="30"/>
      <c r="X239" s="30"/>
      <c r="Y239" s="30"/>
      <c r="Z239" s="30"/>
      <c r="AA239" s="30"/>
      <c r="AB239" s="1005"/>
    </row>
    <row r="240" spans="1:28">
      <c r="A240" s="29"/>
      <c r="B240" s="30"/>
      <c r="C240" s="30"/>
      <c r="D240" s="736"/>
      <c r="E240" s="30"/>
      <c r="F240" s="30"/>
      <c r="G240" s="30"/>
      <c r="H240" s="30"/>
      <c r="I240" s="30"/>
      <c r="J240" s="30"/>
      <c r="K240" s="30"/>
      <c r="L240" s="30"/>
      <c r="M240" s="30"/>
      <c r="N240" s="37"/>
      <c r="O240" s="30"/>
      <c r="P240" s="30"/>
      <c r="Q240" s="30"/>
      <c r="R240" s="30"/>
      <c r="S240" s="736"/>
      <c r="T240" s="30"/>
      <c r="U240" s="30"/>
      <c r="V240" s="30"/>
      <c r="W240" s="30"/>
      <c r="X240" s="30"/>
      <c r="Y240" s="30"/>
      <c r="Z240" s="30"/>
      <c r="AA240" s="30"/>
      <c r="AB240" s="1005"/>
    </row>
    <row r="241" spans="1:28">
      <c r="A241" s="29"/>
      <c r="B241" s="30"/>
      <c r="C241" s="30"/>
      <c r="D241" s="736"/>
      <c r="E241" s="30"/>
      <c r="F241" s="30"/>
      <c r="G241" s="30"/>
      <c r="H241" s="30"/>
      <c r="I241" s="30"/>
      <c r="J241" s="30"/>
      <c r="K241" s="30"/>
      <c r="L241" s="30"/>
      <c r="M241" s="30"/>
      <c r="N241" s="37"/>
      <c r="O241" s="30"/>
      <c r="P241" s="30"/>
      <c r="Q241" s="30"/>
      <c r="R241" s="30"/>
      <c r="S241" s="736"/>
      <c r="T241" s="30"/>
      <c r="U241" s="30"/>
      <c r="V241" s="30"/>
      <c r="W241" s="30"/>
      <c r="X241" s="30"/>
      <c r="Y241" s="30"/>
      <c r="Z241" s="30"/>
      <c r="AA241" s="30"/>
      <c r="AB241" s="1005"/>
    </row>
    <row r="242" spans="1:28">
      <c r="A242" s="29"/>
      <c r="B242" s="30"/>
      <c r="C242" s="30"/>
      <c r="D242" s="736"/>
      <c r="E242" s="30"/>
      <c r="F242" s="30"/>
      <c r="G242" s="30"/>
      <c r="H242" s="30"/>
      <c r="I242" s="30"/>
      <c r="J242" s="30"/>
      <c r="K242" s="30"/>
      <c r="L242" s="30"/>
      <c r="M242" s="30"/>
      <c r="N242" s="37"/>
      <c r="O242" s="30"/>
      <c r="P242" s="30"/>
      <c r="Q242" s="30"/>
      <c r="R242" s="30"/>
      <c r="S242" s="736"/>
      <c r="T242" s="30"/>
      <c r="U242" s="30"/>
      <c r="V242" s="30"/>
      <c r="W242" s="30"/>
      <c r="X242" s="30"/>
      <c r="Y242" s="30"/>
      <c r="Z242" s="30"/>
      <c r="AA242" s="30"/>
      <c r="AB242" s="1005"/>
    </row>
    <row r="243" spans="1:28">
      <c r="A243" s="29"/>
      <c r="B243" s="30"/>
      <c r="C243" s="30"/>
      <c r="D243" s="736"/>
      <c r="E243" s="30"/>
      <c r="F243" s="30"/>
      <c r="G243" s="30"/>
      <c r="H243" s="30"/>
      <c r="I243" s="30"/>
      <c r="J243" s="30"/>
      <c r="K243" s="30"/>
      <c r="L243" s="30"/>
      <c r="M243" s="30"/>
      <c r="N243" s="37"/>
      <c r="O243" s="30"/>
      <c r="P243" s="30"/>
      <c r="Q243" s="30"/>
      <c r="R243" s="30"/>
      <c r="S243" s="736"/>
      <c r="T243" s="30"/>
      <c r="U243" s="30"/>
      <c r="V243" s="30"/>
      <c r="W243" s="30"/>
      <c r="X243" s="30"/>
      <c r="Y243" s="30"/>
      <c r="Z243" s="30"/>
      <c r="AA243" s="30"/>
      <c r="AB243" s="1005"/>
    </row>
    <row r="244" spans="1:28">
      <c r="A244" s="29"/>
      <c r="B244" s="30"/>
      <c r="C244" s="30"/>
      <c r="D244" s="736"/>
      <c r="E244" s="30"/>
      <c r="F244" s="30"/>
      <c r="G244" s="30"/>
      <c r="H244" s="30"/>
      <c r="I244" s="30"/>
      <c r="J244" s="30"/>
      <c r="K244" s="30"/>
      <c r="L244" s="30"/>
      <c r="M244" s="30"/>
      <c r="N244" s="37"/>
      <c r="O244" s="30"/>
      <c r="P244" s="30"/>
      <c r="Q244" s="30"/>
      <c r="R244" s="30"/>
      <c r="S244" s="736"/>
      <c r="T244" s="30"/>
      <c r="U244" s="30"/>
      <c r="V244" s="30"/>
      <c r="W244" s="30"/>
      <c r="X244" s="30"/>
      <c r="Y244" s="30"/>
      <c r="Z244" s="30"/>
      <c r="AA244" s="30"/>
      <c r="AB244" s="1005"/>
    </row>
    <row r="245" spans="1:28">
      <c r="A245" s="29"/>
      <c r="B245" s="30"/>
      <c r="C245" s="30"/>
      <c r="D245" s="736"/>
      <c r="E245" s="30"/>
      <c r="F245" s="30"/>
      <c r="G245" s="30"/>
      <c r="H245" s="30"/>
      <c r="I245" s="30"/>
      <c r="J245" s="30"/>
      <c r="K245" s="30"/>
      <c r="L245" s="30"/>
      <c r="M245" s="30"/>
      <c r="N245" s="37"/>
      <c r="O245" s="30"/>
      <c r="P245" s="30"/>
      <c r="Q245" s="30"/>
      <c r="R245" s="30"/>
      <c r="S245" s="736"/>
      <c r="T245" s="30"/>
      <c r="U245" s="30"/>
      <c r="V245" s="30"/>
      <c r="W245" s="30"/>
      <c r="X245" s="30"/>
      <c r="Y245" s="30"/>
      <c r="Z245" s="30"/>
      <c r="AA245" s="30"/>
      <c r="AB245" s="1005"/>
    </row>
    <row r="246" spans="1:28">
      <c r="A246" s="29"/>
      <c r="B246" s="30"/>
      <c r="C246" s="30"/>
      <c r="D246" s="736"/>
      <c r="E246" s="30"/>
      <c r="F246" s="30"/>
      <c r="G246" s="30"/>
      <c r="H246" s="30"/>
      <c r="I246" s="30"/>
      <c r="J246" s="30"/>
      <c r="K246" s="30"/>
      <c r="L246" s="30"/>
      <c r="M246" s="30"/>
      <c r="N246" s="37"/>
      <c r="O246" s="30"/>
      <c r="P246" s="30"/>
      <c r="Q246" s="30"/>
      <c r="R246" s="30"/>
      <c r="S246" s="736"/>
      <c r="T246" s="30"/>
      <c r="U246" s="30"/>
      <c r="V246" s="30"/>
      <c r="W246" s="30"/>
      <c r="X246" s="30"/>
      <c r="Y246" s="30"/>
      <c r="Z246" s="30"/>
      <c r="AA246" s="30"/>
      <c r="AB246" s="1005"/>
    </row>
    <row r="247" spans="1:28">
      <c r="A247" s="29"/>
      <c r="B247" s="30"/>
      <c r="C247" s="30"/>
      <c r="D247" s="736"/>
      <c r="E247" s="30"/>
      <c r="F247" s="30"/>
      <c r="G247" s="30"/>
      <c r="H247" s="30"/>
      <c r="I247" s="30"/>
      <c r="J247" s="30"/>
      <c r="K247" s="30"/>
      <c r="L247" s="30"/>
      <c r="M247" s="30"/>
      <c r="N247" s="37"/>
      <c r="O247" s="30"/>
      <c r="P247" s="30"/>
      <c r="Q247" s="30"/>
      <c r="R247" s="30"/>
      <c r="S247" s="736"/>
      <c r="T247" s="30"/>
      <c r="U247" s="30"/>
      <c r="V247" s="30"/>
      <c r="W247" s="30"/>
      <c r="X247" s="30"/>
      <c r="Y247" s="30"/>
      <c r="Z247" s="30"/>
      <c r="AA247" s="30"/>
      <c r="AB247" s="1005"/>
    </row>
    <row r="248" spans="1:28">
      <c r="A248" s="29"/>
      <c r="B248" s="30"/>
      <c r="C248" s="30"/>
      <c r="D248" s="736"/>
      <c r="E248" s="30"/>
      <c r="F248" s="30"/>
      <c r="G248" s="30"/>
      <c r="H248" s="30"/>
      <c r="I248" s="30"/>
      <c r="J248" s="30"/>
      <c r="K248" s="30"/>
      <c r="L248" s="30"/>
      <c r="M248" s="30"/>
      <c r="N248" s="37"/>
      <c r="O248" s="30"/>
      <c r="P248" s="30"/>
      <c r="Q248" s="30"/>
      <c r="R248" s="30"/>
      <c r="S248" s="736"/>
      <c r="T248" s="30"/>
      <c r="U248" s="30"/>
      <c r="V248" s="30"/>
      <c r="W248" s="30"/>
      <c r="X248" s="30"/>
      <c r="Y248" s="30"/>
      <c r="Z248" s="30"/>
      <c r="AA248" s="30"/>
      <c r="AB248" s="1005"/>
    </row>
    <row r="249" spans="1:28">
      <c r="A249" s="29"/>
      <c r="B249" s="30"/>
      <c r="C249" s="30"/>
      <c r="D249" s="736"/>
      <c r="E249" s="30"/>
      <c r="F249" s="30"/>
      <c r="G249" s="30"/>
      <c r="H249" s="30"/>
      <c r="I249" s="30"/>
      <c r="J249" s="30"/>
      <c r="K249" s="30"/>
      <c r="L249" s="30"/>
      <c r="M249" s="30"/>
      <c r="N249" s="37"/>
      <c r="O249" s="30"/>
      <c r="P249" s="30"/>
      <c r="Q249" s="30"/>
      <c r="R249" s="30"/>
      <c r="S249" s="736"/>
      <c r="T249" s="30"/>
      <c r="U249" s="30"/>
      <c r="V249" s="30"/>
      <c r="W249" s="30"/>
      <c r="X249" s="30"/>
      <c r="Y249" s="30"/>
      <c r="Z249" s="30"/>
      <c r="AA249" s="30"/>
      <c r="AB249" s="1005"/>
    </row>
    <row r="250" spans="1:28">
      <c r="A250" s="29"/>
      <c r="B250" s="30"/>
      <c r="C250" s="30"/>
      <c r="D250" s="736"/>
      <c r="E250" s="30"/>
      <c r="F250" s="30"/>
      <c r="G250" s="30"/>
      <c r="H250" s="30"/>
      <c r="I250" s="30"/>
      <c r="J250" s="30"/>
      <c r="K250" s="30"/>
      <c r="L250" s="30"/>
      <c r="M250" s="30"/>
      <c r="N250" s="37"/>
      <c r="O250" s="30"/>
      <c r="P250" s="30"/>
      <c r="Q250" s="30"/>
      <c r="R250" s="30"/>
      <c r="S250" s="736"/>
      <c r="T250" s="30"/>
      <c r="U250" s="30"/>
      <c r="V250" s="30"/>
      <c r="W250" s="30"/>
      <c r="X250" s="30"/>
      <c r="Y250" s="30"/>
      <c r="Z250" s="30"/>
      <c r="AA250" s="30"/>
      <c r="AB250" s="1005"/>
    </row>
    <row r="251" spans="1:28">
      <c r="A251" s="29"/>
      <c r="B251" s="30"/>
      <c r="C251" s="30"/>
      <c r="D251" s="736"/>
      <c r="E251" s="30"/>
      <c r="F251" s="30"/>
      <c r="G251" s="30"/>
      <c r="H251" s="30"/>
      <c r="I251" s="30"/>
      <c r="J251" s="30"/>
      <c r="K251" s="30"/>
      <c r="L251" s="30"/>
      <c r="M251" s="30"/>
      <c r="N251" s="37"/>
      <c r="O251" s="30"/>
      <c r="P251" s="30"/>
      <c r="Q251" s="30"/>
      <c r="R251" s="30"/>
      <c r="S251" s="736"/>
      <c r="T251" s="30"/>
      <c r="U251" s="30"/>
      <c r="V251" s="30"/>
      <c r="W251" s="30"/>
      <c r="X251" s="30"/>
      <c r="Y251" s="30"/>
      <c r="Z251" s="30"/>
      <c r="AA251" s="30"/>
      <c r="AB251" s="1005"/>
    </row>
    <row r="252" spans="1:28">
      <c r="A252" s="29"/>
      <c r="B252" s="30"/>
      <c r="C252" s="30"/>
      <c r="D252" s="736"/>
      <c r="E252" s="30"/>
      <c r="F252" s="30"/>
      <c r="G252" s="30"/>
      <c r="H252" s="30"/>
      <c r="I252" s="30"/>
      <c r="J252" s="30"/>
      <c r="K252" s="30"/>
      <c r="L252" s="30"/>
      <c r="M252" s="30"/>
      <c r="N252" s="37"/>
      <c r="O252" s="30"/>
      <c r="P252" s="30"/>
      <c r="Q252" s="30"/>
      <c r="R252" s="30"/>
      <c r="S252" s="736"/>
      <c r="T252" s="30"/>
      <c r="U252" s="30"/>
      <c r="V252" s="30"/>
      <c r="W252" s="30"/>
      <c r="X252" s="30"/>
      <c r="Y252" s="30"/>
      <c r="Z252" s="30"/>
      <c r="AA252" s="30"/>
      <c r="AB252" s="1005"/>
    </row>
    <row r="253" spans="1:28">
      <c r="A253" s="29"/>
      <c r="B253" s="30"/>
      <c r="C253" s="30"/>
      <c r="D253" s="736"/>
      <c r="E253" s="30"/>
      <c r="F253" s="30"/>
      <c r="G253" s="30"/>
      <c r="H253" s="30"/>
      <c r="I253" s="30"/>
      <c r="J253" s="30"/>
      <c r="K253" s="30"/>
      <c r="L253" s="30"/>
      <c r="M253" s="30"/>
      <c r="N253" s="37"/>
      <c r="O253" s="30"/>
      <c r="P253" s="30"/>
      <c r="Q253" s="30"/>
      <c r="R253" s="30"/>
      <c r="S253" s="736"/>
      <c r="T253" s="30"/>
      <c r="U253" s="30"/>
      <c r="V253" s="30"/>
      <c r="W253" s="30"/>
      <c r="X253" s="30"/>
      <c r="Y253" s="30"/>
      <c r="Z253" s="30"/>
      <c r="AA253" s="30"/>
      <c r="AB253" s="1005"/>
    </row>
    <row r="254" spans="1:28">
      <c r="A254" s="29"/>
      <c r="B254" s="30"/>
      <c r="C254" s="30"/>
      <c r="D254" s="736"/>
      <c r="E254" s="30"/>
      <c r="F254" s="30"/>
      <c r="G254" s="30"/>
      <c r="H254" s="30"/>
      <c r="I254" s="30"/>
      <c r="J254" s="30"/>
      <c r="K254" s="30"/>
      <c r="L254" s="30"/>
      <c r="M254" s="30"/>
      <c r="N254" s="37"/>
      <c r="O254" s="30"/>
      <c r="P254" s="30"/>
      <c r="Q254" s="30"/>
      <c r="R254" s="30"/>
      <c r="S254" s="736"/>
      <c r="T254" s="30"/>
      <c r="U254" s="30"/>
      <c r="V254" s="30"/>
      <c r="W254" s="30"/>
      <c r="X254" s="30"/>
      <c r="Y254" s="30"/>
      <c r="Z254" s="30"/>
      <c r="AA254" s="30"/>
      <c r="AB254" s="1005"/>
    </row>
    <row r="255" spans="1:28">
      <c r="A255" s="29"/>
      <c r="B255" s="30"/>
      <c r="C255" s="30"/>
      <c r="D255" s="736"/>
      <c r="E255" s="30"/>
      <c r="F255" s="30"/>
      <c r="G255" s="30"/>
      <c r="H255" s="30"/>
      <c r="I255" s="30"/>
      <c r="J255" s="30"/>
      <c r="K255" s="30"/>
      <c r="L255" s="30"/>
      <c r="M255" s="30"/>
      <c r="N255" s="37"/>
      <c r="O255" s="30"/>
      <c r="P255" s="30"/>
      <c r="Q255" s="30"/>
      <c r="R255" s="30"/>
      <c r="S255" s="736"/>
      <c r="T255" s="30"/>
      <c r="U255" s="30"/>
      <c r="V255" s="30"/>
      <c r="W255" s="30"/>
      <c r="X255" s="30"/>
      <c r="Y255" s="30"/>
      <c r="Z255" s="30"/>
      <c r="AA255" s="30"/>
      <c r="AB255" s="1005"/>
    </row>
    <row r="256" spans="1:28">
      <c r="A256" s="29"/>
      <c r="B256" s="30"/>
      <c r="C256" s="30"/>
      <c r="D256" s="736"/>
      <c r="E256" s="30"/>
      <c r="F256" s="30"/>
      <c r="G256" s="30"/>
      <c r="H256" s="30"/>
      <c r="I256" s="30"/>
      <c r="J256" s="30"/>
      <c r="K256" s="30"/>
      <c r="L256" s="30"/>
      <c r="M256" s="30"/>
      <c r="N256" s="37"/>
      <c r="O256" s="30"/>
      <c r="P256" s="30"/>
      <c r="Q256" s="30"/>
      <c r="R256" s="30"/>
      <c r="S256" s="736"/>
      <c r="T256" s="30"/>
      <c r="U256" s="30"/>
      <c r="V256" s="30"/>
      <c r="W256" s="30"/>
      <c r="X256" s="30"/>
      <c r="Y256" s="30"/>
      <c r="Z256" s="30"/>
      <c r="AA256" s="30"/>
      <c r="AB256" s="1005"/>
    </row>
    <row r="257" spans="1:28">
      <c r="A257" s="29"/>
      <c r="B257" s="30"/>
      <c r="C257" s="30"/>
      <c r="D257" s="736"/>
      <c r="E257" s="30"/>
      <c r="F257" s="30"/>
      <c r="G257" s="30"/>
      <c r="H257" s="30"/>
      <c r="I257" s="30"/>
      <c r="J257" s="30"/>
      <c r="K257" s="30"/>
      <c r="L257" s="30"/>
      <c r="M257" s="30"/>
      <c r="N257" s="37"/>
      <c r="O257" s="30"/>
      <c r="P257" s="30"/>
      <c r="Q257" s="30"/>
      <c r="R257" s="30"/>
      <c r="S257" s="736"/>
      <c r="T257" s="30"/>
      <c r="U257" s="30"/>
      <c r="V257" s="30"/>
      <c r="W257" s="30"/>
      <c r="X257" s="30"/>
      <c r="Y257" s="30"/>
      <c r="Z257" s="30"/>
      <c r="AA257" s="30"/>
      <c r="AB257" s="1005"/>
    </row>
    <row r="258" spans="1:28">
      <c r="A258" s="29"/>
      <c r="B258" s="30"/>
      <c r="C258" s="30"/>
      <c r="D258" s="736"/>
      <c r="E258" s="30"/>
      <c r="F258" s="30"/>
      <c r="G258" s="30"/>
      <c r="H258" s="30"/>
      <c r="I258" s="30"/>
      <c r="J258" s="30"/>
      <c r="K258" s="30"/>
      <c r="L258" s="30"/>
      <c r="M258" s="30"/>
      <c r="N258" s="37"/>
      <c r="O258" s="30"/>
      <c r="P258" s="30"/>
      <c r="Q258" s="30"/>
      <c r="R258" s="30"/>
      <c r="S258" s="736"/>
      <c r="T258" s="30"/>
      <c r="U258" s="30"/>
      <c r="V258" s="30"/>
      <c r="W258" s="30"/>
      <c r="X258" s="30"/>
      <c r="Y258" s="30"/>
      <c r="Z258" s="30"/>
      <c r="AA258" s="30"/>
      <c r="AB258" s="1005"/>
    </row>
    <row r="259" spans="1:28">
      <c r="A259" s="29"/>
      <c r="B259" s="30"/>
      <c r="C259" s="30"/>
      <c r="D259" s="736"/>
      <c r="E259" s="30"/>
      <c r="F259" s="30"/>
      <c r="G259" s="30"/>
      <c r="H259" s="30"/>
      <c r="I259" s="30"/>
      <c r="J259" s="30"/>
      <c r="K259" s="30"/>
      <c r="L259" s="30"/>
      <c r="M259" s="30"/>
      <c r="N259" s="37"/>
      <c r="O259" s="30"/>
      <c r="P259" s="30"/>
      <c r="Q259" s="30"/>
      <c r="R259" s="30"/>
      <c r="S259" s="736"/>
      <c r="T259" s="30"/>
      <c r="U259" s="30"/>
      <c r="V259" s="30"/>
      <c r="W259" s="30"/>
      <c r="X259" s="30"/>
      <c r="Y259" s="30"/>
      <c r="Z259" s="30"/>
      <c r="AA259" s="30"/>
      <c r="AB259" s="1005"/>
    </row>
    <row r="260" spans="1:28">
      <c r="A260" s="29"/>
      <c r="B260" s="30"/>
      <c r="C260" s="30"/>
      <c r="D260" s="736"/>
      <c r="E260" s="30"/>
      <c r="F260" s="30"/>
      <c r="G260" s="30"/>
      <c r="H260" s="30"/>
      <c r="I260" s="30"/>
      <c r="J260" s="30"/>
      <c r="K260" s="30"/>
      <c r="L260" s="30"/>
      <c r="M260" s="30"/>
      <c r="N260" s="37"/>
      <c r="O260" s="30"/>
      <c r="P260" s="30"/>
      <c r="Q260" s="30"/>
      <c r="R260" s="30"/>
      <c r="S260" s="736"/>
      <c r="T260" s="30"/>
      <c r="U260" s="30"/>
      <c r="V260" s="30"/>
      <c r="W260" s="30"/>
      <c r="X260" s="30"/>
      <c r="Y260" s="30"/>
      <c r="Z260" s="30"/>
      <c r="AA260" s="30"/>
      <c r="AB260" s="1005"/>
    </row>
    <row r="261" spans="1:28">
      <c r="A261" s="29"/>
      <c r="B261" s="30"/>
      <c r="C261" s="30"/>
      <c r="D261" s="736"/>
      <c r="E261" s="30"/>
      <c r="F261" s="30"/>
      <c r="G261" s="30"/>
      <c r="H261" s="30"/>
      <c r="I261" s="30"/>
      <c r="J261" s="30"/>
      <c r="K261" s="30"/>
      <c r="L261" s="30"/>
      <c r="M261" s="30"/>
      <c r="N261" s="37"/>
      <c r="O261" s="30"/>
      <c r="P261" s="30"/>
      <c r="Q261" s="30"/>
      <c r="R261" s="30"/>
      <c r="S261" s="736"/>
      <c r="T261" s="30"/>
      <c r="U261" s="30"/>
      <c r="V261" s="30"/>
      <c r="W261" s="30"/>
      <c r="X261" s="30"/>
      <c r="Y261" s="30"/>
      <c r="Z261" s="30"/>
      <c r="AA261" s="30"/>
      <c r="AB261" s="1005"/>
    </row>
    <row r="262" spans="1:28">
      <c r="A262" s="29"/>
      <c r="B262" s="30"/>
      <c r="C262" s="30"/>
      <c r="D262" s="736"/>
      <c r="E262" s="30"/>
      <c r="F262" s="30"/>
      <c r="G262" s="30"/>
      <c r="H262" s="30"/>
      <c r="I262" s="30"/>
      <c r="J262" s="30"/>
      <c r="K262" s="30"/>
      <c r="L262" s="30"/>
      <c r="M262" s="30"/>
      <c r="N262" s="37"/>
      <c r="O262" s="30"/>
      <c r="P262" s="30"/>
      <c r="Q262" s="30"/>
      <c r="R262" s="30"/>
      <c r="S262" s="736"/>
      <c r="T262" s="30"/>
      <c r="U262" s="30"/>
      <c r="V262" s="30"/>
      <c r="W262" s="30"/>
      <c r="X262" s="30"/>
      <c r="Y262" s="30"/>
      <c r="Z262" s="30"/>
      <c r="AA262" s="30"/>
      <c r="AB262" s="1005"/>
    </row>
    <row r="263" spans="1:28">
      <c r="A263" s="29"/>
      <c r="B263" s="30"/>
      <c r="C263" s="30"/>
      <c r="D263" s="736"/>
      <c r="E263" s="30"/>
      <c r="F263" s="30"/>
      <c r="G263" s="30"/>
      <c r="H263" s="30"/>
      <c r="I263" s="30"/>
      <c r="J263" s="30"/>
      <c r="K263" s="30"/>
      <c r="L263" s="30"/>
      <c r="M263" s="30"/>
      <c r="N263" s="37"/>
      <c r="O263" s="30"/>
      <c r="P263" s="30"/>
      <c r="Q263" s="30"/>
      <c r="R263" s="30"/>
      <c r="S263" s="736"/>
      <c r="T263" s="30"/>
      <c r="U263" s="30"/>
      <c r="V263" s="30"/>
      <c r="W263" s="30"/>
      <c r="X263" s="30"/>
      <c r="Y263" s="30"/>
      <c r="Z263" s="30"/>
      <c r="AA263" s="30"/>
      <c r="AB263" s="1005"/>
    </row>
    <row r="264" spans="1:28">
      <c r="A264" s="29"/>
      <c r="B264" s="30"/>
      <c r="C264" s="30"/>
      <c r="D264" s="736"/>
      <c r="E264" s="30"/>
      <c r="F264" s="30"/>
      <c r="G264" s="30"/>
      <c r="H264" s="30"/>
      <c r="I264" s="30"/>
      <c r="J264" s="30"/>
      <c r="K264" s="30"/>
      <c r="L264" s="30"/>
      <c r="M264" s="30"/>
      <c r="N264" s="37"/>
      <c r="O264" s="30"/>
      <c r="P264" s="30"/>
      <c r="Q264" s="30"/>
      <c r="R264" s="30"/>
      <c r="S264" s="736"/>
      <c r="T264" s="30"/>
      <c r="U264" s="30"/>
      <c r="V264" s="30"/>
      <c r="W264" s="30"/>
      <c r="X264" s="30"/>
      <c r="Y264" s="30"/>
      <c r="Z264" s="30"/>
      <c r="AA264" s="30"/>
      <c r="AB264" s="1005"/>
    </row>
    <row r="265" spans="1:28">
      <c r="A265" s="29"/>
      <c r="B265" s="30"/>
      <c r="C265" s="30"/>
      <c r="D265" s="736"/>
      <c r="E265" s="30"/>
      <c r="F265" s="30"/>
      <c r="G265" s="30"/>
      <c r="H265" s="30"/>
      <c r="I265" s="30"/>
      <c r="J265" s="30"/>
      <c r="K265" s="30"/>
      <c r="L265" s="30"/>
      <c r="M265" s="30"/>
      <c r="N265" s="37"/>
      <c r="O265" s="30"/>
      <c r="P265" s="30"/>
      <c r="Q265" s="30"/>
      <c r="R265" s="30"/>
      <c r="S265" s="736"/>
      <c r="T265" s="30"/>
      <c r="U265" s="30"/>
      <c r="V265" s="30"/>
      <c r="W265" s="30"/>
      <c r="X265" s="30"/>
      <c r="Y265" s="30"/>
      <c r="Z265" s="30"/>
      <c r="AA265" s="30"/>
      <c r="AB265" s="1005"/>
    </row>
    <row r="266" spans="1:28">
      <c r="A266" s="29"/>
      <c r="B266" s="30"/>
      <c r="C266" s="30"/>
      <c r="D266" s="736"/>
      <c r="E266" s="30"/>
      <c r="F266" s="30"/>
      <c r="G266" s="30"/>
      <c r="H266" s="30"/>
      <c r="I266" s="30"/>
      <c r="J266" s="30"/>
      <c r="K266" s="30"/>
      <c r="L266" s="30"/>
      <c r="M266" s="30"/>
      <c r="N266" s="37"/>
      <c r="O266" s="30"/>
      <c r="P266" s="30"/>
      <c r="Q266" s="30"/>
      <c r="R266" s="30"/>
      <c r="S266" s="736"/>
      <c r="T266" s="30"/>
      <c r="U266" s="30"/>
      <c r="V266" s="30"/>
      <c r="W266" s="30"/>
      <c r="X266" s="30"/>
      <c r="Y266" s="30"/>
      <c r="Z266" s="30"/>
      <c r="AA266" s="30"/>
      <c r="AB266" s="1005"/>
    </row>
    <row r="267" spans="1:28">
      <c r="A267" s="29"/>
      <c r="B267" s="30"/>
      <c r="C267" s="30"/>
      <c r="D267" s="736"/>
      <c r="E267" s="30"/>
      <c r="F267" s="30"/>
      <c r="G267" s="30"/>
      <c r="H267" s="30"/>
      <c r="I267" s="30"/>
      <c r="J267" s="30"/>
      <c r="K267" s="30"/>
      <c r="L267" s="30"/>
      <c r="M267" s="30"/>
      <c r="N267" s="37"/>
      <c r="O267" s="30"/>
      <c r="P267" s="30"/>
      <c r="Q267" s="30"/>
      <c r="R267" s="30"/>
      <c r="S267" s="736"/>
      <c r="T267" s="30"/>
      <c r="U267" s="30"/>
      <c r="V267" s="30"/>
      <c r="W267" s="30"/>
      <c r="X267" s="30"/>
      <c r="Y267" s="30"/>
      <c r="Z267" s="30"/>
      <c r="AA267" s="30"/>
      <c r="AB267" s="1005"/>
    </row>
    <row r="268" spans="1:28">
      <c r="A268" s="29"/>
      <c r="B268" s="30"/>
      <c r="C268" s="30"/>
      <c r="D268" s="736"/>
      <c r="E268" s="30"/>
      <c r="F268" s="30"/>
      <c r="G268" s="30"/>
      <c r="H268" s="30"/>
      <c r="I268" s="30"/>
      <c r="J268" s="30"/>
      <c r="K268" s="30"/>
      <c r="L268" s="30"/>
      <c r="M268" s="30"/>
      <c r="N268" s="37"/>
      <c r="O268" s="30"/>
      <c r="P268" s="30"/>
      <c r="Q268" s="30"/>
      <c r="R268" s="30"/>
      <c r="S268" s="736"/>
      <c r="T268" s="30"/>
      <c r="U268" s="30"/>
      <c r="V268" s="30"/>
      <c r="W268" s="30"/>
      <c r="X268" s="30"/>
      <c r="Y268" s="30"/>
      <c r="Z268" s="30"/>
      <c r="AA268" s="30"/>
      <c r="AB268" s="1005"/>
    </row>
    <row r="269" spans="1:28">
      <c r="A269" s="29"/>
      <c r="B269" s="30"/>
      <c r="C269" s="30"/>
      <c r="D269" s="736"/>
      <c r="E269" s="30"/>
      <c r="F269" s="30"/>
      <c r="G269" s="30"/>
      <c r="H269" s="30"/>
      <c r="I269" s="30"/>
      <c r="J269" s="30"/>
      <c r="K269" s="30"/>
      <c r="L269" s="30"/>
      <c r="M269" s="30"/>
      <c r="N269" s="37"/>
      <c r="O269" s="30"/>
      <c r="P269" s="30"/>
      <c r="Q269" s="30"/>
      <c r="R269" s="30"/>
      <c r="S269" s="736"/>
      <c r="T269" s="30"/>
      <c r="U269" s="30"/>
      <c r="V269" s="30"/>
      <c r="W269" s="30"/>
      <c r="X269" s="30"/>
      <c r="Y269" s="30"/>
      <c r="Z269" s="30"/>
      <c r="AA269" s="30"/>
      <c r="AB269" s="1005"/>
    </row>
    <row r="270" spans="1:28">
      <c r="A270" s="29"/>
      <c r="B270" s="30"/>
      <c r="C270" s="30"/>
      <c r="D270" s="736"/>
      <c r="E270" s="30"/>
      <c r="F270" s="30"/>
      <c r="G270" s="30"/>
      <c r="H270" s="30"/>
      <c r="I270" s="30"/>
      <c r="J270" s="30"/>
      <c r="K270" s="30"/>
      <c r="L270" s="30"/>
      <c r="M270" s="30"/>
      <c r="N270" s="37"/>
      <c r="O270" s="30"/>
      <c r="P270" s="30"/>
      <c r="Q270" s="30"/>
      <c r="R270" s="30"/>
      <c r="S270" s="736"/>
      <c r="T270" s="30"/>
      <c r="U270" s="30"/>
      <c r="V270" s="30"/>
      <c r="W270" s="30"/>
      <c r="X270" s="30"/>
      <c r="Y270" s="30"/>
      <c r="Z270" s="30"/>
      <c r="AA270" s="30"/>
      <c r="AB270" s="1005"/>
    </row>
    <row r="271" spans="1:28">
      <c r="A271" s="29"/>
      <c r="B271" s="30"/>
      <c r="C271" s="30"/>
      <c r="D271" s="736"/>
      <c r="E271" s="30"/>
      <c r="F271" s="30"/>
      <c r="G271" s="30"/>
      <c r="H271" s="30"/>
      <c r="I271" s="30"/>
      <c r="J271" s="30"/>
      <c r="K271" s="30"/>
      <c r="L271" s="30"/>
      <c r="M271" s="30"/>
      <c r="N271" s="37"/>
      <c r="O271" s="30"/>
      <c r="P271" s="30"/>
      <c r="Q271" s="30"/>
      <c r="R271" s="30"/>
      <c r="S271" s="736"/>
      <c r="T271" s="30"/>
      <c r="U271" s="30"/>
      <c r="V271" s="30"/>
      <c r="W271" s="30"/>
      <c r="X271" s="30"/>
      <c r="Y271" s="30"/>
      <c r="Z271" s="30"/>
      <c r="AA271" s="30"/>
      <c r="AB271" s="1005"/>
    </row>
    <row r="272" spans="1:28">
      <c r="A272" s="29"/>
      <c r="B272" s="30"/>
      <c r="C272" s="30"/>
      <c r="D272" s="736"/>
      <c r="E272" s="30"/>
      <c r="F272" s="30"/>
      <c r="G272" s="30"/>
      <c r="H272" s="30"/>
      <c r="I272" s="30"/>
      <c r="J272" s="30"/>
      <c r="K272" s="30"/>
      <c r="L272" s="30"/>
      <c r="M272" s="30"/>
      <c r="N272" s="37"/>
      <c r="O272" s="30"/>
      <c r="P272" s="30"/>
      <c r="Q272" s="30"/>
      <c r="R272" s="30"/>
      <c r="S272" s="736"/>
      <c r="T272" s="30"/>
      <c r="U272" s="30"/>
      <c r="V272" s="30"/>
      <c r="W272" s="30"/>
      <c r="X272" s="30"/>
      <c r="Y272" s="30"/>
      <c r="Z272" s="30"/>
      <c r="AA272" s="30"/>
      <c r="AB272" s="1005"/>
    </row>
    <row r="273" spans="1:28">
      <c r="A273" s="29"/>
      <c r="B273" s="30"/>
      <c r="C273" s="30"/>
      <c r="D273" s="736"/>
      <c r="E273" s="30"/>
      <c r="F273" s="30"/>
      <c r="G273" s="30"/>
      <c r="H273" s="30"/>
      <c r="I273" s="30"/>
      <c r="J273" s="30"/>
      <c r="K273" s="30"/>
      <c r="L273" s="30"/>
      <c r="M273" s="30"/>
      <c r="N273" s="37"/>
      <c r="O273" s="30"/>
      <c r="P273" s="30"/>
      <c r="Q273" s="30"/>
      <c r="R273" s="30"/>
      <c r="S273" s="736"/>
      <c r="T273" s="30"/>
      <c r="U273" s="30"/>
      <c r="V273" s="30"/>
      <c r="W273" s="30"/>
      <c r="X273" s="30"/>
      <c r="Y273" s="30"/>
      <c r="Z273" s="30"/>
      <c r="AA273" s="30"/>
      <c r="AB273" s="1005"/>
    </row>
    <row r="274" spans="1:28">
      <c r="A274" s="29"/>
      <c r="B274" s="30"/>
      <c r="C274" s="30"/>
      <c r="D274" s="736"/>
      <c r="E274" s="30"/>
      <c r="F274" s="30"/>
      <c r="G274" s="30"/>
      <c r="H274" s="30"/>
      <c r="I274" s="30"/>
      <c r="J274" s="30"/>
      <c r="K274" s="30"/>
      <c r="L274" s="30"/>
      <c r="M274" s="30"/>
      <c r="N274" s="37"/>
      <c r="O274" s="30"/>
      <c r="P274" s="30"/>
      <c r="Q274" s="30"/>
      <c r="R274" s="30"/>
      <c r="S274" s="736"/>
      <c r="T274" s="30"/>
      <c r="U274" s="30"/>
      <c r="V274" s="30"/>
      <c r="W274" s="30"/>
      <c r="X274" s="30"/>
      <c r="Y274" s="30"/>
      <c r="Z274" s="30"/>
      <c r="AA274" s="30"/>
      <c r="AB274" s="1005"/>
    </row>
    <row r="275" spans="1:28">
      <c r="A275" s="29"/>
      <c r="B275" s="30"/>
      <c r="C275" s="30"/>
      <c r="D275" s="736"/>
      <c r="E275" s="30"/>
      <c r="F275" s="30"/>
      <c r="G275" s="30"/>
      <c r="H275" s="30"/>
      <c r="I275" s="30"/>
      <c r="J275" s="30"/>
      <c r="K275" s="30"/>
      <c r="L275" s="30"/>
      <c r="M275" s="30"/>
      <c r="N275" s="37"/>
      <c r="O275" s="30"/>
      <c r="P275" s="30"/>
      <c r="Q275" s="30"/>
      <c r="R275" s="30"/>
      <c r="S275" s="736"/>
      <c r="T275" s="30"/>
      <c r="U275" s="30"/>
      <c r="V275" s="30"/>
      <c r="W275" s="30"/>
      <c r="X275" s="30"/>
      <c r="Y275" s="30"/>
      <c r="Z275" s="30"/>
      <c r="AA275" s="30"/>
      <c r="AB275" s="1005"/>
    </row>
    <row r="276" spans="1:28">
      <c r="A276" s="29"/>
      <c r="B276" s="30"/>
      <c r="C276" s="30"/>
      <c r="D276" s="736"/>
      <c r="E276" s="30"/>
      <c r="F276" s="30"/>
      <c r="G276" s="30"/>
      <c r="H276" s="30"/>
      <c r="I276" s="30"/>
      <c r="J276" s="30"/>
      <c r="K276" s="30"/>
      <c r="L276" s="30"/>
      <c r="M276" s="30"/>
      <c r="N276" s="37"/>
      <c r="O276" s="30"/>
      <c r="P276" s="30"/>
      <c r="Q276" s="30"/>
      <c r="R276" s="30"/>
      <c r="S276" s="736"/>
      <c r="T276" s="30"/>
      <c r="U276" s="30"/>
      <c r="V276" s="30"/>
      <c r="W276" s="30"/>
      <c r="X276" s="30"/>
      <c r="Y276" s="30"/>
      <c r="Z276" s="30"/>
      <c r="AA276" s="30"/>
      <c r="AB276" s="1005"/>
    </row>
    <row r="277" spans="1:28">
      <c r="A277" s="29"/>
      <c r="B277" s="30"/>
      <c r="C277" s="30"/>
      <c r="D277" s="736"/>
      <c r="E277" s="30"/>
      <c r="F277" s="30"/>
      <c r="G277" s="30"/>
      <c r="H277" s="30"/>
      <c r="I277" s="30"/>
      <c r="J277" s="30"/>
      <c r="K277" s="30"/>
      <c r="L277" s="30"/>
      <c r="M277" s="30"/>
      <c r="N277" s="37"/>
      <c r="O277" s="30"/>
      <c r="P277" s="30"/>
      <c r="Q277" s="30"/>
      <c r="R277" s="30"/>
      <c r="S277" s="736"/>
      <c r="T277" s="30"/>
      <c r="U277" s="30"/>
      <c r="V277" s="30"/>
      <c r="W277" s="30"/>
      <c r="X277" s="30"/>
      <c r="Y277" s="30"/>
      <c r="Z277" s="30"/>
      <c r="AA277" s="30"/>
      <c r="AB277" s="1005"/>
    </row>
    <row r="278" spans="1:28">
      <c r="A278" s="29"/>
      <c r="B278" s="30"/>
      <c r="C278" s="30"/>
      <c r="D278" s="736"/>
      <c r="E278" s="30"/>
      <c r="F278" s="30"/>
      <c r="G278" s="30"/>
      <c r="H278" s="30"/>
      <c r="I278" s="30"/>
      <c r="J278" s="30"/>
      <c r="K278" s="30"/>
      <c r="L278" s="30"/>
      <c r="M278" s="30"/>
      <c r="N278" s="37"/>
      <c r="O278" s="30"/>
      <c r="P278" s="30"/>
      <c r="Q278" s="30"/>
      <c r="R278" s="30"/>
      <c r="S278" s="736"/>
      <c r="T278" s="30"/>
      <c r="U278" s="30"/>
      <c r="V278" s="30"/>
      <c r="W278" s="30"/>
      <c r="X278" s="30"/>
      <c r="Y278" s="30"/>
      <c r="Z278" s="30"/>
      <c r="AA278" s="30"/>
      <c r="AB278" s="1005"/>
    </row>
    <row r="279" spans="1:28">
      <c r="A279" s="29"/>
      <c r="B279" s="30"/>
      <c r="C279" s="30"/>
      <c r="D279" s="736"/>
      <c r="E279" s="30"/>
      <c r="F279" s="30"/>
      <c r="G279" s="30"/>
      <c r="H279" s="30"/>
      <c r="I279" s="30"/>
      <c r="J279" s="30"/>
      <c r="K279" s="30"/>
      <c r="L279" s="30"/>
      <c r="M279" s="30"/>
      <c r="N279" s="37"/>
      <c r="O279" s="30"/>
      <c r="P279" s="30"/>
      <c r="Q279" s="30"/>
      <c r="R279" s="30"/>
      <c r="S279" s="736"/>
      <c r="T279" s="30"/>
      <c r="U279" s="30"/>
      <c r="V279" s="30"/>
      <c r="W279" s="30"/>
      <c r="X279" s="30"/>
      <c r="Y279" s="30"/>
      <c r="Z279" s="30"/>
      <c r="AA279" s="30"/>
      <c r="AB279" s="1005"/>
    </row>
    <row r="280" spans="1:28">
      <c r="A280" s="29"/>
      <c r="B280" s="30"/>
      <c r="C280" s="30"/>
      <c r="D280" s="736"/>
      <c r="E280" s="30"/>
      <c r="F280" s="30"/>
      <c r="G280" s="30"/>
      <c r="H280" s="30"/>
      <c r="I280" s="30"/>
      <c r="J280" s="30"/>
      <c r="K280" s="30"/>
      <c r="L280" s="30"/>
      <c r="M280" s="30"/>
      <c r="N280" s="37"/>
      <c r="O280" s="30"/>
      <c r="P280" s="30"/>
      <c r="Q280" s="30"/>
      <c r="R280" s="30"/>
      <c r="S280" s="736"/>
      <c r="T280" s="30"/>
      <c r="U280" s="30"/>
      <c r="V280" s="30"/>
      <c r="W280" s="30"/>
      <c r="X280" s="30"/>
      <c r="Y280" s="30"/>
      <c r="Z280" s="30"/>
      <c r="AA280" s="30"/>
      <c r="AB280" s="1005"/>
    </row>
    <row r="281" spans="1:28">
      <c r="A281" s="29"/>
      <c r="B281" s="30"/>
      <c r="C281" s="30"/>
      <c r="D281" s="736"/>
      <c r="E281" s="30"/>
      <c r="F281" s="30"/>
      <c r="G281" s="30"/>
      <c r="H281" s="30"/>
      <c r="I281" s="30"/>
      <c r="J281" s="30"/>
      <c r="K281" s="30"/>
      <c r="L281" s="30"/>
      <c r="M281" s="30"/>
      <c r="N281" s="37"/>
      <c r="O281" s="30"/>
      <c r="P281" s="30"/>
      <c r="Q281" s="30"/>
      <c r="R281" s="30"/>
      <c r="S281" s="736"/>
      <c r="T281" s="30"/>
      <c r="U281" s="30"/>
      <c r="V281" s="30"/>
      <c r="W281" s="30"/>
      <c r="X281" s="30"/>
      <c r="Y281" s="30"/>
      <c r="Z281" s="30"/>
      <c r="AA281" s="30"/>
      <c r="AB281" s="1005"/>
    </row>
    <row r="282" spans="1:28">
      <c r="A282" s="29"/>
      <c r="B282" s="30"/>
      <c r="C282" s="30"/>
      <c r="D282" s="736"/>
      <c r="E282" s="30"/>
      <c r="F282" s="30"/>
      <c r="G282" s="30"/>
      <c r="H282" s="30"/>
      <c r="I282" s="30"/>
      <c r="J282" s="30"/>
      <c r="K282" s="30"/>
      <c r="L282" s="30"/>
      <c r="M282" s="30"/>
      <c r="N282" s="37"/>
      <c r="O282" s="30"/>
      <c r="P282" s="30"/>
      <c r="Q282" s="30"/>
      <c r="R282" s="30"/>
      <c r="S282" s="736"/>
      <c r="T282" s="30"/>
      <c r="U282" s="30"/>
      <c r="V282" s="30"/>
      <c r="W282" s="30"/>
      <c r="X282" s="30"/>
      <c r="Y282" s="30"/>
      <c r="Z282" s="30"/>
      <c r="AA282" s="30"/>
      <c r="AB282" s="1005"/>
    </row>
    <row r="283" spans="1:28">
      <c r="A283" s="29"/>
      <c r="B283" s="30"/>
      <c r="C283" s="30"/>
      <c r="D283" s="736"/>
      <c r="E283" s="30"/>
      <c r="F283" s="30"/>
      <c r="G283" s="30"/>
      <c r="H283" s="30"/>
      <c r="I283" s="30"/>
      <c r="J283" s="30"/>
      <c r="K283" s="30"/>
      <c r="L283" s="30"/>
      <c r="M283" s="30"/>
      <c r="N283" s="37"/>
      <c r="O283" s="30"/>
      <c r="P283" s="30"/>
      <c r="Q283" s="30"/>
      <c r="R283" s="30"/>
      <c r="S283" s="736"/>
      <c r="T283" s="30"/>
      <c r="U283" s="30"/>
      <c r="V283" s="30"/>
      <c r="W283" s="30"/>
      <c r="X283" s="30"/>
      <c r="Y283" s="30"/>
      <c r="Z283" s="30"/>
      <c r="AA283" s="30"/>
      <c r="AB283" s="1005"/>
    </row>
    <row r="284" spans="1:28">
      <c r="A284" s="29"/>
      <c r="B284" s="30"/>
      <c r="C284" s="30"/>
      <c r="D284" s="736"/>
      <c r="E284" s="30"/>
      <c r="F284" s="30"/>
      <c r="G284" s="30"/>
      <c r="H284" s="30"/>
      <c r="I284" s="30"/>
      <c r="J284" s="30"/>
      <c r="K284" s="30"/>
      <c r="L284" s="30"/>
      <c r="M284" s="30"/>
      <c r="N284" s="37"/>
      <c r="O284" s="30"/>
      <c r="P284" s="30"/>
      <c r="Q284" s="30"/>
      <c r="R284" s="30"/>
      <c r="S284" s="736"/>
      <c r="T284" s="30"/>
      <c r="U284" s="30"/>
      <c r="V284" s="30"/>
      <c r="W284" s="30"/>
      <c r="X284" s="30"/>
      <c r="Y284" s="30"/>
      <c r="Z284" s="30"/>
      <c r="AA284" s="30"/>
      <c r="AB284" s="1005"/>
    </row>
    <row r="285" spans="1:28">
      <c r="A285" s="29"/>
      <c r="B285" s="30"/>
      <c r="C285" s="30"/>
      <c r="D285" s="736"/>
      <c r="E285" s="30"/>
      <c r="F285" s="30"/>
      <c r="G285" s="30"/>
      <c r="H285" s="30"/>
      <c r="I285" s="30"/>
      <c r="J285" s="30"/>
      <c r="K285" s="30"/>
      <c r="L285" s="30"/>
      <c r="M285" s="30"/>
      <c r="N285" s="37"/>
      <c r="O285" s="30"/>
      <c r="P285" s="30"/>
      <c r="Q285" s="30"/>
      <c r="R285" s="30"/>
      <c r="S285" s="736"/>
      <c r="T285" s="30"/>
      <c r="U285" s="30"/>
      <c r="V285" s="30"/>
      <c r="W285" s="30"/>
      <c r="X285" s="30"/>
      <c r="Y285" s="30"/>
      <c r="Z285" s="30"/>
      <c r="AA285" s="30"/>
      <c r="AB285" s="1005"/>
    </row>
    <row r="286" spans="1:28">
      <c r="A286" s="29"/>
      <c r="B286" s="30"/>
      <c r="C286" s="30"/>
      <c r="D286" s="736"/>
      <c r="E286" s="30"/>
      <c r="F286" s="30"/>
      <c r="G286" s="30"/>
      <c r="H286" s="30"/>
      <c r="I286" s="30"/>
      <c r="J286" s="30"/>
      <c r="K286" s="30"/>
      <c r="L286" s="30"/>
      <c r="M286" s="30"/>
      <c r="N286" s="37"/>
      <c r="O286" s="30"/>
      <c r="P286" s="30"/>
      <c r="Q286" s="30"/>
      <c r="R286" s="30"/>
      <c r="S286" s="736"/>
      <c r="T286" s="30"/>
      <c r="U286" s="30"/>
      <c r="V286" s="30"/>
      <c r="W286" s="30"/>
      <c r="X286" s="30"/>
      <c r="Y286" s="30"/>
      <c r="Z286" s="30"/>
      <c r="AA286" s="30"/>
      <c r="AB286" s="1005"/>
    </row>
    <row r="287" spans="1:28">
      <c r="A287" s="29"/>
      <c r="B287" s="30"/>
      <c r="C287" s="30"/>
      <c r="D287" s="736"/>
      <c r="E287" s="30"/>
      <c r="F287" s="30"/>
      <c r="G287" s="30"/>
      <c r="H287" s="30"/>
      <c r="I287" s="30"/>
      <c r="J287" s="30"/>
      <c r="K287" s="30"/>
      <c r="L287" s="30"/>
      <c r="M287" s="30"/>
      <c r="N287" s="37"/>
      <c r="O287" s="30"/>
      <c r="P287" s="30"/>
      <c r="Q287" s="30"/>
      <c r="R287" s="30"/>
      <c r="S287" s="736"/>
      <c r="T287" s="30"/>
      <c r="U287" s="30"/>
      <c r="V287" s="30"/>
      <c r="W287" s="30"/>
      <c r="X287" s="30"/>
      <c r="Y287" s="30"/>
      <c r="Z287" s="30"/>
      <c r="AA287" s="30"/>
      <c r="AB287" s="1005"/>
    </row>
    <row r="288" spans="1:28">
      <c r="A288" s="29"/>
      <c r="B288" s="30"/>
      <c r="C288" s="30"/>
      <c r="D288" s="736"/>
      <c r="E288" s="30"/>
      <c r="F288" s="30"/>
      <c r="G288" s="30"/>
      <c r="H288" s="30"/>
      <c r="I288" s="30"/>
      <c r="J288" s="30"/>
      <c r="K288" s="30"/>
      <c r="L288" s="30"/>
      <c r="M288" s="30"/>
      <c r="N288" s="37"/>
      <c r="O288" s="30"/>
      <c r="P288" s="30"/>
      <c r="Q288" s="30"/>
      <c r="R288" s="30"/>
      <c r="S288" s="736"/>
      <c r="T288" s="30"/>
      <c r="U288" s="30"/>
      <c r="V288" s="30"/>
      <c r="W288" s="30"/>
      <c r="X288" s="30"/>
      <c r="Y288" s="30"/>
      <c r="Z288" s="30"/>
      <c r="AA288" s="30"/>
      <c r="AB288" s="1005"/>
    </row>
    <row r="289" spans="1:28">
      <c r="A289" s="29"/>
      <c r="B289" s="30"/>
      <c r="C289" s="30"/>
      <c r="D289" s="736"/>
      <c r="E289" s="30"/>
      <c r="F289" s="30"/>
      <c r="G289" s="30"/>
      <c r="H289" s="30"/>
      <c r="I289" s="30"/>
      <c r="J289" s="30"/>
      <c r="K289" s="30"/>
      <c r="L289" s="30"/>
      <c r="M289" s="30"/>
      <c r="N289" s="37"/>
      <c r="O289" s="30"/>
      <c r="P289" s="30"/>
      <c r="Q289" s="30"/>
      <c r="R289" s="30"/>
      <c r="S289" s="736"/>
      <c r="T289" s="30"/>
      <c r="U289" s="30"/>
      <c r="V289" s="30"/>
      <c r="W289" s="30"/>
      <c r="X289" s="30"/>
      <c r="Y289" s="30"/>
      <c r="Z289" s="30"/>
      <c r="AA289" s="30"/>
      <c r="AB289" s="1005"/>
    </row>
    <row r="290" spans="1:28">
      <c r="A290" s="29"/>
      <c r="B290" s="30"/>
      <c r="C290" s="30"/>
      <c r="D290" s="736"/>
      <c r="E290" s="30"/>
      <c r="F290" s="30"/>
      <c r="G290" s="30"/>
      <c r="H290" s="30"/>
      <c r="I290" s="30"/>
      <c r="J290" s="30"/>
      <c r="K290" s="30"/>
      <c r="L290" s="30"/>
      <c r="M290" s="30"/>
      <c r="N290" s="37"/>
      <c r="O290" s="30"/>
      <c r="P290" s="30"/>
      <c r="Q290" s="30"/>
      <c r="R290" s="30"/>
      <c r="S290" s="736"/>
      <c r="T290" s="30"/>
      <c r="U290" s="30"/>
      <c r="V290" s="30"/>
      <c r="W290" s="30"/>
      <c r="X290" s="30"/>
      <c r="Y290" s="30"/>
      <c r="Z290" s="30"/>
      <c r="AA290" s="30"/>
      <c r="AB290" s="1005"/>
    </row>
    <row r="291" spans="1:28">
      <c r="A291" s="29"/>
      <c r="B291" s="30"/>
      <c r="C291" s="30"/>
      <c r="D291" s="736"/>
      <c r="E291" s="30"/>
      <c r="F291" s="30"/>
      <c r="G291" s="30"/>
      <c r="H291" s="30"/>
      <c r="I291" s="30"/>
      <c r="J291" s="30"/>
      <c r="K291" s="30"/>
      <c r="L291" s="30"/>
      <c r="M291" s="30"/>
      <c r="N291" s="37"/>
      <c r="O291" s="30"/>
      <c r="P291" s="30"/>
      <c r="Q291" s="30"/>
      <c r="R291" s="30"/>
      <c r="S291" s="736"/>
      <c r="T291" s="30"/>
      <c r="U291" s="30"/>
      <c r="V291" s="30"/>
      <c r="W291" s="30"/>
      <c r="X291" s="30"/>
      <c r="Y291" s="30"/>
      <c r="Z291" s="30"/>
      <c r="AA291" s="30"/>
      <c r="AB291" s="1005"/>
    </row>
    <row r="292" spans="1:28">
      <c r="A292" s="29"/>
      <c r="B292" s="30"/>
      <c r="C292" s="30"/>
      <c r="D292" s="736"/>
      <c r="E292" s="30"/>
      <c r="F292" s="30"/>
      <c r="G292" s="30"/>
      <c r="H292" s="30"/>
      <c r="I292" s="30"/>
      <c r="J292" s="30"/>
      <c r="K292" s="30"/>
      <c r="L292" s="30"/>
      <c r="M292" s="30"/>
      <c r="N292" s="37"/>
      <c r="O292" s="30"/>
      <c r="P292" s="30"/>
      <c r="Q292" s="30"/>
      <c r="R292" s="30"/>
      <c r="S292" s="736"/>
      <c r="T292" s="30"/>
      <c r="U292" s="30"/>
      <c r="V292" s="30"/>
      <c r="W292" s="30"/>
      <c r="X292" s="30"/>
      <c r="Y292" s="30"/>
      <c r="Z292" s="30"/>
      <c r="AA292" s="30"/>
      <c r="AB292" s="1005"/>
    </row>
    <row r="293" spans="1:28">
      <c r="A293" s="29"/>
      <c r="B293" s="30"/>
      <c r="C293" s="30"/>
      <c r="D293" s="736"/>
      <c r="E293" s="30"/>
      <c r="F293" s="30"/>
      <c r="G293" s="30"/>
      <c r="H293" s="30"/>
      <c r="I293" s="30"/>
      <c r="J293" s="30"/>
      <c r="K293" s="30"/>
      <c r="L293" s="30"/>
      <c r="M293" s="30"/>
      <c r="N293" s="37"/>
      <c r="O293" s="30"/>
      <c r="P293" s="30"/>
      <c r="Q293" s="30"/>
      <c r="R293" s="30"/>
      <c r="S293" s="736"/>
      <c r="T293" s="30"/>
      <c r="U293" s="30"/>
      <c r="V293" s="30"/>
      <c r="W293" s="30"/>
      <c r="X293" s="30"/>
      <c r="Y293" s="30"/>
      <c r="Z293" s="30"/>
      <c r="AA293" s="30"/>
      <c r="AB293" s="1005"/>
    </row>
    <row r="294" spans="1:28">
      <c r="A294" s="29"/>
      <c r="B294" s="30"/>
      <c r="C294" s="30"/>
      <c r="D294" s="736"/>
      <c r="E294" s="30"/>
      <c r="F294" s="30"/>
      <c r="G294" s="30"/>
      <c r="H294" s="30"/>
      <c r="I294" s="30"/>
      <c r="J294" s="30"/>
      <c r="K294" s="30"/>
      <c r="L294" s="30"/>
      <c r="M294" s="30"/>
      <c r="N294" s="37"/>
      <c r="O294" s="30"/>
      <c r="P294" s="30"/>
      <c r="Q294" s="30"/>
      <c r="R294" s="30"/>
      <c r="S294" s="736"/>
      <c r="T294" s="30"/>
      <c r="U294" s="30"/>
      <c r="V294" s="30"/>
      <c r="W294" s="30"/>
      <c r="X294" s="30"/>
      <c r="Y294" s="30"/>
      <c r="Z294" s="30"/>
      <c r="AA294" s="30"/>
      <c r="AB294" s="1005"/>
    </row>
    <row r="295" spans="1:28">
      <c r="A295" s="29"/>
      <c r="B295" s="30"/>
      <c r="C295" s="30"/>
      <c r="D295" s="736"/>
      <c r="E295" s="30"/>
      <c r="F295" s="30"/>
      <c r="G295" s="30"/>
      <c r="H295" s="30"/>
      <c r="I295" s="30"/>
      <c r="J295" s="30"/>
      <c r="K295" s="30"/>
      <c r="L295" s="30"/>
      <c r="M295" s="30"/>
      <c r="N295" s="37"/>
      <c r="O295" s="30"/>
      <c r="P295" s="30"/>
      <c r="Q295" s="30"/>
      <c r="R295" s="30"/>
      <c r="S295" s="736"/>
      <c r="T295" s="30"/>
      <c r="U295" s="30"/>
      <c r="V295" s="30"/>
      <c r="W295" s="30"/>
      <c r="X295" s="30"/>
      <c r="Y295" s="30"/>
      <c r="Z295" s="30"/>
      <c r="AA295" s="30"/>
      <c r="AB295" s="1005"/>
    </row>
    <row r="296" spans="1:28">
      <c r="A296" s="29"/>
      <c r="B296" s="30"/>
      <c r="C296" s="30"/>
      <c r="D296" s="736"/>
      <c r="E296" s="30"/>
      <c r="F296" s="30"/>
      <c r="G296" s="30"/>
      <c r="H296" s="30"/>
      <c r="I296" s="30"/>
      <c r="J296" s="30"/>
      <c r="K296" s="30"/>
      <c r="L296" s="30"/>
      <c r="M296" s="30"/>
      <c r="N296" s="37"/>
      <c r="O296" s="30"/>
      <c r="P296" s="30"/>
      <c r="Q296" s="30"/>
      <c r="R296" s="30"/>
      <c r="S296" s="736"/>
      <c r="T296" s="30"/>
      <c r="U296" s="30"/>
      <c r="V296" s="30"/>
      <c r="W296" s="30"/>
      <c r="X296" s="30"/>
      <c r="Y296" s="30"/>
      <c r="Z296" s="30"/>
      <c r="AA296" s="30"/>
      <c r="AB296" s="1005"/>
    </row>
    <row r="297" spans="1:28">
      <c r="A297" s="29"/>
      <c r="B297" s="30"/>
      <c r="C297" s="30"/>
      <c r="D297" s="736"/>
      <c r="E297" s="30"/>
      <c r="F297" s="30"/>
      <c r="G297" s="30"/>
      <c r="H297" s="30"/>
      <c r="I297" s="30"/>
      <c r="J297" s="30"/>
      <c r="K297" s="30"/>
      <c r="L297" s="30"/>
      <c r="M297" s="30"/>
      <c r="N297" s="37"/>
      <c r="O297" s="30"/>
      <c r="P297" s="30"/>
      <c r="Q297" s="30"/>
      <c r="R297" s="30"/>
      <c r="S297" s="736"/>
      <c r="T297" s="30"/>
      <c r="U297" s="30"/>
      <c r="V297" s="30"/>
      <c r="W297" s="30"/>
      <c r="X297" s="30"/>
      <c r="Y297" s="30"/>
      <c r="Z297" s="30"/>
      <c r="AA297" s="30"/>
      <c r="AB297" s="1005"/>
    </row>
    <row r="298" spans="1:28">
      <c r="A298" s="29"/>
      <c r="B298" s="30"/>
      <c r="C298" s="30"/>
      <c r="D298" s="736"/>
      <c r="E298" s="30"/>
      <c r="F298" s="30"/>
      <c r="G298" s="30"/>
      <c r="H298" s="30"/>
      <c r="I298" s="30"/>
      <c r="J298" s="30"/>
      <c r="K298" s="30"/>
      <c r="L298" s="30"/>
      <c r="M298" s="30"/>
      <c r="N298" s="37"/>
      <c r="O298" s="30"/>
      <c r="P298" s="30"/>
      <c r="Q298" s="30"/>
      <c r="R298" s="30"/>
      <c r="S298" s="736"/>
      <c r="T298" s="30"/>
      <c r="U298" s="30"/>
      <c r="V298" s="30"/>
      <c r="W298" s="30"/>
      <c r="X298" s="30"/>
      <c r="Y298" s="30"/>
      <c r="Z298" s="30"/>
      <c r="AA298" s="30"/>
      <c r="AB298" s="1005"/>
    </row>
    <row r="299" spans="1:28">
      <c r="A299" s="29"/>
      <c r="B299" s="30"/>
      <c r="C299" s="30"/>
      <c r="D299" s="736"/>
      <c r="E299" s="30"/>
      <c r="F299" s="30"/>
      <c r="G299" s="30"/>
      <c r="H299" s="30"/>
      <c r="I299" s="30"/>
      <c r="J299" s="30"/>
      <c r="K299" s="30"/>
      <c r="L299" s="30"/>
      <c r="M299" s="30"/>
      <c r="N299" s="37"/>
      <c r="O299" s="30"/>
      <c r="P299" s="30"/>
      <c r="Q299" s="30"/>
      <c r="R299" s="30"/>
      <c r="S299" s="736"/>
      <c r="T299" s="30"/>
      <c r="U299" s="30"/>
      <c r="V299" s="30"/>
      <c r="W299" s="30"/>
      <c r="X299" s="30"/>
      <c r="Y299" s="30"/>
      <c r="Z299" s="30"/>
      <c r="AA299" s="30"/>
      <c r="AB299" s="1005"/>
    </row>
    <row r="300" spans="1:28">
      <c r="A300" s="29"/>
      <c r="B300" s="30"/>
      <c r="C300" s="30"/>
      <c r="D300" s="736"/>
      <c r="E300" s="30"/>
      <c r="F300" s="30"/>
      <c r="G300" s="30"/>
      <c r="H300" s="30"/>
      <c r="I300" s="30"/>
      <c r="J300" s="30"/>
      <c r="K300" s="30"/>
      <c r="L300" s="30"/>
      <c r="M300" s="30"/>
      <c r="N300" s="37"/>
      <c r="O300" s="30"/>
      <c r="P300" s="30"/>
      <c r="Q300" s="30"/>
      <c r="R300" s="30"/>
      <c r="S300" s="736"/>
      <c r="T300" s="30"/>
      <c r="U300" s="30"/>
      <c r="V300" s="30"/>
      <c r="W300" s="30"/>
      <c r="X300" s="30"/>
      <c r="Y300" s="30"/>
      <c r="Z300" s="30"/>
      <c r="AA300" s="30"/>
      <c r="AB300" s="1005"/>
    </row>
    <row r="301" spans="1:28">
      <c r="A301" s="29"/>
      <c r="B301" s="30"/>
      <c r="C301" s="30"/>
      <c r="D301" s="736"/>
      <c r="E301" s="30"/>
      <c r="F301" s="30"/>
      <c r="G301" s="30"/>
      <c r="H301" s="30"/>
      <c r="I301" s="30"/>
      <c r="J301" s="30"/>
      <c r="K301" s="30"/>
      <c r="L301" s="30"/>
      <c r="M301" s="30"/>
      <c r="N301" s="37"/>
      <c r="O301" s="30"/>
      <c r="P301" s="30"/>
      <c r="Q301" s="30"/>
      <c r="R301" s="30"/>
      <c r="S301" s="736"/>
      <c r="T301" s="30"/>
      <c r="U301" s="30"/>
      <c r="V301" s="30"/>
      <c r="W301" s="30"/>
      <c r="X301" s="30"/>
      <c r="Y301" s="30"/>
      <c r="Z301" s="30"/>
      <c r="AA301" s="30"/>
      <c r="AB301" s="1005"/>
    </row>
    <row r="302" spans="1:28">
      <c r="A302" s="29"/>
      <c r="B302" s="30"/>
      <c r="C302" s="30"/>
      <c r="D302" s="736"/>
      <c r="E302" s="30"/>
      <c r="F302" s="30"/>
      <c r="G302" s="30"/>
      <c r="H302" s="30"/>
      <c r="I302" s="30"/>
      <c r="J302" s="30"/>
      <c r="K302" s="30"/>
      <c r="L302" s="30"/>
      <c r="M302" s="30"/>
      <c r="N302" s="37"/>
      <c r="O302" s="30"/>
      <c r="P302" s="30"/>
      <c r="Q302" s="30"/>
      <c r="R302" s="30"/>
      <c r="S302" s="736"/>
      <c r="T302" s="30"/>
      <c r="U302" s="30"/>
      <c r="V302" s="30"/>
      <c r="W302" s="30"/>
      <c r="X302" s="30"/>
      <c r="Y302" s="30"/>
      <c r="Z302" s="30"/>
      <c r="AA302" s="30"/>
      <c r="AB302" s="1005"/>
    </row>
    <row r="303" spans="1:28">
      <c r="A303" s="29"/>
      <c r="B303" s="30"/>
      <c r="C303" s="30"/>
      <c r="D303" s="736"/>
      <c r="E303" s="30"/>
      <c r="F303" s="30"/>
      <c r="G303" s="30"/>
      <c r="H303" s="30"/>
      <c r="I303" s="30"/>
      <c r="J303" s="30"/>
      <c r="K303" s="30"/>
      <c r="L303" s="30"/>
      <c r="M303" s="30"/>
      <c r="N303" s="37"/>
      <c r="O303" s="30"/>
      <c r="P303" s="30"/>
      <c r="Q303" s="30"/>
      <c r="R303" s="30"/>
      <c r="S303" s="736"/>
      <c r="T303" s="30"/>
      <c r="U303" s="30"/>
      <c r="V303" s="30"/>
      <c r="W303" s="30"/>
      <c r="X303" s="30"/>
      <c r="Y303" s="30"/>
      <c r="Z303" s="30"/>
      <c r="AA303" s="30"/>
      <c r="AB303" s="1005"/>
    </row>
    <row r="304" spans="1:28">
      <c r="A304" s="29"/>
      <c r="B304" s="30"/>
      <c r="C304" s="30"/>
      <c r="D304" s="736"/>
      <c r="E304" s="30"/>
      <c r="F304" s="30"/>
      <c r="G304" s="30"/>
      <c r="H304" s="30"/>
      <c r="I304" s="30"/>
      <c r="J304" s="30"/>
      <c r="K304" s="30"/>
      <c r="L304" s="30"/>
      <c r="M304" s="30"/>
      <c r="N304" s="37"/>
      <c r="O304" s="30"/>
      <c r="P304" s="30"/>
      <c r="Q304" s="30"/>
      <c r="R304" s="30"/>
      <c r="S304" s="736"/>
      <c r="T304" s="30"/>
      <c r="U304" s="30"/>
      <c r="V304" s="30"/>
      <c r="W304" s="30"/>
      <c r="X304" s="30"/>
      <c r="Y304" s="30"/>
      <c r="Z304" s="30"/>
      <c r="AA304" s="30"/>
      <c r="AB304" s="1005"/>
    </row>
    <row r="305" spans="1:28">
      <c r="A305" s="29"/>
      <c r="B305" s="30"/>
      <c r="C305" s="30"/>
      <c r="D305" s="736"/>
      <c r="E305" s="30"/>
      <c r="F305" s="30"/>
      <c r="G305" s="30"/>
      <c r="H305" s="30"/>
      <c r="I305" s="30"/>
      <c r="J305" s="30"/>
      <c r="K305" s="30"/>
      <c r="L305" s="30"/>
      <c r="M305" s="30"/>
      <c r="N305" s="37"/>
      <c r="O305" s="30"/>
      <c r="P305" s="30"/>
      <c r="Q305" s="30"/>
      <c r="R305" s="30"/>
      <c r="S305" s="736"/>
      <c r="T305" s="30"/>
      <c r="U305" s="30"/>
      <c r="V305" s="30"/>
      <c r="W305" s="30"/>
      <c r="X305" s="30"/>
      <c r="Y305" s="30"/>
      <c r="Z305" s="30"/>
      <c r="AA305" s="30"/>
      <c r="AB305" s="1005"/>
    </row>
    <row r="306" spans="1:28">
      <c r="A306" s="29"/>
      <c r="B306" s="30"/>
      <c r="C306" s="30"/>
      <c r="D306" s="736"/>
      <c r="E306" s="30"/>
      <c r="F306" s="30"/>
      <c r="G306" s="30"/>
      <c r="H306" s="30"/>
      <c r="I306" s="30"/>
      <c r="J306" s="30"/>
      <c r="K306" s="30"/>
      <c r="L306" s="30"/>
      <c r="M306" s="30"/>
      <c r="N306" s="37"/>
      <c r="O306" s="30"/>
      <c r="P306" s="30"/>
      <c r="Q306" s="30"/>
      <c r="R306" s="30"/>
      <c r="S306" s="736"/>
      <c r="T306" s="30"/>
      <c r="U306" s="30"/>
      <c r="V306" s="30"/>
      <c r="W306" s="30"/>
      <c r="X306" s="30"/>
      <c r="Y306" s="30"/>
      <c r="Z306" s="30"/>
      <c r="AA306" s="30"/>
      <c r="AB306" s="1005"/>
    </row>
    <row r="307" spans="1:28">
      <c r="A307" s="29"/>
      <c r="B307" s="30"/>
      <c r="C307" s="30"/>
      <c r="D307" s="736"/>
      <c r="E307" s="30"/>
      <c r="F307" s="30"/>
      <c r="G307" s="30"/>
      <c r="H307" s="30"/>
      <c r="I307" s="30"/>
      <c r="J307" s="30"/>
      <c r="K307" s="30"/>
      <c r="L307" s="30"/>
      <c r="M307" s="30"/>
      <c r="N307" s="37"/>
      <c r="O307" s="30"/>
      <c r="P307" s="30"/>
      <c r="Q307" s="30"/>
      <c r="R307" s="30"/>
      <c r="S307" s="736"/>
      <c r="T307" s="30"/>
      <c r="U307" s="30"/>
      <c r="V307" s="30"/>
      <c r="W307" s="30"/>
      <c r="X307" s="30"/>
      <c r="Y307" s="30"/>
      <c r="Z307" s="30"/>
      <c r="AA307" s="30"/>
      <c r="AB307" s="1005"/>
    </row>
    <row r="308" spans="1:28">
      <c r="A308" s="29"/>
      <c r="B308" s="30"/>
      <c r="C308" s="30"/>
      <c r="D308" s="736"/>
      <c r="E308" s="30"/>
      <c r="F308" s="30"/>
      <c r="G308" s="30"/>
      <c r="H308" s="30"/>
      <c r="I308" s="30"/>
      <c r="J308" s="30"/>
      <c r="K308" s="30"/>
      <c r="L308" s="30"/>
      <c r="M308" s="30"/>
      <c r="N308" s="37"/>
      <c r="O308" s="30"/>
      <c r="P308" s="30"/>
      <c r="Q308" s="30"/>
      <c r="R308" s="30"/>
      <c r="S308" s="736"/>
      <c r="T308" s="30"/>
      <c r="U308" s="30"/>
      <c r="V308" s="30"/>
      <c r="W308" s="30"/>
      <c r="X308" s="30"/>
      <c r="Y308" s="30"/>
      <c r="Z308" s="30"/>
      <c r="AA308" s="30"/>
      <c r="AB308" s="1005"/>
    </row>
    <row r="309" spans="1:28">
      <c r="A309" s="29"/>
      <c r="B309" s="30"/>
      <c r="C309" s="30"/>
      <c r="D309" s="736"/>
      <c r="E309" s="30"/>
      <c r="F309" s="30"/>
      <c r="G309" s="30"/>
      <c r="H309" s="30"/>
      <c r="I309" s="30"/>
      <c r="J309" s="30"/>
      <c r="K309" s="30"/>
      <c r="L309" s="30"/>
      <c r="M309" s="30"/>
      <c r="N309" s="37"/>
      <c r="O309" s="30"/>
      <c r="P309" s="30"/>
      <c r="Q309" s="30"/>
      <c r="R309" s="30"/>
      <c r="S309" s="736"/>
      <c r="T309" s="30"/>
      <c r="U309" s="30"/>
      <c r="V309" s="30"/>
      <c r="W309" s="30"/>
      <c r="X309" s="30"/>
      <c r="Y309" s="30"/>
      <c r="Z309" s="30"/>
      <c r="AA309" s="30"/>
      <c r="AB309" s="1005"/>
    </row>
    <row r="310" spans="1:28">
      <c r="A310" s="29"/>
      <c r="B310" s="30"/>
      <c r="C310" s="30"/>
      <c r="D310" s="736"/>
      <c r="E310" s="30"/>
      <c r="F310" s="30"/>
      <c r="G310" s="30"/>
      <c r="H310" s="30"/>
      <c r="I310" s="30"/>
      <c r="J310" s="30"/>
      <c r="K310" s="30"/>
      <c r="L310" s="30"/>
      <c r="M310" s="30"/>
      <c r="N310" s="37"/>
      <c r="O310" s="30"/>
      <c r="P310" s="30"/>
      <c r="Q310" s="30"/>
      <c r="R310" s="30"/>
      <c r="S310" s="736"/>
      <c r="T310" s="30"/>
      <c r="U310" s="30"/>
      <c r="V310" s="30"/>
      <c r="W310" s="30"/>
      <c r="X310" s="30"/>
      <c r="Y310" s="30"/>
      <c r="Z310" s="30"/>
      <c r="AA310" s="30"/>
      <c r="AB310" s="1005"/>
    </row>
    <row r="311" spans="1:28">
      <c r="A311" s="29"/>
      <c r="B311" s="30"/>
      <c r="C311" s="30"/>
      <c r="D311" s="736"/>
      <c r="E311" s="30"/>
      <c r="F311" s="30"/>
      <c r="G311" s="30"/>
      <c r="H311" s="30"/>
      <c r="I311" s="30"/>
      <c r="J311" s="30"/>
      <c r="K311" s="30"/>
      <c r="L311" s="30"/>
      <c r="M311" s="30"/>
      <c r="N311" s="37"/>
      <c r="O311" s="30"/>
      <c r="P311" s="30"/>
      <c r="Q311" s="30"/>
      <c r="R311" s="30"/>
      <c r="S311" s="736"/>
      <c r="T311" s="30"/>
      <c r="U311" s="30"/>
      <c r="V311" s="30"/>
      <c r="W311" s="30"/>
      <c r="X311" s="30"/>
      <c r="Y311" s="30"/>
      <c r="Z311" s="30"/>
      <c r="AA311" s="30"/>
      <c r="AB311" s="1005"/>
    </row>
    <row r="312" spans="1:28">
      <c r="A312" s="29"/>
      <c r="B312" s="30"/>
      <c r="C312" s="30"/>
      <c r="D312" s="736"/>
      <c r="E312" s="30"/>
      <c r="F312" s="30"/>
      <c r="G312" s="30"/>
      <c r="H312" s="30"/>
      <c r="I312" s="30"/>
      <c r="J312" s="30"/>
      <c r="K312" s="30"/>
      <c r="L312" s="30"/>
      <c r="M312" s="30"/>
      <c r="N312" s="37"/>
      <c r="O312" s="30"/>
      <c r="P312" s="30"/>
      <c r="Q312" s="30"/>
      <c r="R312" s="30"/>
      <c r="S312" s="736"/>
      <c r="T312" s="30"/>
      <c r="U312" s="30"/>
      <c r="V312" s="30"/>
      <c r="W312" s="30"/>
      <c r="X312" s="30"/>
      <c r="Y312" s="30"/>
      <c r="Z312" s="30"/>
      <c r="AA312" s="30"/>
      <c r="AB312" s="1005"/>
    </row>
    <row r="313" spans="1:28">
      <c r="A313" s="29"/>
      <c r="B313" s="30"/>
      <c r="C313" s="30"/>
      <c r="D313" s="736"/>
      <c r="E313" s="30"/>
      <c r="F313" s="30"/>
      <c r="G313" s="30"/>
      <c r="H313" s="30"/>
      <c r="I313" s="30"/>
      <c r="J313" s="30"/>
      <c r="K313" s="30"/>
      <c r="L313" s="30"/>
      <c r="M313" s="30"/>
      <c r="N313" s="37"/>
      <c r="O313" s="30"/>
      <c r="P313" s="30"/>
      <c r="Q313" s="30"/>
      <c r="R313" s="30"/>
      <c r="S313" s="736"/>
      <c r="T313" s="30"/>
      <c r="U313" s="30"/>
      <c r="V313" s="30"/>
      <c r="W313" s="30"/>
      <c r="X313" s="30"/>
      <c r="Y313" s="30"/>
      <c r="Z313" s="30"/>
      <c r="AA313" s="30"/>
      <c r="AB313" s="1005"/>
    </row>
    <row r="314" spans="1:28">
      <c r="A314" s="29"/>
      <c r="B314" s="30"/>
      <c r="C314" s="30"/>
      <c r="D314" s="736"/>
      <c r="E314" s="30"/>
      <c r="F314" s="30"/>
      <c r="G314" s="30"/>
      <c r="H314" s="30"/>
      <c r="I314" s="30"/>
      <c r="J314" s="30"/>
      <c r="K314" s="30"/>
      <c r="L314" s="30"/>
      <c r="M314" s="30"/>
      <c r="N314" s="37"/>
      <c r="O314" s="30"/>
      <c r="P314" s="30"/>
      <c r="Q314" s="30"/>
      <c r="R314" s="30"/>
      <c r="S314" s="736"/>
      <c r="T314" s="30"/>
      <c r="U314" s="30"/>
      <c r="V314" s="30"/>
      <c r="W314" s="30"/>
      <c r="X314" s="30"/>
      <c r="Y314" s="30"/>
      <c r="Z314" s="30"/>
      <c r="AA314" s="30"/>
      <c r="AB314" s="1005"/>
    </row>
    <row r="315" spans="1:28">
      <c r="A315" s="29"/>
      <c r="B315" s="30"/>
      <c r="C315" s="30"/>
      <c r="D315" s="736"/>
      <c r="E315" s="30"/>
      <c r="F315" s="30"/>
      <c r="G315" s="30"/>
      <c r="H315" s="30"/>
      <c r="I315" s="30"/>
      <c r="J315" s="30"/>
      <c r="K315" s="30"/>
      <c r="L315" s="30"/>
      <c r="M315" s="30"/>
      <c r="N315" s="37"/>
      <c r="O315" s="30"/>
      <c r="P315" s="30"/>
      <c r="Q315" s="30"/>
      <c r="R315" s="30"/>
      <c r="S315" s="736"/>
      <c r="T315" s="30"/>
      <c r="U315" s="30"/>
      <c r="V315" s="30"/>
      <c r="W315" s="30"/>
      <c r="X315" s="30"/>
      <c r="Y315" s="30"/>
      <c r="Z315" s="30"/>
      <c r="AA315" s="30"/>
      <c r="AB315" s="1005"/>
    </row>
    <row r="316" spans="1:28">
      <c r="A316" s="29"/>
      <c r="B316" s="30"/>
      <c r="C316" s="30"/>
      <c r="D316" s="736"/>
      <c r="E316" s="30"/>
      <c r="F316" s="30"/>
      <c r="G316" s="30"/>
      <c r="H316" s="30"/>
      <c r="I316" s="30"/>
      <c r="J316" s="30"/>
      <c r="K316" s="30"/>
      <c r="L316" s="30"/>
      <c r="M316" s="30"/>
      <c r="N316" s="37"/>
      <c r="O316" s="30"/>
      <c r="P316" s="30"/>
      <c r="Q316" s="30"/>
      <c r="R316" s="30"/>
      <c r="S316" s="736"/>
      <c r="T316" s="30"/>
      <c r="U316" s="30"/>
      <c r="V316" s="30"/>
      <c r="W316" s="30"/>
      <c r="X316" s="30"/>
      <c r="Y316" s="30"/>
      <c r="Z316" s="30"/>
      <c r="AA316" s="30"/>
      <c r="AB316" s="1005"/>
    </row>
    <row r="317" spans="1:28">
      <c r="A317" s="29"/>
      <c r="B317" s="30"/>
      <c r="C317" s="30"/>
      <c r="D317" s="736"/>
      <c r="E317" s="30"/>
      <c r="F317" s="30"/>
      <c r="G317" s="30"/>
      <c r="H317" s="30"/>
      <c r="I317" s="30"/>
      <c r="J317" s="30"/>
      <c r="K317" s="30"/>
      <c r="L317" s="30"/>
      <c r="M317" s="30"/>
      <c r="N317" s="37"/>
      <c r="O317" s="30"/>
      <c r="P317" s="30"/>
      <c r="Q317" s="30"/>
      <c r="R317" s="30"/>
      <c r="S317" s="736"/>
      <c r="T317" s="30"/>
      <c r="U317" s="30"/>
      <c r="V317" s="30"/>
      <c r="W317" s="30"/>
      <c r="X317" s="30"/>
      <c r="Y317" s="30"/>
      <c r="Z317" s="30"/>
      <c r="AA317" s="30"/>
      <c r="AB317" s="1005"/>
    </row>
    <row r="318" spans="1:28">
      <c r="A318" s="29"/>
      <c r="B318" s="30"/>
      <c r="C318" s="30"/>
      <c r="D318" s="736"/>
      <c r="E318" s="30"/>
      <c r="F318" s="30"/>
      <c r="G318" s="30"/>
      <c r="H318" s="30"/>
      <c r="I318" s="30"/>
      <c r="J318" s="30"/>
      <c r="K318" s="30"/>
      <c r="L318" s="30"/>
      <c r="M318" s="30"/>
      <c r="N318" s="37"/>
      <c r="O318" s="30"/>
      <c r="P318" s="30"/>
      <c r="Q318" s="30"/>
      <c r="R318" s="30"/>
      <c r="S318" s="736"/>
      <c r="T318" s="30"/>
      <c r="U318" s="30"/>
      <c r="V318" s="30"/>
      <c r="W318" s="30"/>
      <c r="X318" s="30"/>
      <c r="Y318" s="30"/>
      <c r="Z318" s="30"/>
      <c r="AA318" s="30"/>
      <c r="AB318" s="1005"/>
    </row>
    <row r="319" spans="1:28">
      <c r="A319" s="29"/>
      <c r="B319" s="30"/>
      <c r="C319" s="30"/>
      <c r="D319" s="736"/>
      <c r="E319" s="30"/>
      <c r="F319" s="30"/>
      <c r="G319" s="30"/>
      <c r="H319" s="30"/>
      <c r="I319" s="30"/>
      <c r="J319" s="30"/>
      <c r="K319" s="30"/>
      <c r="L319" s="30"/>
      <c r="M319" s="30"/>
      <c r="N319" s="37"/>
      <c r="O319" s="30"/>
      <c r="P319" s="30"/>
      <c r="Q319" s="30"/>
      <c r="R319" s="30"/>
      <c r="S319" s="736"/>
      <c r="T319" s="30"/>
      <c r="U319" s="30"/>
      <c r="V319" s="30"/>
      <c r="W319" s="30"/>
      <c r="X319" s="30"/>
      <c r="Y319" s="30"/>
      <c r="Z319" s="30"/>
      <c r="AA319" s="30"/>
      <c r="AB319" s="1005"/>
    </row>
    <row r="320" spans="1:28">
      <c r="A320" s="29"/>
      <c r="B320" s="30"/>
      <c r="C320" s="30"/>
      <c r="D320" s="736"/>
      <c r="E320" s="30"/>
      <c r="F320" s="30"/>
      <c r="G320" s="30"/>
      <c r="H320" s="30"/>
      <c r="I320" s="30"/>
      <c r="J320" s="30"/>
      <c r="K320" s="30"/>
      <c r="L320" s="30"/>
      <c r="M320" s="30"/>
      <c r="N320" s="37"/>
      <c r="O320" s="30"/>
      <c r="P320" s="30"/>
      <c r="Q320" s="30"/>
      <c r="R320" s="30"/>
      <c r="S320" s="736"/>
      <c r="T320" s="30"/>
      <c r="U320" s="30"/>
      <c r="V320" s="30"/>
      <c r="W320" s="30"/>
      <c r="X320" s="30"/>
      <c r="Y320" s="30"/>
      <c r="Z320" s="30"/>
      <c r="AA320" s="30"/>
      <c r="AB320" s="1005"/>
    </row>
    <row r="321" spans="1:28">
      <c r="A321" s="29"/>
      <c r="B321" s="30"/>
      <c r="C321" s="30"/>
      <c r="D321" s="736"/>
      <c r="E321" s="30"/>
      <c r="F321" s="30"/>
      <c r="G321" s="30"/>
      <c r="H321" s="30"/>
      <c r="I321" s="30"/>
      <c r="J321" s="30"/>
      <c r="K321" s="30"/>
      <c r="L321" s="30"/>
      <c r="M321" s="30"/>
      <c r="N321" s="37"/>
      <c r="O321" s="30"/>
      <c r="P321" s="30"/>
      <c r="Q321" s="30"/>
      <c r="R321" s="30"/>
      <c r="S321" s="736"/>
      <c r="T321" s="30"/>
      <c r="U321" s="30"/>
      <c r="V321" s="30"/>
      <c r="W321" s="30"/>
      <c r="X321" s="30"/>
      <c r="Y321" s="30"/>
      <c r="Z321" s="30"/>
      <c r="AA321" s="30"/>
      <c r="AB321" s="1005"/>
    </row>
    <row r="322" spans="1:28">
      <c r="A322" s="29"/>
      <c r="B322" s="30"/>
      <c r="C322" s="30"/>
      <c r="D322" s="736"/>
      <c r="E322" s="30"/>
      <c r="F322" s="30"/>
      <c r="G322" s="30"/>
      <c r="H322" s="30"/>
      <c r="I322" s="30"/>
      <c r="J322" s="30"/>
      <c r="K322" s="30"/>
      <c r="L322" s="30"/>
      <c r="M322" s="30"/>
      <c r="N322" s="37"/>
      <c r="O322" s="30"/>
      <c r="P322" s="30"/>
      <c r="Q322" s="30"/>
      <c r="R322" s="30"/>
      <c r="S322" s="736"/>
      <c r="T322" s="30"/>
      <c r="U322" s="30"/>
      <c r="V322" s="30"/>
      <c r="W322" s="30"/>
      <c r="X322" s="30"/>
      <c r="Y322" s="30"/>
      <c r="Z322" s="30"/>
      <c r="AA322" s="30"/>
      <c r="AB322" s="1005"/>
    </row>
    <row r="323" spans="1:28">
      <c r="A323" s="29"/>
      <c r="B323" s="30"/>
      <c r="C323" s="30"/>
      <c r="D323" s="736"/>
      <c r="E323" s="30"/>
      <c r="F323" s="30"/>
      <c r="G323" s="30"/>
      <c r="H323" s="30"/>
      <c r="I323" s="30"/>
      <c r="J323" s="30"/>
      <c r="K323" s="30"/>
      <c r="L323" s="30"/>
      <c r="M323" s="30"/>
      <c r="N323" s="37"/>
      <c r="O323" s="30"/>
      <c r="P323" s="30"/>
      <c r="Q323" s="30"/>
      <c r="R323" s="30"/>
      <c r="S323" s="736"/>
      <c r="T323" s="30"/>
      <c r="U323" s="30"/>
      <c r="V323" s="30"/>
      <c r="W323" s="30"/>
      <c r="X323" s="30"/>
      <c r="Y323" s="30"/>
      <c r="Z323" s="30"/>
      <c r="AA323" s="30"/>
      <c r="AB323" s="1005"/>
    </row>
    <row r="324" spans="1:28">
      <c r="A324" s="29"/>
      <c r="B324" s="30"/>
      <c r="C324" s="30"/>
      <c r="D324" s="736"/>
      <c r="E324" s="30"/>
      <c r="F324" s="30"/>
      <c r="G324" s="30"/>
      <c r="H324" s="30"/>
      <c r="I324" s="30"/>
      <c r="J324" s="30"/>
      <c r="K324" s="30"/>
      <c r="L324" s="30"/>
      <c r="M324" s="30"/>
      <c r="N324" s="37"/>
      <c r="O324" s="30"/>
      <c r="P324" s="30"/>
      <c r="Q324" s="30"/>
      <c r="R324" s="30"/>
      <c r="S324" s="736"/>
      <c r="T324" s="30"/>
      <c r="U324" s="30"/>
      <c r="V324" s="30"/>
      <c r="W324" s="30"/>
      <c r="X324" s="30"/>
      <c r="Y324" s="30"/>
      <c r="Z324" s="30"/>
      <c r="AA324" s="30"/>
      <c r="AB324" s="1005"/>
    </row>
    <row r="325" spans="1:28">
      <c r="A325" s="29"/>
      <c r="B325" s="30"/>
      <c r="C325" s="30"/>
      <c r="D325" s="736"/>
      <c r="E325" s="30"/>
      <c r="F325" s="30"/>
      <c r="G325" s="30"/>
      <c r="H325" s="30"/>
      <c r="I325" s="30"/>
      <c r="J325" s="30"/>
      <c r="K325" s="30"/>
      <c r="L325" s="30"/>
      <c r="M325" s="30"/>
      <c r="N325" s="37"/>
      <c r="O325" s="30"/>
      <c r="P325" s="30"/>
      <c r="Q325" s="30"/>
      <c r="R325" s="30"/>
      <c r="S325" s="736"/>
      <c r="T325" s="30"/>
      <c r="U325" s="30"/>
      <c r="V325" s="30"/>
      <c r="W325" s="30"/>
      <c r="X325" s="30"/>
      <c r="Y325" s="30"/>
      <c r="Z325" s="30"/>
      <c r="AA325" s="30"/>
      <c r="AB325" s="1005"/>
    </row>
    <row r="326" spans="1:28">
      <c r="A326" s="29"/>
      <c r="B326" s="30"/>
      <c r="C326" s="30"/>
      <c r="D326" s="736"/>
      <c r="E326" s="30"/>
      <c r="F326" s="30"/>
      <c r="G326" s="30"/>
      <c r="H326" s="30"/>
      <c r="I326" s="30"/>
      <c r="J326" s="30"/>
      <c r="K326" s="30"/>
      <c r="L326" s="30"/>
      <c r="M326" s="30"/>
      <c r="N326" s="37"/>
      <c r="O326" s="30"/>
      <c r="P326" s="30"/>
      <c r="Q326" s="30"/>
      <c r="R326" s="30"/>
      <c r="S326" s="736"/>
      <c r="T326" s="30"/>
      <c r="U326" s="30"/>
      <c r="V326" s="30"/>
      <c r="W326" s="30"/>
      <c r="X326" s="30"/>
      <c r="Y326" s="30"/>
      <c r="Z326" s="30"/>
      <c r="AA326" s="30"/>
      <c r="AB326" s="1005"/>
    </row>
    <row r="327" spans="1:28">
      <c r="A327" s="29"/>
      <c r="B327" s="30"/>
      <c r="C327" s="30"/>
      <c r="D327" s="736"/>
      <c r="E327" s="30"/>
      <c r="F327" s="30"/>
      <c r="G327" s="30"/>
      <c r="H327" s="30"/>
      <c r="I327" s="30"/>
      <c r="J327" s="30"/>
      <c r="K327" s="30"/>
      <c r="L327" s="30"/>
      <c r="M327" s="30"/>
      <c r="N327" s="37"/>
      <c r="O327" s="30"/>
      <c r="P327" s="30"/>
      <c r="Q327" s="30"/>
      <c r="R327" s="30"/>
      <c r="S327" s="736"/>
      <c r="T327" s="30"/>
      <c r="U327" s="30"/>
      <c r="V327" s="30"/>
      <c r="W327" s="30"/>
      <c r="X327" s="30"/>
      <c r="Y327" s="30"/>
      <c r="Z327" s="30"/>
      <c r="AA327" s="30"/>
      <c r="AB327" s="1005"/>
    </row>
    <row r="328" spans="1:28">
      <c r="A328" s="29"/>
      <c r="B328" s="30"/>
      <c r="C328" s="30"/>
      <c r="D328" s="736"/>
      <c r="E328" s="30"/>
      <c r="F328" s="30"/>
      <c r="G328" s="30"/>
      <c r="H328" s="30"/>
      <c r="I328" s="30"/>
      <c r="J328" s="30"/>
      <c r="K328" s="30"/>
      <c r="L328" s="30"/>
      <c r="M328" s="30"/>
      <c r="N328" s="37"/>
      <c r="O328" s="30"/>
      <c r="P328" s="30"/>
      <c r="Q328" s="30"/>
      <c r="R328" s="30"/>
      <c r="S328" s="736"/>
      <c r="T328" s="30"/>
      <c r="U328" s="30"/>
      <c r="V328" s="30"/>
      <c r="W328" s="30"/>
      <c r="X328" s="30"/>
      <c r="Y328" s="30"/>
      <c r="Z328" s="30"/>
      <c r="AA328" s="30"/>
      <c r="AB328" s="1005"/>
    </row>
    <row r="329" spans="1:28">
      <c r="A329" s="29"/>
      <c r="B329" s="30"/>
      <c r="C329" s="30"/>
      <c r="D329" s="736"/>
      <c r="E329" s="30"/>
      <c r="F329" s="30"/>
      <c r="G329" s="30"/>
      <c r="H329" s="30"/>
      <c r="I329" s="30"/>
      <c r="J329" s="30"/>
      <c r="K329" s="30"/>
      <c r="L329" s="30"/>
      <c r="M329" s="30"/>
      <c r="N329" s="37"/>
      <c r="O329" s="30"/>
      <c r="P329" s="30"/>
      <c r="Q329" s="30"/>
      <c r="R329" s="30"/>
      <c r="S329" s="736"/>
      <c r="T329" s="30"/>
      <c r="U329" s="30"/>
      <c r="V329" s="30"/>
      <c r="W329" s="30"/>
      <c r="X329" s="30"/>
      <c r="Y329" s="30"/>
      <c r="Z329" s="30"/>
      <c r="AA329" s="30"/>
      <c r="AB329" s="1005"/>
    </row>
    <row r="330" spans="1:28">
      <c r="A330" s="29"/>
      <c r="B330" s="30"/>
      <c r="C330" s="30"/>
      <c r="D330" s="736"/>
      <c r="E330" s="30"/>
      <c r="F330" s="30"/>
      <c r="G330" s="30"/>
      <c r="H330" s="30"/>
      <c r="I330" s="30"/>
      <c r="J330" s="30"/>
      <c r="K330" s="30"/>
      <c r="L330" s="30"/>
      <c r="M330" s="30"/>
      <c r="N330" s="37"/>
      <c r="O330" s="30"/>
      <c r="P330" s="30"/>
      <c r="Q330" s="30"/>
      <c r="R330" s="30"/>
      <c r="S330" s="736"/>
      <c r="T330" s="30"/>
      <c r="U330" s="30"/>
      <c r="V330" s="30"/>
      <c r="W330" s="30"/>
      <c r="X330" s="30"/>
      <c r="Y330" s="30"/>
      <c r="Z330" s="30"/>
      <c r="AA330" s="30"/>
      <c r="AB330" s="1005"/>
    </row>
    <row r="331" spans="1:28">
      <c r="A331" s="29"/>
      <c r="B331" s="30"/>
      <c r="C331" s="30"/>
      <c r="D331" s="736"/>
      <c r="E331" s="30"/>
      <c r="F331" s="30"/>
      <c r="G331" s="30"/>
      <c r="H331" s="30"/>
      <c r="I331" s="30"/>
      <c r="J331" s="30"/>
      <c r="K331" s="30"/>
      <c r="L331" s="30"/>
      <c r="M331" s="30"/>
      <c r="N331" s="37"/>
      <c r="O331" s="30"/>
      <c r="P331" s="30"/>
      <c r="Q331" s="30"/>
      <c r="R331" s="30"/>
      <c r="S331" s="736"/>
      <c r="T331" s="30"/>
      <c r="U331" s="30"/>
      <c r="V331" s="30"/>
      <c r="W331" s="30"/>
      <c r="X331" s="30"/>
      <c r="Y331" s="30"/>
      <c r="Z331" s="30"/>
      <c r="AA331" s="30"/>
      <c r="AB331" s="1005"/>
    </row>
    <row r="332" spans="1:28">
      <c r="A332" s="29"/>
      <c r="B332" s="30"/>
      <c r="C332" s="30"/>
      <c r="D332" s="736"/>
      <c r="E332" s="30"/>
      <c r="F332" s="30"/>
      <c r="G332" s="30"/>
      <c r="H332" s="30"/>
      <c r="I332" s="30"/>
      <c r="J332" s="30"/>
      <c r="K332" s="30"/>
      <c r="L332" s="30"/>
      <c r="M332" s="30"/>
      <c r="N332" s="37"/>
      <c r="O332" s="30"/>
      <c r="P332" s="30"/>
      <c r="Q332" s="30"/>
      <c r="R332" s="30"/>
      <c r="S332" s="736"/>
      <c r="T332" s="30"/>
      <c r="U332" s="30"/>
      <c r="V332" s="30"/>
      <c r="W332" s="30"/>
      <c r="X332" s="30"/>
      <c r="Y332" s="30"/>
      <c r="Z332" s="30"/>
      <c r="AA332" s="30"/>
      <c r="AB332" s="1005"/>
    </row>
    <row r="333" spans="1:28">
      <c r="A333" s="29"/>
      <c r="B333" s="30"/>
      <c r="C333" s="30"/>
      <c r="D333" s="736"/>
      <c r="E333" s="30"/>
      <c r="F333" s="30"/>
      <c r="G333" s="30"/>
      <c r="H333" s="30"/>
      <c r="I333" s="30"/>
      <c r="J333" s="30"/>
      <c r="K333" s="30"/>
      <c r="L333" s="30"/>
      <c r="M333" s="30"/>
      <c r="N333" s="37"/>
      <c r="O333" s="30"/>
      <c r="P333" s="30"/>
      <c r="Q333" s="30"/>
      <c r="R333" s="30"/>
      <c r="S333" s="736"/>
      <c r="T333" s="30"/>
      <c r="U333" s="30"/>
      <c r="V333" s="30"/>
      <c r="W333" s="30"/>
      <c r="X333" s="30"/>
      <c r="Y333" s="30"/>
      <c r="Z333" s="30"/>
      <c r="AA333" s="30"/>
      <c r="AB333" s="1005"/>
    </row>
    <row r="334" spans="1:28">
      <c r="A334" s="29"/>
      <c r="B334" s="30"/>
      <c r="C334" s="30"/>
      <c r="D334" s="736"/>
      <c r="E334" s="30"/>
      <c r="F334" s="30"/>
      <c r="G334" s="30"/>
      <c r="H334" s="30"/>
      <c r="I334" s="30"/>
      <c r="J334" s="30"/>
      <c r="K334" s="30"/>
      <c r="L334" s="30"/>
      <c r="M334" s="30"/>
      <c r="N334" s="37"/>
      <c r="O334" s="30"/>
      <c r="P334" s="30"/>
      <c r="Q334" s="30"/>
      <c r="R334" s="30"/>
      <c r="S334" s="736"/>
      <c r="T334" s="30"/>
      <c r="U334" s="30"/>
      <c r="V334" s="30"/>
      <c r="W334" s="30"/>
      <c r="X334" s="30"/>
      <c r="Y334" s="30"/>
      <c r="Z334" s="30"/>
      <c r="AA334" s="30"/>
      <c r="AB334" s="1005"/>
    </row>
    <row r="335" spans="1:28">
      <c r="A335" s="29"/>
      <c r="B335" s="30"/>
      <c r="C335" s="30"/>
      <c r="D335" s="736"/>
      <c r="E335" s="30"/>
      <c r="F335" s="30"/>
      <c r="G335" s="30"/>
      <c r="H335" s="30"/>
      <c r="I335" s="30"/>
      <c r="J335" s="30"/>
      <c r="K335" s="30"/>
      <c r="L335" s="30"/>
      <c r="M335" s="30"/>
      <c r="N335" s="37"/>
      <c r="O335" s="30"/>
      <c r="P335" s="30"/>
      <c r="Q335" s="30"/>
      <c r="R335" s="30"/>
      <c r="S335" s="736"/>
      <c r="T335" s="30"/>
      <c r="U335" s="30"/>
      <c r="V335" s="30"/>
      <c r="W335" s="30"/>
      <c r="X335" s="30"/>
      <c r="Y335" s="30"/>
      <c r="Z335" s="30"/>
      <c r="AA335" s="30"/>
      <c r="AB335" s="1005"/>
    </row>
    <row r="336" spans="1:28">
      <c r="A336" s="29"/>
      <c r="B336" s="30"/>
      <c r="C336" s="30"/>
      <c r="D336" s="736"/>
      <c r="E336" s="30"/>
      <c r="F336" s="30"/>
      <c r="G336" s="30"/>
      <c r="H336" s="30"/>
      <c r="I336" s="30"/>
      <c r="J336" s="30"/>
      <c r="K336" s="30"/>
      <c r="L336" s="30"/>
      <c r="M336" s="30"/>
      <c r="N336" s="37"/>
      <c r="O336" s="30"/>
      <c r="P336" s="30"/>
      <c r="Q336" s="30"/>
      <c r="R336" s="30"/>
      <c r="S336" s="736"/>
      <c r="T336" s="30"/>
      <c r="U336" s="30"/>
      <c r="V336" s="30"/>
      <c r="W336" s="30"/>
      <c r="X336" s="30"/>
      <c r="Y336" s="30"/>
      <c r="Z336" s="30"/>
      <c r="AA336" s="30"/>
      <c r="AB336" s="1005"/>
    </row>
    <row r="337" spans="1:28">
      <c r="A337" s="29"/>
      <c r="B337" s="30"/>
      <c r="C337" s="30"/>
      <c r="D337" s="736"/>
      <c r="E337" s="30"/>
      <c r="F337" s="30"/>
      <c r="G337" s="30"/>
      <c r="H337" s="30"/>
      <c r="I337" s="30"/>
      <c r="J337" s="30"/>
      <c r="K337" s="30"/>
      <c r="L337" s="30"/>
      <c r="M337" s="30"/>
      <c r="N337" s="37"/>
      <c r="O337" s="30"/>
      <c r="P337" s="30"/>
      <c r="Q337" s="30"/>
      <c r="R337" s="30"/>
      <c r="S337" s="736"/>
      <c r="T337" s="30"/>
      <c r="U337" s="30"/>
      <c r="V337" s="30"/>
      <c r="W337" s="30"/>
      <c r="X337" s="30"/>
      <c r="Y337" s="30"/>
      <c r="Z337" s="30"/>
      <c r="AA337" s="30"/>
      <c r="AB337" s="1005"/>
    </row>
    <row r="338" spans="1:28">
      <c r="A338" s="29"/>
      <c r="B338" s="30"/>
      <c r="C338" s="30"/>
      <c r="D338" s="736"/>
      <c r="E338" s="30"/>
      <c r="F338" s="30"/>
      <c r="G338" s="30"/>
      <c r="H338" s="30"/>
      <c r="I338" s="30"/>
      <c r="J338" s="30"/>
      <c r="K338" s="30"/>
      <c r="L338" s="30"/>
      <c r="M338" s="30"/>
      <c r="N338" s="37"/>
      <c r="O338" s="30"/>
      <c r="P338" s="30"/>
      <c r="Q338" s="30"/>
      <c r="R338" s="30"/>
      <c r="S338" s="736"/>
      <c r="T338" s="30"/>
      <c r="U338" s="30"/>
      <c r="V338" s="30"/>
      <c r="W338" s="30"/>
      <c r="X338" s="30"/>
      <c r="Y338" s="30"/>
      <c r="Z338" s="30"/>
      <c r="AA338" s="30"/>
      <c r="AB338" s="1005"/>
    </row>
    <row r="339" spans="1:28">
      <c r="A339" s="29"/>
      <c r="B339" s="30"/>
      <c r="C339" s="30"/>
      <c r="D339" s="736"/>
      <c r="E339" s="30"/>
      <c r="F339" s="30"/>
      <c r="G339" s="30"/>
      <c r="H339" s="30"/>
      <c r="I339" s="30"/>
      <c r="J339" s="30"/>
      <c r="K339" s="30"/>
      <c r="L339" s="30"/>
      <c r="M339" s="30"/>
      <c r="N339" s="37"/>
      <c r="O339" s="30"/>
      <c r="P339" s="30"/>
      <c r="Q339" s="30"/>
      <c r="R339" s="30"/>
      <c r="S339" s="736"/>
      <c r="T339" s="30"/>
      <c r="U339" s="30"/>
      <c r="V339" s="30"/>
      <c r="W339" s="30"/>
      <c r="X339" s="30"/>
      <c r="Y339" s="30"/>
      <c r="Z339" s="30"/>
      <c r="AA339" s="30"/>
      <c r="AB339" s="1005"/>
    </row>
    <row r="340" spans="1:28">
      <c r="A340" s="29"/>
      <c r="B340" s="30"/>
      <c r="C340" s="30"/>
      <c r="D340" s="736"/>
      <c r="E340" s="30"/>
      <c r="F340" s="30"/>
      <c r="G340" s="30"/>
      <c r="H340" s="30"/>
      <c r="I340" s="30"/>
      <c r="J340" s="30"/>
      <c r="K340" s="30"/>
      <c r="L340" s="30"/>
      <c r="M340" s="30"/>
      <c r="N340" s="37"/>
      <c r="O340" s="30"/>
      <c r="P340" s="30"/>
      <c r="Q340" s="30"/>
      <c r="R340" s="30"/>
      <c r="S340" s="736"/>
      <c r="T340" s="30"/>
      <c r="U340" s="30"/>
      <c r="V340" s="30"/>
      <c r="W340" s="30"/>
      <c r="X340" s="30"/>
      <c r="Y340" s="30"/>
      <c r="Z340" s="30"/>
      <c r="AA340" s="30"/>
      <c r="AB340" s="1005"/>
    </row>
    <row r="341" spans="1:28">
      <c r="A341" s="29"/>
      <c r="B341" s="30"/>
      <c r="C341" s="30"/>
      <c r="D341" s="736"/>
      <c r="E341" s="30"/>
      <c r="F341" s="30"/>
      <c r="G341" s="30"/>
      <c r="H341" s="30"/>
      <c r="I341" s="30"/>
      <c r="J341" s="30"/>
      <c r="K341" s="30"/>
      <c r="L341" s="30"/>
      <c r="M341" s="30"/>
      <c r="N341" s="37"/>
      <c r="O341" s="30"/>
      <c r="P341" s="30"/>
      <c r="Q341" s="30"/>
      <c r="R341" s="30"/>
      <c r="S341" s="736"/>
      <c r="T341" s="30"/>
      <c r="U341" s="30"/>
      <c r="V341" s="30"/>
      <c r="W341" s="30"/>
      <c r="X341" s="30"/>
      <c r="Y341" s="30"/>
      <c r="Z341" s="30"/>
      <c r="AA341" s="30"/>
      <c r="AB341" s="1005"/>
    </row>
    <row r="342" spans="1:28">
      <c r="A342" s="29"/>
      <c r="B342" s="30"/>
      <c r="C342" s="30"/>
      <c r="D342" s="736"/>
      <c r="E342" s="30"/>
      <c r="F342" s="30"/>
      <c r="G342" s="30"/>
      <c r="H342" s="30"/>
      <c r="I342" s="30"/>
      <c r="J342" s="30"/>
      <c r="K342" s="30"/>
      <c r="L342" s="30"/>
      <c r="M342" s="30"/>
      <c r="N342" s="37"/>
      <c r="O342" s="30"/>
      <c r="P342" s="30"/>
      <c r="Q342" s="30"/>
      <c r="R342" s="30"/>
      <c r="S342" s="736"/>
      <c r="T342" s="30"/>
      <c r="U342" s="30"/>
      <c r="V342" s="30"/>
      <c r="W342" s="30"/>
      <c r="X342" s="30"/>
      <c r="Y342" s="30"/>
      <c r="Z342" s="30"/>
      <c r="AA342" s="30"/>
      <c r="AB342" s="1005"/>
    </row>
    <row r="343" spans="1:28">
      <c r="A343" s="29"/>
      <c r="B343" s="30"/>
      <c r="C343" s="30"/>
      <c r="D343" s="736"/>
      <c r="E343" s="30"/>
      <c r="F343" s="30"/>
      <c r="G343" s="30"/>
      <c r="H343" s="30"/>
      <c r="I343" s="30"/>
      <c r="J343" s="30"/>
      <c r="K343" s="30"/>
      <c r="L343" s="30"/>
      <c r="M343" s="30"/>
      <c r="N343" s="37"/>
      <c r="O343" s="30"/>
      <c r="P343" s="30"/>
      <c r="Q343" s="30"/>
      <c r="R343" s="30"/>
      <c r="S343" s="736"/>
      <c r="T343" s="30"/>
      <c r="U343" s="30"/>
      <c r="V343" s="30"/>
      <c r="W343" s="30"/>
      <c r="X343" s="30"/>
      <c r="Y343" s="30"/>
      <c r="Z343" s="30"/>
      <c r="AA343" s="30"/>
      <c r="AB343" s="1005"/>
    </row>
    <row r="344" spans="1:28">
      <c r="A344" s="29"/>
      <c r="B344" s="30"/>
      <c r="C344" s="30"/>
      <c r="D344" s="736"/>
      <c r="E344" s="30"/>
      <c r="F344" s="30"/>
      <c r="G344" s="30"/>
      <c r="H344" s="30"/>
      <c r="I344" s="30"/>
      <c r="J344" s="30"/>
      <c r="K344" s="30"/>
      <c r="L344" s="30"/>
      <c r="M344" s="30"/>
      <c r="N344" s="37"/>
      <c r="O344" s="30"/>
      <c r="P344" s="30"/>
      <c r="Q344" s="30"/>
      <c r="R344" s="30"/>
      <c r="S344" s="736"/>
      <c r="T344" s="30"/>
      <c r="U344" s="30"/>
      <c r="V344" s="30"/>
      <c r="W344" s="30"/>
      <c r="X344" s="30"/>
      <c r="Y344" s="30"/>
      <c r="Z344" s="30"/>
      <c r="AA344" s="30"/>
      <c r="AB344" s="1005"/>
    </row>
    <row r="345" spans="1:28">
      <c r="A345" s="29"/>
      <c r="B345" s="30"/>
      <c r="C345" s="30"/>
      <c r="D345" s="736"/>
      <c r="E345" s="30"/>
      <c r="F345" s="30"/>
      <c r="G345" s="30"/>
      <c r="H345" s="30"/>
      <c r="I345" s="30"/>
      <c r="J345" s="30"/>
      <c r="K345" s="30"/>
      <c r="L345" s="30"/>
      <c r="M345" s="30"/>
      <c r="N345" s="37"/>
      <c r="O345" s="30"/>
      <c r="P345" s="30"/>
      <c r="Q345" s="30"/>
      <c r="R345" s="30"/>
      <c r="S345" s="736"/>
      <c r="T345" s="30"/>
      <c r="U345" s="30"/>
      <c r="V345" s="30"/>
      <c r="W345" s="30"/>
      <c r="X345" s="30"/>
      <c r="Y345" s="30"/>
      <c r="Z345" s="30"/>
      <c r="AA345" s="30"/>
      <c r="AB345" s="1005"/>
    </row>
    <row r="346" spans="1:28">
      <c r="A346" s="29"/>
      <c r="B346" s="30"/>
      <c r="C346" s="30"/>
      <c r="D346" s="736"/>
      <c r="E346" s="30"/>
      <c r="F346" s="30"/>
      <c r="G346" s="30"/>
      <c r="H346" s="30"/>
      <c r="I346" s="30"/>
      <c r="J346" s="30"/>
      <c r="K346" s="30"/>
      <c r="L346" s="30"/>
      <c r="M346" s="30"/>
      <c r="N346" s="37"/>
      <c r="O346" s="30"/>
      <c r="P346" s="30"/>
      <c r="Q346" s="30"/>
      <c r="R346" s="30"/>
      <c r="S346" s="736"/>
      <c r="T346" s="30"/>
      <c r="U346" s="30"/>
      <c r="V346" s="30"/>
      <c r="W346" s="30"/>
      <c r="X346" s="30"/>
      <c r="Y346" s="30"/>
      <c r="Z346" s="30"/>
      <c r="AA346" s="30"/>
      <c r="AB346" s="1005"/>
    </row>
    <row r="347" spans="1:28">
      <c r="A347" s="29"/>
      <c r="B347" s="30"/>
      <c r="C347" s="30"/>
      <c r="D347" s="736"/>
      <c r="E347" s="30"/>
      <c r="F347" s="30"/>
      <c r="G347" s="30"/>
      <c r="H347" s="30"/>
      <c r="I347" s="30"/>
      <c r="J347" s="30"/>
      <c r="K347" s="30"/>
      <c r="L347" s="30"/>
      <c r="M347" s="30"/>
      <c r="N347" s="37"/>
      <c r="O347" s="30"/>
      <c r="P347" s="30"/>
      <c r="Q347" s="30"/>
      <c r="R347" s="30"/>
      <c r="S347" s="736"/>
      <c r="T347" s="30"/>
      <c r="U347" s="30"/>
      <c r="V347" s="30"/>
      <c r="W347" s="30"/>
      <c r="X347" s="30"/>
      <c r="Y347" s="30"/>
      <c r="Z347" s="30"/>
      <c r="AA347" s="30"/>
      <c r="AB347" s="1005"/>
    </row>
    <row r="348" spans="1:28">
      <c r="A348" s="29"/>
      <c r="B348" s="30"/>
      <c r="C348" s="30"/>
      <c r="D348" s="736"/>
      <c r="E348" s="30"/>
      <c r="F348" s="30"/>
      <c r="G348" s="30"/>
      <c r="H348" s="30"/>
      <c r="I348" s="30"/>
      <c r="J348" s="30"/>
      <c r="K348" s="30"/>
      <c r="L348" s="30"/>
      <c r="M348" s="30"/>
      <c r="N348" s="37"/>
      <c r="O348" s="30"/>
      <c r="P348" s="30"/>
      <c r="Q348" s="30"/>
      <c r="R348" s="30"/>
      <c r="S348" s="736"/>
      <c r="T348" s="30"/>
      <c r="U348" s="30"/>
      <c r="V348" s="30"/>
      <c r="W348" s="30"/>
      <c r="X348" s="30"/>
      <c r="Y348" s="30"/>
      <c r="Z348" s="30"/>
      <c r="AA348" s="30"/>
      <c r="AB348" s="1005"/>
    </row>
    <row r="349" spans="1:28">
      <c r="A349" s="29"/>
      <c r="B349" s="30"/>
      <c r="C349" s="30"/>
      <c r="D349" s="736"/>
      <c r="E349" s="30"/>
      <c r="F349" s="30"/>
      <c r="G349" s="30"/>
      <c r="H349" s="30"/>
      <c r="I349" s="30"/>
      <c r="J349" s="30"/>
      <c r="K349" s="30"/>
      <c r="L349" s="30"/>
      <c r="M349" s="30"/>
      <c r="N349" s="37"/>
      <c r="O349" s="30"/>
      <c r="P349" s="30"/>
      <c r="Q349" s="30"/>
      <c r="R349" s="30"/>
      <c r="S349" s="736"/>
      <c r="T349" s="30"/>
      <c r="U349" s="30"/>
      <c r="V349" s="30"/>
      <c r="W349" s="30"/>
      <c r="X349" s="30"/>
      <c r="Y349" s="30"/>
      <c r="Z349" s="30"/>
      <c r="AA349" s="30"/>
      <c r="AB349" s="1005"/>
    </row>
    <row r="350" spans="1:28">
      <c r="A350" s="29"/>
      <c r="B350" s="30"/>
      <c r="C350" s="30"/>
      <c r="D350" s="736"/>
      <c r="E350" s="30"/>
      <c r="F350" s="30"/>
      <c r="G350" s="30"/>
      <c r="H350" s="30"/>
      <c r="I350" s="30"/>
      <c r="J350" s="30"/>
      <c r="K350" s="30"/>
      <c r="L350" s="30"/>
      <c r="M350" s="30"/>
      <c r="N350" s="37"/>
      <c r="O350" s="30"/>
      <c r="P350" s="30"/>
      <c r="Q350" s="30"/>
      <c r="R350" s="30"/>
      <c r="S350" s="736"/>
      <c r="T350" s="30"/>
      <c r="U350" s="30"/>
      <c r="V350" s="30"/>
      <c r="W350" s="30"/>
      <c r="X350" s="30"/>
      <c r="Y350" s="30"/>
      <c r="Z350" s="30"/>
      <c r="AA350" s="30"/>
      <c r="AB350" s="1005"/>
    </row>
    <row r="351" spans="1:28">
      <c r="A351" s="29"/>
      <c r="B351" s="30"/>
      <c r="C351" s="30"/>
      <c r="D351" s="736"/>
      <c r="E351" s="30"/>
      <c r="F351" s="30"/>
      <c r="G351" s="30"/>
      <c r="H351" s="30"/>
      <c r="I351" s="30"/>
      <c r="J351" s="30"/>
      <c r="K351" s="30"/>
      <c r="L351" s="30"/>
      <c r="M351" s="30"/>
      <c r="N351" s="37"/>
      <c r="O351" s="30"/>
      <c r="P351" s="30"/>
      <c r="Q351" s="30"/>
      <c r="R351" s="30"/>
      <c r="S351" s="736"/>
      <c r="T351" s="30"/>
      <c r="U351" s="30"/>
      <c r="V351" s="30"/>
      <c r="W351" s="30"/>
      <c r="X351" s="30"/>
      <c r="Y351" s="30"/>
      <c r="Z351" s="30"/>
      <c r="AA351" s="30"/>
      <c r="AB351" s="1005"/>
    </row>
    <row r="352" spans="1:28">
      <c r="A352" s="29"/>
      <c r="B352" s="30"/>
      <c r="C352" s="30"/>
      <c r="D352" s="736"/>
      <c r="E352" s="30"/>
      <c r="F352" s="30"/>
      <c r="G352" s="30"/>
      <c r="H352" s="30"/>
      <c r="I352" s="30"/>
      <c r="J352" s="30"/>
      <c r="K352" s="30"/>
      <c r="L352" s="30"/>
      <c r="M352" s="30"/>
      <c r="N352" s="37"/>
      <c r="O352" s="30"/>
      <c r="P352" s="30"/>
      <c r="Q352" s="30"/>
      <c r="R352" s="30"/>
      <c r="S352" s="736"/>
      <c r="T352" s="30"/>
      <c r="U352" s="30"/>
      <c r="V352" s="30"/>
      <c r="W352" s="30"/>
      <c r="X352" s="30"/>
      <c r="Y352" s="30"/>
      <c r="Z352" s="30"/>
      <c r="AA352" s="30"/>
      <c r="AB352" s="1005"/>
    </row>
    <row r="353" spans="1:28">
      <c r="A353" s="29"/>
      <c r="B353" s="30"/>
      <c r="C353" s="30"/>
      <c r="D353" s="736"/>
      <c r="E353" s="30"/>
      <c r="F353" s="30"/>
      <c r="G353" s="30"/>
      <c r="H353" s="30"/>
      <c r="I353" s="30"/>
      <c r="J353" s="30"/>
      <c r="K353" s="30"/>
      <c r="L353" s="30"/>
      <c r="M353" s="30"/>
      <c r="N353" s="37"/>
      <c r="O353" s="30"/>
      <c r="P353" s="30"/>
      <c r="Q353" s="30"/>
      <c r="R353" s="30"/>
      <c r="S353" s="736"/>
      <c r="T353" s="30"/>
      <c r="U353" s="30"/>
      <c r="V353" s="30"/>
      <c r="W353" s="30"/>
      <c r="X353" s="30"/>
      <c r="Y353" s="30"/>
      <c r="Z353" s="30"/>
      <c r="AA353" s="30"/>
      <c r="AB353" s="1005"/>
    </row>
    <row r="354" spans="1:28">
      <c r="A354" s="29"/>
      <c r="B354" s="30"/>
      <c r="C354" s="30"/>
      <c r="D354" s="736"/>
      <c r="E354" s="30"/>
      <c r="F354" s="30"/>
      <c r="G354" s="30"/>
      <c r="H354" s="30"/>
      <c r="I354" s="30"/>
      <c r="J354" s="30"/>
      <c r="K354" s="30"/>
      <c r="L354" s="30"/>
      <c r="M354" s="30"/>
      <c r="N354" s="37"/>
      <c r="O354" s="30"/>
      <c r="P354" s="30"/>
      <c r="Q354" s="30"/>
      <c r="R354" s="30"/>
      <c r="S354" s="736"/>
      <c r="T354" s="30"/>
      <c r="U354" s="30"/>
      <c r="V354" s="30"/>
      <c r="W354" s="30"/>
      <c r="X354" s="30"/>
      <c r="Y354" s="30"/>
      <c r="Z354" s="30"/>
      <c r="AA354" s="30"/>
      <c r="AB354" s="1005"/>
    </row>
    <row r="355" spans="1:28">
      <c r="A355" s="29"/>
      <c r="B355" s="30"/>
      <c r="C355" s="30"/>
      <c r="D355" s="736"/>
      <c r="E355" s="30"/>
      <c r="F355" s="30"/>
      <c r="G355" s="30"/>
      <c r="H355" s="30"/>
      <c r="I355" s="30"/>
      <c r="J355" s="30"/>
      <c r="K355" s="30"/>
      <c r="L355" s="30"/>
      <c r="M355" s="30"/>
      <c r="N355" s="37"/>
      <c r="O355" s="30"/>
      <c r="P355" s="30"/>
      <c r="Q355" s="30"/>
      <c r="R355" s="30"/>
      <c r="S355" s="736"/>
      <c r="T355" s="30"/>
      <c r="U355" s="30"/>
      <c r="V355" s="30"/>
      <c r="W355" s="30"/>
      <c r="X355" s="30"/>
      <c r="Y355" s="30"/>
      <c r="Z355" s="30"/>
      <c r="AA355" s="30"/>
      <c r="AB355" s="1005"/>
    </row>
    <row r="356" spans="1:28">
      <c r="A356" s="29"/>
      <c r="B356" s="30"/>
      <c r="C356" s="30"/>
      <c r="D356" s="736"/>
      <c r="E356" s="30"/>
      <c r="F356" s="30"/>
      <c r="G356" s="30"/>
      <c r="H356" s="30"/>
      <c r="I356" s="30"/>
      <c r="J356" s="30"/>
      <c r="K356" s="30"/>
      <c r="L356" s="30"/>
      <c r="M356" s="30"/>
      <c r="N356" s="37"/>
      <c r="O356" s="30"/>
      <c r="P356" s="30"/>
      <c r="Q356" s="30"/>
      <c r="R356" s="30"/>
      <c r="S356" s="736"/>
      <c r="T356" s="30"/>
      <c r="U356" s="30"/>
      <c r="V356" s="30"/>
      <c r="W356" s="30"/>
      <c r="X356" s="30"/>
      <c r="Y356" s="30"/>
      <c r="Z356" s="30"/>
      <c r="AA356" s="30"/>
      <c r="AB356" s="1005"/>
    </row>
    <row r="357" spans="1:28">
      <c r="A357" s="29"/>
      <c r="B357" s="30"/>
      <c r="C357" s="30"/>
      <c r="D357" s="736"/>
      <c r="E357" s="30"/>
      <c r="F357" s="30"/>
      <c r="G357" s="30"/>
      <c r="H357" s="30"/>
      <c r="I357" s="30"/>
      <c r="J357" s="30"/>
      <c r="K357" s="30"/>
      <c r="L357" s="30"/>
      <c r="M357" s="30"/>
      <c r="N357" s="37"/>
      <c r="O357" s="30"/>
      <c r="P357" s="30"/>
      <c r="Q357" s="30"/>
      <c r="R357" s="30"/>
      <c r="S357" s="736"/>
      <c r="T357" s="30"/>
      <c r="U357" s="30"/>
      <c r="V357" s="30"/>
      <c r="W357" s="30"/>
      <c r="X357" s="30"/>
      <c r="Y357" s="30"/>
      <c r="Z357" s="30"/>
      <c r="AA357" s="30"/>
      <c r="AB357" s="1005"/>
    </row>
    <row r="358" spans="1:28">
      <c r="A358" s="29"/>
      <c r="B358" s="30"/>
      <c r="C358" s="30"/>
      <c r="D358" s="736"/>
      <c r="E358" s="30"/>
      <c r="F358" s="30"/>
      <c r="G358" s="30"/>
      <c r="H358" s="30"/>
      <c r="I358" s="30"/>
      <c r="J358" s="30"/>
      <c r="K358" s="30"/>
      <c r="L358" s="30"/>
      <c r="M358" s="30"/>
      <c r="N358" s="37"/>
      <c r="O358" s="30"/>
      <c r="P358" s="30"/>
      <c r="Q358" s="30"/>
      <c r="R358" s="30"/>
      <c r="S358" s="736"/>
      <c r="T358" s="30"/>
      <c r="U358" s="30"/>
      <c r="V358" s="30"/>
      <c r="W358" s="30"/>
      <c r="X358" s="30"/>
      <c r="Y358" s="30"/>
      <c r="Z358" s="30"/>
      <c r="AA358" s="30"/>
      <c r="AB358" s="1005"/>
    </row>
    <row r="359" spans="1:28">
      <c r="A359" s="29"/>
      <c r="B359" s="30"/>
      <c r="C359" s="30"/>
      <c r="D359" s="736"/>
      <c r="E359" s="30"/>
      <c r="F359" s="30"/>
      <c r="G359" s="30"/>
      <c r="H359" s="30"/>
      <c r="I359" s="30"/>
      <c r="J359" s="30"/>
      <c r="K359" s="30"/>
      <c r="L359" s="30"/>
      <c r="M359" s="30"/>
      <c r="N359" s="37"/>
      <c r="O359" s="30"/>
      <c r="P359" s="30"/>
      <c r="Q359" s="30"/>
      <c r="R359" s="30"/>
      <c r="S359" s="736"/>
      <c r="T359" s="30"/>
      <c r="U359" s="30"/>
      <c r="V359" s="30"/>
      <c r="W359" s="30"/>
      <c r="X359" s="30"/>
      <c r="Y359" s="30"/>
      <c r="Z359" s="30"/>
      <c r="AA359" s="30"/>
      <c r="AB359" s="1005"/>
    </row>
    <row r="360" spans="1:28">
      <c r="A360" s="29"/>
      <c r="B360" s="30"/>
      <c r="C360" s="30"/>
      <c r="D360" s="736"/>
      <c r="E360" s="30"/>
      <c r="F360" s="30"/>
      <c r="G360" s="30"/>
      <c r="H360" s="30"/>
      <c r="I360" s="30"/>
      <c r="J360" s="30"/>
      <c r="K360" s="30"/>
      <c r="L360" s="30"/>
      <c r="M360" s="30"/>
      <c r="N360" s="37"/>
      <c r="O360" s="30"/>
      <c r="P360" s="30"/>
      <c r="Q360" s="30"/>
      <c r="R360" s="30"/>
      <c r="S360" s="736"/>
      <c r="T360" s="30"/>
      <c r="U360" s="30"/>
      <c r="V360" s="30"/>
      <c r="W360" s="30"/>
      <c r="X360" s="30"/>
      <c r="Y360" s="30"/>
      <c r="Z360" s="30"/>
      <c r="AA360" s="30"/>
      <c r="AB360" s="1005"/>
    </row>
    <row r="361" spans="1:28">
      <c r="A361" s="29"/>
      <c r="B361" s="30"/>
      <c r="C361" s="30"/>
      <c r="D361" s="736"/>
      <c r="E361" s="30"/>
      <c r="F361" s="30"/>
      <c r="G361" s="30"/>
      <c r="H361" s="30"/>
      <c r="I361" s="30"/>
      <c r="J361" s="30"/>
      <c r="K361" s="30"/>
      <c r="L361" s="30"/>
      <c r="M361" s="30"/>
      <c r="N361" s="37"/>
      <c r="O361" s="30"/>
      <c r="P361" s="30"/>
      <c r="Q361" s="30"/>
      <c r="R361" s="30"/>
      <c r="S361" s="736"/>
      <c r="T361" s="30"/>
      <c r="U361" s="30"/>
      <c r="V361" s="30"/>
      <c r="W361" s="30"/>
      <c r="X361" s="30"/>
      <c r="Y361" s="30"/>
      <c r="Z361" s="30"/>
      <c r="AA361" s="30"/>
      <c r="AB361" s="1005"/>
    </row>
    <row r="362" spans="1:28">
      <c r="A362" s="29"/>
      <c r="B362" s="30"/>
      <c r="C362" s="30"/>
      <c r="D362" s="736"/>
      <c r="E362" s="30"/>
      <c r="F362" s="30"/>
      <c r="G362" s="30"/>
      <c r="H362" s="30"/>
      <c r="I362" s="30"/>
      <c r="J362" s="30"/>
      <c r="K362" s="30"/>
      <c r="L362" s="30"/>
      <c r="M362" s="30"/>
      <c r="N362" s="37"/>
      <c r="O362" s="30"/>
      <c r="P362" s="30"/>
      <c r="Q362" s="30"/>
      <c r="R362" s="30"/>
      <c r="S362" s="736"/>
      <c r="T362" s="30"/>
      <c r="U362" s="30"/>
      <c r="V362" s="30"/>
      <c r="W362" s="30"/>
      <c r="X362" s="30"/>
      <c r="Y362" s="30"/>
      <c r="Z362" s="30"/>
      <c r="AA362" s="30"/>
      <c r="AB362" s="1005"/>
    </row>
    <row r="363" spans="1:28">
      <c r="A363" s="29"/>
      <c r="B363" s="30"/>
      <c r="C363" s="30"/>
      <c r="D363" s="736"/>
      <c r="E363" s="30"/>
      <c r="F363" s="30"/>
      <c r="G363" s="30"/>
      <c r="H363" s="30"/>
      <c r="I363" s="30"/>
      <c r="J363" s="30"/>
      <c r="K363" s="30"/>
      <c r="L363" s="30"/>
      <c r="M363" s="30"/>
      <c r="N363" s="37"/>
      <c r="O363" s="30"/>
      <c r="P363" s="30"/>
      <c r="Q363" s="30"/>
      <c r="R363" s="30"/>
      <c r="S363" s="736"/>
      <c r="T363" s="30"/>
      <c r="U363" s="30"/>
      <c r="V363" s="30"/>
      <c r="W363" s="30"/>
      <c r="X363" s="30"/>
      <c r="Y363" s="30"/>
      <c r="Z363" s="30"/>
      <c r="AA363" s="30"/>
      <c r="AB363" s="1005"/>
    </row>
    <row r="364" spans="1:28">
      <c r="A364" s="29"/>
      <c r="B364" s="30"/>
      <c r="C364" s="30"/>
      <c r="D364" s="736"/>
      <c r="E364" s="30"/>
      <c r="F364" s="30"/>
      <c r="G364" s="30"/>
      <c r="H364" s="30"/>
      <c r="I364" s="30"/>
      <c r="J364" s="30"/>
      <c r="K364" s="30"/>
      <c r="L364" s="30"/>
      <c r="M364" s="30"/>
      <c r="N364" s="37"/>
      <c r="O364" s="30"/>
      <c r="P364" s="30"/>
      <c r="Q364" s="30"/>
      <c r="R364" s="30"/>
      <c r="S364" s="736"/>
      <c r="T364" s="30"/>
      <c r="U364" s="30"/>
      <c r="V364" s="30"/>
      <c r="W364" s="30"/>
      <c r="X364" s="30"/>
      <c r="Y364" s="30"/>
      <c r="Z364" s="30"/>
      <c r="AA364" s="30"/>
      <c r="AB364" s="1005"/>
    </row>
    <row r="365" spans="1:28">
      <c r="A365" s="29"/>
      <c r="B365" s="30"/>
      <c r="C365" s="30"/>
      <c r="D365" s="736"/>
      <c r="E365" s="30"/>
      <c r="F365" s="30"/>
      <c r="G365" s="30"/>
      <c r="H365" s="30"/>
      <c r="I365" s="30"/>
      <c r="J365" s="30"/>
      <c r="K365" s="30"/>
      <c r="L365" s="30"/>
      <c r="M365" s="30"/>
      <c r="N365" s="37"/>
      <c r="O365" s="30"/>
      <c r="P365" s="30"/>
      <c r="Q365" s="30"/>
      <c r="R365" s="30"/>
      <c r="S365" s="736"/>
      <c r="T365" s="30"/>
      <c r="U365" s="30"/>
      <c r="V365" s="30"/>
      <c r="W365" s="30"/>
      <c r="X365" s="30"/>
      <c r="Y365" s="30"/>
      <c r="Z365" s="30"/>
      <c r="AA365" s="30"/>
      <c r="AB365" s="1005"/>
    </row>
    <row r="366" spans="1:28">
      <c r="A366" s="29"/>
      <c r="B366" s="30"/>
      <c r="C366" s="30"/>
      <c r="D366" s="736"/>
      <c r="E366" s="30"/>
      <c r="F366" s="30"/>
      <c r="G366" s="30"/>
      <c r="H366" s="30"/>
      <c r="I366" s="30"/>
      <c r="J366" s="30"/>
      <c r="K366" s="30"/>
      <c r="L366" s="30"/>
      <c r="M366" s="30"/>
      <c r="N366" s="37"/>
      <c r="O366" s="30"/>
      <c r="P366" s="30"/>
      <c r="Q366" s="30"/>
      <c r="R366" s="30"/>
      <c r="S366" s="736"/>
      <c r="T366" s="30"/>
      <c r="U366" s="30"/>
      <c r="V366" s="30"/>
      <c r="W366" s="30"/>
      <c r="X366" s="30"/>
      <c r="Y366" s="30"/>
      <c r="Z366" s="30"/>
      <c r="AA366" s="30"/>
      <c r="AB366" s="1005"/>
    </row>
    <row r="367" spans="1:28">
      <c r="A367" s="29"/>
      <c r="B367" s="30"/>
      <c r="C367" s="30"/>
      <c r="D367" s="736"/>
      <c r="E367" s="30"/>
      <c r="F367" s="30"/>
      <c r="G367" s="30"/>
      <c r="H367" s="30"/>
      <c r="I367" s="30"/>
      <c r="J367" s="30"/>
      <c r="K367" s="30"/>
      <c r="L367" s="30"/>
      <c r="M367" s="30"/>
      <c r="N367" s="37"/>
      <c r="O367" s="30"/>
      <c r="P367" s="30"/>
      <c r="Q367" s="30"/>
      <c r="R367" s="30"/>
      <c r="S367" s="736"/>
      <c r="T367" s="30"/>
      <c r="U367" s="30"/>
      <c r="V367" s="30"/>
      <c r="W367" s="30"/>
      <c r="X367" s="30"/>
      <c r="Y367" s="30"/>
      <c r="Z367" s="30"/>
      <c r="AA367" s="30"/>
      <c r="AB367" s="1005"/>
    </row>
    <row r="368" spans="1:28">
      <c r="A368" s="29"/>
      <c r="B368" s="30"/>
      <c r="C368" s="30"/>
      <c r="D368" s="736"/>
      <c r="E368" s="30"/>
      <c r="F368" s="30"/>
      <c r="G368" s="30"/>
      <c r="H368" s="30"/>
      <c r="I368" s="30"/>
      <c r="J368" s="30"/>
      <c r="K368" s="30"/>
      <c r="L368" s="30"/>
      <c r="M368" s="30"/>
      <c r="N368" s="37"/>
      <c r="O368" s="30"/>
      <c r="P368" s="30"/>
      <c r="Q368" s="30"/>
      <c r="R368" s="30"/>
      <c r="S368" s="736"/>
      <c r="T368" s="30"/>
      <c r="U368" s="30"/>
      <c r="V368" s="30"/>
      <c r="W368" s="30"/>
      <c r="X368" s="30"/>
      <c r="Y368" s="30"/>
      <c r="Z368" s="30"/>
      <c r="AA368" s="30"/>
      <c r="AB368" s="1005"/>
    </row>
    <row r="369" spans="1:28">
      <c r="A369" s="29"/>
      <c r="B369" s="30"/>
      <c r="C369" s="30"/>
      <c r="D369" s="736"/>
      <c r="E369" s="30"/>
      <c r="F369" s="30"/>
      <c r="G369" s="30"/>
      <c r="H369" s="30"/>
      <c r="I369" s="30"/>
      <c r="J369" s="30"/>
      <c r="K369" s="30"/>
      <c r="L369" s="30"/>
      <c r="M369" s="30"/>
      <c r="N369" s="37"/>
      <c r="O369" s="30"/>
      <c r="P369" s="30"/>
      <c r="Q369" s="30"/>
      <c r="R369" s="30"/>
      <c r="S369" s="736"/>
      <c r="T369" s="30"/>
      <c r="U369" s="30"/>
      <c r="V369" s="30"/>
      <c r="W369" s="30"/>
      <c r="X369" s="30"/>
      <c r="Y369" s="30"/>
      <c r="Z369" s="30"/>
      <c r="AA369" s="30"/>
      <c r="AB369" s="1005"/>
    </row>
    <row r="370" spans="1:28">
      <c r="A370" s="29"/>
      <c r="B370" s="30"/>
      <c r="C370" s="30"/>
      <c r="D370" s="736"/>
      <c r="E370" s="30"/>
      <c r="F370" s="30"/>
      <c r="G370" s="30"/>
      <c r="H370" s="30"/>
      <c r="I370" s="30"/>
      <c r="J370" s="30"/>
      <c r="K370" s="30"/>
      <c r="L370" s="30"/>
      <c r="M370" s="30"/>
      <c r="N370" s="37"/>
      <c r="O370" s="30"/>
      <c r="P370" s="30"/>
      <c r="Q370" s="30"/>
      <c r="R370" s="30"/>
      <c r="S370" s="736"/>
      <c r="T370" s="30"/>
      <c r="U370" s="30"/>
      <c r="V370" s="30"/>
      <c r="W370" s="30"/>
      <c r="X370" s="30"/>
      <c r="Y370" s="30"/>
      <c r="Z370" s="30"/>
      <c r="AA370" s="30"/>
      <c r="AB370" s="1005"/>
    </row>
    <row r="371" spans="1:28">
      <c r="A371" s="29"/>
      <c r="B371" s="30"/>
      <c r="C371" s="30"/>
      <c r="D371" s="736"/>
      <c r="E371" s="30"/>
      <c r="F371" s="30"/>
      <c r="G371" s="30"/>
      <c r="H371" s="30"/>
      <c r="I371" s="30"/>
      <c r="J371" s="30"/>
      <c r="K371" s="30"/>
      <c r="L371" s="30"/>
      <c r="M371" s="30"/>
      <c r="N371" s="37"/>
      <c r="O371" s="30"/>
      <c r="P371" s="30"/>
      <c r="Q371" s="30"/>
      <c r="R371" s="30"/>
      <c r="S371" s="736"/>
      <c r="T371" s="30"/>
      <c r="U371" s="30"/>
      <c r="V371" s="30"/>
      <c r="W371" s="30"/>
      <c r="X371" s="30"/>
      <c r="Y371" s="30"/>
      <c r="Z371" s="30"/>
      <c r="AA371" s="30"/>
      <c r="AB371" s="1005"/>
    </row>
    <row r="372" spans="1:28">
      <c r="A372" s="29"/>
      <c r="B372" s="30"/>
      <c r="C372" s="30"/>
      <c r="D372" s="736"/>
      <c r="E372" s="30"/>
      <c r="F372" s="30"/>
      <c r="G372" s="30"/>
      <c r="H372" s="30"/>
      <c r="I372" s="30"/>
      <c r="J372" s="30"/>
      <c r="K372" s="30"/>
      <c r="L372" s="30"/>
      <c r="M372" s="30"/>
      <c r="N372" s="37"/>
      <c r="O372" s="30"/>
      <c r="P372" s="30"/>
      <c r="Q372" s="30"/>
      <c r="R372" s="30"/>
      <c r="S372" s="736"/>
      <c r="T372" s="30"/>
      <c r="U372" s="30"/>
      <c r="V372" s="30"/>
      <c r="W372" s="30"/>
      <c r="X372" s="30"/>
      <c r="Y372" s="30"/>
      <c r="Z372" s="30"/>
      <c r="AA372" s="30"/>
      <c r="AB372" s="1005"/>
    </row>
    <row r="373" spans="1:28">
      <c r="A373" s="29"/>
      <c r="B373" s="30"/>
      <c r="C373" s="30"/>
      <c r="D373" s="736"/>
      <c r="E373" s="30"/>
      <c r="F373" s="30"/>
      <c r="G373" s="30"/>
      <c r="H373" s="30"/>
      <c r="I373" s="30"/>
      <c r="J373" s="30"/>
      <c r="K373" s="30"/>
      <c r="L373" s="30"/>
      <c r="M373" s="30"/>
      <c r="N373" s="37"/>
      <c r="O373" s="30"/>
      <c r="P373" s="30"/>
      <c r="Q373" s="30"/>
      <c r="R373" s="30"/>
      <c r="S373" s="736"/>
      <c r="T373" s="30"/>
      <c r="U373" s="30"/>
      <c r="V373" s="30"/>
      <c r="W373" s="30"/>
      <c r="X373" s="30"/>
      <c r="Y373" s="30"/>
      <c r="Z373" s="30"/>
      <c r="AA373" s="30"/>
      <c r="AB373" s="1005"/>
    </row>
    <row r="374" spans="1:28">
      <c r="A374" s="29"/>
      <c r="B374" s="30"/>
      <c r="C374" s="30"/>
      <c r="D374" s="736"/>
      <c r="E374" s="30"/>
      <c r="F374" s="30"/>
      <c r="G374" s="30"/>
      <c r="H374" s="30"/>
      <c r="I374" s="30"/>
      <c r="J374" s="30"/>
      <c r="K374" s="30"/>
      <c r="L374" s="30"/>
      <c r="M374" s="30"/>
      <c r="N374" s="37"/>
      <c r="O374" s="30"/>
      <c r="P374" s="30"/>
      <c r="Q374" s="30"/>
      <c r="R374" s="30"/>
      <c r="S374" s="736"/>
      <c r="T374" s="30"/>
      <c r="U374" s="30"/>
      <c r="V374" s="30"/>
      <c r="W374" s="30"/>
      <c r="X374" s="30"/>
      <c r="Y374" s="30"/>
      <c r="Z374" s="30"/>
      <c r="AA374" s="30"/>
      <c r="AB374" s="1005"/>
    </row>
    <row r="375" spans="1:28">
      <c r="A375" s="29"/>
      <c r="B375" s="30"/>
      <c r="C375" s="30"/>
      <c r="D375" s="736"/>
      <c r="E375" s="30"/>
      <c r="F375" s="30"/>
      <c r="G375" s="30"/>
      <c r="H375" s="30"/>
      <c r="I375" s="30"/>
      <c r="J375" s="30"/>
      <c r="K375" s="30"/>
      <c r="L375" s="30"/>
      <c r="M375" s="30"/>
      <c r="N375" s="37"/>
      <c r="O375" s="30"/>
      <c r="P375" s="30"/>
      <c r="Q375" s="30"/>
      <c r="R375" s="30"/>
      <c r="S375" s="736"/>
      <c r="T375" s="30"/>
      <c r="U375" s="30"/>
      <c r="V375" s="30"/>
      <c r="W375" s="30"/>
      <c r="X375" s="30"/>
      <c r="Y375" s="30"/>
      <c r="Z375" s="30"/>
      <c r="AA375" s="30"/>
      <c r="AB375" s="1005"/>
    </row>
    <row r="376" spans="1:28">
      <c r="A376" s="29"/>
      <c r="B376" s="30"/>
      <c r="C376" s="30"/>
      <c r="D376" s="736"/>
      <c r="E376" s="30"/>
      <c r="F376" s="30"/>
      <c r="G376" s="30"/>
      <c r="H376" s="30"/>
      <c r="I376" s="30"/>
      <c r="J376" s="30"/>
      <c r="K376" s="30"/>
      <c r="L376" s="30"/>
      <c r="M376" s="30"/>
      <c r="N376" s="37"/>
      <c r="O376" s="30"/>
      <c r="P376" s="30"/>
      <c r="Q376" s="30"/>
      <c r="R376" s="30"/>
      <c r="S376" s="736"/>
      <c r="T376" s="30"/>
      <c r="U376" s="30"/>
      <c r="V376" s="30"/>
      <c r="W376" s="30"/>
      <c r="X376" s="30"/>
      <c r="Y376" s="30"/>
      <c r="Z376" s="30"/>
      <c r="AA376" s="30"/>
      <c r="AB376" s="1005"/>
    </row>
    <row r="377" spans="1:28">
      <c r="A377" s="29"/>
      <c r="B377" s="30"/>
      <c r="C377" s="30"/>
      <c r="D377" s="736"/>
      <c r="E377" s="30"/>
      <c r="F377" s="30"/>
      <c r="G377" s="30"/>
      <c r="H377" s="30"/>
      <c r="I377" s="30"/>
      <c r="J377" s="30"/>
      <c r="K377" s="30"/>
      <c r="L377" s="30"/>
      <c r="M377" s="30"/>
      <c r="N377" s="37"/>
      <c r="O377" s="30"/>
      <c r="P377" s="30"/>
      <c r="Q377" s="30"/>
      <c r="R377" s="30"/>
      <c r="S377" s="736"/>
      <c r="T377" s="30"/>
      <c r="U377" s="30"/>
      <c r="V377" s="30"/>
      <c r="W377" s="30"/>
      <c r="X377" s="30"/>
      <c r="Y377" s="30"/>
      <c r="Z377" s="30"/>
      <c r="AA377" s="30"/>
      <c r="AB377" s="1005"/>
    </row>
    <row r="378" spans="1:28">
      <c r="A378" s="29"/>
      <c r="B378" s="30"/>
      <c r="C378" s="30"/>
      <c r="D378" s="736"/>
      <c r="E378" s="30"/>
      <c r="F378" s="30"/>
      <c r="G378" s="30"/>
      <c r="H378" s="30"/>
      <c r="I378" s="30"/>
      <c r="J378" s="30"/>
      <c r="K378" s="30"/>
      <c r="L378" s="30"/>
      <c r="M378" s="30"/>
      <c r="N378" s="37"/>
      <c r="O378" s="30"/>
      <c r="P378" s="30"/>
      <c r="Q378" s="30"/>
      <c r="R378" s="30"/>
      <c r="S378" s="736"/>
      <c r="T378" s="30"/>
      <c r="U378" s="30"/>
      <c r="V378" s="30"/>
      <c r="W378" s="30"/>
      <c r="X378" s="30"/>
      <c r="Y378" s="30"/>
      <c r="Z378" s="30"/>
      <c r="AA378" s="30"/>
      <c r="AB378" s="1005"/>
    </row>
    <row r="379" spans="1:28">
      <c r="A379" s="29"/>
      <c r="B379" s="30"/>
      <c r="C379" s="30"/>
      <c r="D379" s="736"/>
      <c r="E379" s="30"/>
      <c r="F379" s="30"/>
      <c r="G379" s="30"/>
      <c r="H379" s="30"/>
      <c r="I379" s="30"/>
      <c r="J379" s="30"/>
      <c r="K379" s="30"/>
      <c r="L379" s="30"/>
      <c r="M379" s="30"/>
      <c r="N379" s="37"/>
      <c r="O379" s="30"/>
      <c r="P379" s="30"/>
      <c r="Q379" s="30"/>
      <c r="R379" s="30"/>
      <c r="S379" s="736"/>
      <c r="T379" s="30"/>
      <c r="U379" s="30"/>
      <c r="V379" s="30"/>
      <c r="W379" s="30"/>
      <c r="X379" s="30"/>
      <c r="Y379" s="30"/>
      <c r="Z379" s="30"/>
      <c r="AA379" s="30"/>
      <c r="AB379" s="1005"/>
    </row>
    <row r="380" spans="1:28">
      <c r="A380" s="29"/>
      <c r="B380" s="30"/>
      <c r="C380" s="30"/>
      <c r="D380" s="736"/>
      <c r="E380" s="30"/>
      <c r="F380" s="30"/>
      <c r="G380" s="30"/>
      <c r="H380" s="30"/>
      <c r="I380" s="30"/>
      <c r="J380" s="30"/>
      <c r="K380" s="30"/>
      <c r="L380" s="30"/>
      <c r="M380" s="30"/>
      <c r="N380" s="37"/>
      <c r="O380" s="30"/>
      <c r="P380" s="30"/>
      <c r="Q380" s="30"/>
      <c r="R380" s="30"/>
      <c r="S380" s="736"/>
      <c r="T380" s="30"/>
      <c r="U380" s="30"/>
      <c r="V380" s="30"/>
      <c r="W380" s="30"/>
      <c r="X380" s="30"/>
      <c r="Y380" s="30"/>
      <c r="Z380" s="30"/>
      <c r="AA380" s="30"/>
      <c r="AB380" s="1005"/>
    </row>
    <row r="381" spans="1:28">
      <c r="A381" s="29"/>
      <c r="B381" s="30"/>
      <c r="C381" s="30"/>
      <c r="D381" s="736"/>
      <c r="E381" s="30"/>
      <c r="F381" s="30"/>
      <c r="G381" s="30"/>
      <c r="H381" s="30"/>
      <c r="I381" s="30"/>
      <c r="J381" s="30"/>
      <c r="K381" s="30"/>
      <c r="L381" s="30"/>
      <c r="M381" s="30"/>
      <c r="N381" s="37"/>
      <c r="O381" s="30"/>
      <c r="P381" s="30"/>
      <c r="Q381" s="30"/>
      <c r="R381" s="30"/>
      <c r="S381" s="736"/>
      <c r="T381" s="30"/>
      <c r="U381" s="30"/>
      <c r="V381" s="30"/>
      <c r="W381" s="30"/>
      <c r="X381" s="30"/>
      <c r="Y381" s="30"/>
      <c r="Z381" s="30"/>
      <c r="AA381" s="30"/>
      <c r="AB381" s="1005"/>
    </row>
    <row r="382" spans="1:28">
      <c r="A382" s="29"/>
      <c r="B382" s="30"/>
      <c r="C382" s="30"/>
      <c r="D382" s="736"/>
      <c r="E382" s="30"/>
      <c r="F382" s="30"/>
      <c r="G382" s="30"/>
      <c r="H382" s="30"/>
      <c r="I382" s="30"/>
      <c r="J382" s="30"/>
      <c r="K382" s="30"/>
      <c r="L382" s="30"/>
      <c r="M382" s="30"/>
      <c r="N382" s="37"/>
      <c r="O382" s="30"/>
      <c r="P382" s="30"/>
      <c r="Q382" s="30"/>
      <c r="R382" s="30"/>
      <c r="S382" s="736"/>
      <c r="T382" s="30"/>
      <c r="U382" s="30"/>
      <c r="V382" s="30"/>
      <c r="W382" s="30"/>
      <c r="X382" s="30"/>
      <c r="Y382" s="30"/>
      <c r="Z382" s="30"/>
      <c r="AA382" s="30"/>
      <c r="AB382" s="1005"/>
    </row>
    <row r="383" spans="1:28">
      <c r="A383" s="29"/>
      <c r="B383" s="30"/>
      <c r="C383" s="30"/>
      <c r="D383" s="736"/>
      <c r="E383" s="30"/>
      <c r="F383" s="30"/>
      <c r="G383" s="30"/>
      <c r="H383" s="30"/>
      <c r="I383" s="30"/>
      <c r="J383" s="30"/>
      <c r="K383" s="30"/>
      <c r="L383" s="30"/>
      <c r="M383" s="30"/>
      <c r="N383" s="37"/>
      <c r="O383" s="30"/>
      <c r="P383" s="30"/>
      <c r="Q383" s="30"/>
      <c r="R383" s="30"/>
      <c r="S383" s="736"/>
      <c r="T383" s="30"/>
      <c r="U383" s="30"/>
      <c r="V383" s="30"/>
      <c r="W383" s="30"/>
      <c r="X383" s="30"/>
      <c r="Y383" s="30"/>
      <c r="Z383" s="30"/>
      <c r="AA383" s="30"/>
      <c r="AB383" s="1005"/>
    </row>
    <row r="384" spans="1:28">
      <c r="A384" s="29"/>
      <c r="B384" s="30"/>
      <c r="C384" s="30"/>
      <c r="D384" s="736"/>
      <c r="E384" s="30"/>
      <c r="F384" s="30"/>
      <c r="G384" s="30"/>
      <c r="H384" s="30"/>
      <c r="I384" s="30"/>
      <c r="J384" s="30"/>
      <c r="K384" s="30"/>
      <c r="L384" s="30"/>
      <c r="M384" s="30"/>
      <c r="N384" s="37"/>
      <c r="O384" s="30"/>
      <c r="P384" s="30"/>
      <c r="Q384" s="30"/>
      <c r="R384" s="30"/>
      <c r="S384" s="736"/>
      <c r="T384" s="30"/>
      <c r="U384" s="30"/>
      <c r="V384" s="30"/>
      <c r="W384" s="30"/>
      <c r="X384" s="30"/>
      <c r="Y384" s="30"/>
      <c r="Z384" s="30"/>
      <c r="AA384" s="30"/>
      <c r="AB384" s="1005"/>
    </row>
    <row r="385" spans="1:28">
      <c r="A385" s="29"/>
      <c r="B385" s="30"/>
      <c r="C385" s="30"/>
      <c r="D385" s="736"/>
      <c r="E385" s="30"/>
      <c r="F385" s="30"/>
      <c r="G385" s="30"/>
      <c r="H385" s="30"/>
      <c r="I385" s="30"/>
      <c r="J385" s="30"/>
      <c r="K385" s="30"/>
      <c r="L385" s="30"/>
      <c r="M385" s="30"/>
      <c r="N385" s="37"/>
      <c r="O385" s="30"/>
      <c r="P385" s="30"/>
      <c r="Q385" s="30"/>
      <c r="R385" s="30"/>
      <c r="S385" s="736"/>
      <c r="T385" s="30"/>
      <c r="U385" s="30"/>
      <c r="V385" s="30"/>
      <c r="W385" s="30"/>
      <c r="X385" s="30"/>
      <c r="Y385" s="30"/>
      <c r="Z385" s="30"/>
      <c r="AA385" s="30"/>
      <c r="AB385" s="1005"/>
    </row>
    <row r="386" spans="1:28">
      <c r="A386" s="29"/>
      <c r="B386" s="30"/>
      <c r="C386" s="30"/>
      <c r="D386" s="736"/>
      <c r="E386" s="30"/>
      <c r="F386" s="30"/>
      <c r="G386" s="30"/>
      <c r="H386" s="30"/>
      <c r="I386" s="30"/>
      <c r="J386" s="30"/>
      <c r="K386" s="30"/>
      <c r="L386" s="30"/>
      <c r="M386" s="30"/>
      <c r="N386" s="37"/>
      <c r="O386" s="30"/>
      <c r="P386" s="30"/>
      <c r="Q386" s="30"/>
      <c r="R386" s="30"/>
      <c r="S386" s="736"/>
      <c r="T386" s="30"/>
      <c r="U386" s="30"/>
      <c r="V386" s="30"/>
      <c r="W386" s="30"/>
      <c r="X386" s="30"/>
      <c r="Y386" s="30"/>
      <c r="Z386" s="30"/>
      <c r="AA386" s="30"/>
      <c r="AB386" s="1005"/>
    </row>
    <row r="387" spans="1:28">
      <c r="A387" s="29"/>
      <c r="B387" s="30"/>
      <c r="C387" s="30"/>
      <c r="D387" s="736"/>
      <c r="E387" s="30"/>
      <c r="F387" s="30"/>
      <c r="G387" s="30"/>
      <c r="H387" s="30"/>
      <c r="I387" s="30"/>
      <c r="J387" s="30"/>
      <c r="K387" s="30"/>
      <c r="L387" s="30"/>
      <c r="M387" s="30"/>
      <c r="N387" s="37"/>
      <c r="O387" s="30"/>
      <c r="P387" s="30"/>
      <c r="Q387" s="30"/>
      <c r="R387" s="30"/>
      <c r="S387" s="736"/>
      <c r="T387" s="30"/>
      <c r="U387" s="30"/>
      <c r="V387" s="30"/>
      <c r="W387" s="30"/>
      <c r="X387" s="30"/>
      <c r="Y387" s="30"/>
      <c r="Z387" s="30"/>
      <c r="AA387" s="30"/>
      <c r="AB387" s="1005"/>
    </row>
    <row r="388" spans="1:28">
      <c r="A388" s="29"/>
      <c r="B388" s="30"/>
      <c r="C388" s="30"/>
      <c r="D388" s="736"/>
      <c r="E388" s="30"/>
      <c r="F388" s="30"/>
      <c r="G388" s="30"/>
      <c r="H388" s="30"/>
      <c r="I388" s="30"/>
      <c r="J388" s="30"/>
      <c r="K388" s="30"/>
      <c r="L388" s="30"/>
      <c r="M388" s="30"/>
      <c r="N388" s="37"/>
      <c r="O388" s="30"/>
      <c r="P388" s="30"/>
      <c r="Q388" s="30"/>
      <c r="R388" s="30"/>
      <c r="S388" s="736"/>
      <c r="T388" s="30"/>
      <c r="U388" s="30"/>
      <c r="V388" s="30"/>
      <c r="W388" s="30"/>
      <c r="X388" s="30"/>
      <c r="Y388" s="30"/>
      <c r="Z388" s="30"/>
      <c r="AA388" s="30"/>
      <c r="AB388" s="1005"/>
    </row>
    <row r="389" spans="1:28">
      <c r="A389" s="29"/>
      <c r="B389" s="30"/>
      <c r="C389" s="30"/>
      <c r="D389" s="736"/>
      <c r="E389" s="30"/>
      <c r="F389" s="30"/>
      <c r="G389" s="30"/>
      <c r="H389" s="30"/>
      <c r="I389" s="30"/>
      <c r="J389" s="30"/>
      <c r="K389" s="30"/>
      <c r="L389" s="30"/>
      <c r="M389" s="30"/>
      <c r="N389" s="37"/>
      <c r="O389" s="30"/>
      <c r="P389" s="30"/>
      <c r="Q389" s="30"/>
      <c r="R389" s="30"/>
      <c r="S389" s="736"/>
      <c r="T389" s="30"/>
      <c r="U389" s="30"/>
      <c r="V389" s="30"/>
      <c r="W389" s="30"/>
      <c r="X389" s="30"/>
      <c r="Y389" s="30"/>
      <c r="Z389" s="30"/>
      <c r="AA389" s="30"/>
      <c r="AB389" s="1005"/>
    </row>
    <row r="390" spans="1:28">
      <c r="A390" s="29"/>
      <c r="B390" s="30"/>
      <c r="C390" s="30"/>
      <c r="D390" s="736"/>
      <c r="E390" s="30"/>
      <c r="F390" s="30"/>
      <c r="G390" s="30"/>
      <c r="H390" s="30"/>
      <c r="I390" s="30"/>
      <c r="J390" s="30"/>
      <c r="K390" s="30"/>
      <c r="L390" s="30"/>
      <c r="M390" s="30"/>
      <c r="N390" s="37"/>
      <c r="O390" s="30"/>
      <c r="P390" s="30"/>
      <c r="Q390" s="30"/>
      <c r="R390" s="30"/>
      <c r="S390" s="736"/>
      <c r="T390" s="30"/>
      <c r="U390" s="30"/>
      <c r="V390" s="30"/>
      <c r="W390" s="30"/>
      <c r="X390" s="30"/>
      <c r="Y390" s="30"/>
      <c r="Z390" s="30"/>
      <c r="AA390" s="30"/>
      <c r="AB390" s="1005"/>
    </row>
    <row r="391" spans="1:28">
      <c r="A391" s="29"/>
      <c r="B391" s="30"/>
      <c r="C391" s="30"/>
      <c r="D391" s="736"/>
      <c r="E391" s="30"/>
      <c r="F391" s="30"/>
      <c r="G391" s="30"/>
      <c r="H391" s="30"/>
      <c r="I391" s="30"/>
      <c r="J391" s="30"/>
      <c r="K391" s="30"/>
      <c r="L391" s="30"/>
      <c r="M391" s="30"/>
      <c r="N391" s="37"/>
      <c r="O391" s="30"/>
      <c r="P391" s="30"/>
      <c r="Q391" s="30"/>
      <c r="R391" s="30"/>
      <c r="S391" s="736"/>
      <c r="T391" s="30"/>
      <c r="U391" s="30"/>
      <c r="V391" s="30"/>
      <c r="W391" s="30"/>
      <c r="X391" s="30"/>
      <c r="Y391" s="30"/>
      <c r="Z391" s="30"/>
      <c r="AA391" s="30"/>
      <c r="AB391" s="1005"/>
    </row>
    <row r="392" spans="1:28">
      <c r="A392" s="29"/>
      <c r="B392" s="30"/>
      <c r="C392" s="30"/>
      <c r="D392" s="736"/>
      <c r="E392" s="30"/>
      <c r="F392" s="30"/>
      <c r="G392" s="30"/>
      <c r="H392" s="30"/>
      <c r="I392" s="30"/>
      <c r="J392" s="30"/>
      <c r="K392" s="30"/>
      <c r="L392" s="30"/>
      <c r="M392" s="30"/>
      <c r="N392" s="37"/>
      <c r="O392" s="30"/>
      <c r="P392" s="30"/>
      <c r="Q392" s="30"/>
      <c r="R392" s="30"/>
      <c r="S392" s="736"/>
      <c r="T392" s="30"/>
      <c r="U392" s="30"/>
      <c r="V392" s="30"/>
      <c r="W392" s="30"/>
      <c r="X392" s="30"/>
      <c r="Y392" s="30"/>
      <c r="Z392" s="30"/>
      <c r="AA392" s="30"/>
      <c r="AB392" s="1005"/>
    </row>
    <row r="393" spans="1:28">
      <c r="A393" s="29"/>
      <c r="B393" s="30"/>
      <c r="C393" s="30"/>
      <c r="D393" s="736"/>
      <c r="E393" s="30"/>
      <c r="F393" s="30"/>
      <c r="G393" s="30"/>
      <c r="H393" s="30"/>
      <c r="I393" s="30"/>
      <c r="J393" s="30"/>
      <c r="K393" s="30"/>
      <c r="L393" s="30"/>
      <c r="M393" s="30"/>
      <c r="N393" s="37"/>
      <c r="O393" s="30"/>
      <c r="P393" s="30"/>
      <c r="Q393" s="30"/>
      <c r="R393" s="30"/>
      <c r="S393" s="736"/>
      <c r="T393" s="30"/>
      <c r="U393" s="30"/>
      <c r="V393" s="30"/>
      <c r="W393" s="30"/>
      <c r="X393" s="30"/>
      <c r="Y393" s="30"/>
      <c r="Z393" s="30"/>
      <c r="AA393" s="30"/>
      <c r="AB393" s="1005"/>
    </row>
    <row r="394" spans="1:28">
      <c r="A394" s="29"/>
      <c r="B394" s="30"/>
      <c r="C394" s="30"/>
      <c r="D394" s="736"/>
      <c r="E394" s="30"/>
      <c r="F394" s="30"/>
      <c r="G394" s="30"/>
      <c r="H394" s="30"/>
      <c r="I394" s="30"/>
      <c r="J394" s="30"/>
      <c r="K394" s="30"/>
      <c r="L394" s="30"/>
      <c r="M394" s="30"/>
      <c r="N394" s="37"/>
      <c r="O394" s="30"/>
      <c r="P394" s="30"/>
      <c r="Q394" s="30"/>
      <c r="R394" s="30"/>
      <c r="S394" s="736"/>
      <c r="T394" s="30"/>
      <c r="U394" s="30"/>
      <c r="V394" s="30"/>
      <c r="W394" s="30"/>
      <c r="X394" s="30"/>
      <c r="Y394" s="30"/>
      <c r="Z394" s="30"/>
      <c r="AA394" s="30"/>
      <c r="AB394" s="1005"/>
    </row>
    <row r="395" spans="1:28">
      <c r="A395" s="29"/>
      <c r="B395" s="30"/>
      <c r="C395" s="30"/>
      <c r="D395" s="736"/>
      <c r="E395" s="30"/>
      <c r="F395" s="30"/>
      <c r="G395" s="30"/>
      <c r="H395" s="30"/>
      <c r="I395" s="30"/>
      <c r="J395" s="30"/>
      <c r="K395" s="30"/>
      <c r="L395" s="30"/>
      <c r="M395" s="30"/>
      <c r="N395" s="37"/>
      <c r="O395" s="30"/>
      <c r="P395" s="30"/>
      <c r="Q395" s="30"/>
      <c r="R395" s="30"/>
      <c r="S395" s="736"/>
      <c r="T395" s="30"/>
      <c r="U395" s="30"/>
      <c r="V395" s="30"/>
      <c r="W395" s="30"/>
      <c r="X395" s="30"/>
      <c r="Y395" s="30"/>
      <c r="Z395" s="30"/>
      <c r="AA395" s="30"/>
      <c r="AB395" s="1005"/>
    </row>
    <row r="396" spans="1:28">
      <c r="A396" s="29"/>
      <c r="B396" s="30"/>
      <c r="C396" s="30"/>
      <c r="D396" s="736"/>
      <c r="E396" s="30"/>
      <c r="F396" s="30"/>
      <c r="G396" s="30"/>
      <c r="H396" s="30"/>
      <c r="I396" s="30"/>
      <c r="J396" s="30"/>
      <c r="K396" s="30"/>
      <c r="L396" s="30"/>
      <c r="M396" s="30"/>
      <c r="N396" s="37"/>
      <c r="O396" s="30"/>
      <c r="P396" s="30"/>
      <c r="Q396" s="30"/>
      <c r="R396" s="30"/>
      <c r="S396" s="736"/>
      <c r="T396" s="30"/>
      <c r="U396" s="30"/>
      <c r="V396" s="30"/>
      <c r="W396" s="30"/>
      <c r="X396" s="30"/>
      <c r="Y396" s="30"/>
      <c r="Z396" s="30"/>
      <c r="AA396" s="30"/>
      <c r="AB396" s="1005"/>
    </row>
    <row r="397" spans="1:28">
      <c r="A397" s="29"/>
      <c r="B397" s="30"/>
      <c r="C397" s="30"/>
      <c r="D397" s="736"/>
      <c r="E397" s="30"/>
      <c r="F397" s="30"/>
      <c r="G397" s="30"/>
      <c r="H397" s="30"/>
      <c r="I397" s="30"/>
      <c r="J397" s="30"/>
      <c r="K397" s="30"/>
      <c r="L397" s="30"/>
      <c r="M397" s="30"/>
      <c r="N397" s="37"/>
      <c r="O397" s="30"/>
      <c r="P397" s="30"/>
      <c r="Q397" s="30"/>
      <c r="R397" s="30"/>
      <c r="S397" s="736"/>
      <c r="T397" s="30"/>
      <c r="U397" s="30"/>
      <c r="V397" s="30"/>
      <c r="W397" s="30"/>
      <c r="X397" s="30"/>
      <c r="Y397" s="30"/>
      <c r="Z397" s="30"/>
      <c r="AA397" s="30"/>
      <c r="AB397" s="1005"/>
    </row>
    <row r="398" spans="1:28">
      <c r="A398" s="29"/>
      <c r="B398" s="30"/>
      <c r="C398" s="30"/>
      <c r="D398" s="736"/>
      <c r="E398" s="30"/>
      <c r="F398" s="30"/>
      <c r="G398" s="30"/>
      <c r="H398" s="30"/>
      <c r="I398" s="30"/>
      <c r="J398" s="30"/>
      <c r="K398" s="30"/>
      <c r="L398" s="30"/>
      <c r="M398" s="30"/>
      <c r="N398" s="37"/>
      <c r="O398" s="30"/>
      <c r="P398" s="30"/>
      <c r="Q398" s="30"/>
      <c r="R398" s="30"/>
      <c r="S398" s="736"/>
      <c r="T398" s="30"/>
      <c r="U398" s="30"/>
      <c r="V398" s="30"/>
      <c r="W398" s="30"/>
      <c r="X398" s="30"/>
      <c r="Y398" s="30"/>
      <c r="Z398" s="30"/>
      <c r="AA398" s="30"/>
      <c r="AB398" s="1005"/>
    </row>
    <row r="399" spans="1:28">
      <c r="A399" s="29"/>
      <c r="B399" s="30"/>
      <c r="C399" s="30"/>
      <c r="D399" s="736"/>
      <c r="E399" s="30"/>
      <c r="F399" s="30"/>
      <c r="G399" s="30"/>
      <c r="H399" s="30"/>
      <c r="I399" s="30"/>
      <c r="J399" s="30"/>
      <c r="K399" s="30"/>
      <c r="L399" s="30"/>
      <c r="M399" s="30"/>
      <c r="N399" s="37"/>
      <c r="O399" s="30"/>
      <c r="P399" s="30"/>
      <c r="Q399" s="30"/>
      <c r="R399" s="30"/>
      <c r="S399" s="736"/>
      <c r="T399" s="30"/>
      <c r="U399" s="30"/>
      <c r="V399" s="30"/>
      <c r="W399" s="30"/>
      <c r="X399" s="30"/>
      <c r="Y399" s="30"/>
      <c r="Z399" s="30"/>
      <c r="AA399" s="30"/>
      <c r="AB399" s="1005"/>
    </row>
    <row r="400" spans="1:28">
      <c r="A400" s="29"/>
      <c r="B400" s="30"/>
      <c r="C400" s="30"/>
      <c r="D400" s="736"/>
      <c r="E400" s="30"/>
      <c r="F400" s="30"/>
      <c r="G400" s="30"/>
      <c r="H400" s="30"/>
      <c r="I400" s="30"/>
      <c r="J400" s="30"/>
      <c r="K400" s="30"/>
      <c r="L400" s="30"/>
      <c r="M400" s="30"/>
      <c r="N400" s="37"/>
      <c r="O400" s="30"/>
      <c r="P400" s="30"/>
      <c r="Q400" s="30"/>
      <c r="R400" s="30"/>
      <c r="S400" s="736"/>
      <c r="T400" s="30"/>
      <c r="U400" s="30"/>
      <c r="V400" s="30"/>
      <c r="W400" s="30"/>
      <c r="X400" s="30"/>
      <c r="Y400" s="30"/>
      <c r="Z400" s="30"/>
      <c r="AA400" s="30"/>
      <c r="AB400" s="1005"/>
    </row>
    <row r="401" spans="1:28">
      <c r="A401" s="29"/>
      <c r="B401" s="30"/>
      <c r="C401" s="30"/>
      <c r="D401" s="736"/>
      <c r="E401" s="30"/>
      <c r="F401" s="30"/>
      <c r="G401" s="30"/>
      <c r="H401" s="30"/>
      <c r="I401" s="30"/>
      <c r="J401" s="30"/>
      <c r="K401" s="30"/>
      <c r="L401" s="30"/>
      <c r="M401" s="30"/>
      <c r="N401" s="37"/>
      <c r="O401" s="30"/>
      <c r="P401" s="30"/>
      <c r="Q401" s="30"/>
      <c r="R401" s="30"/>
      <c r="S401" s="736"/>
      <c r="T401" s="30"/>
      <c r="U401" s="30"/>
      <c r="V401" s="30"/>
      <c r="W401" s="30"/>
      <c r="X401" s="30"/>
      <c r="Y401" s="30"/>
      <c r="Z401" s="30"/>
      <c r="AA401" s="30"/>
      <c r="AB401" s="1005"/>
    </row>
    <row r="402" spans="1:28">
      <c r="A402" s="29"/>
      <c r="B402" s="30"/>
      <c r="C402" s="30"/>
      <c r="D402" s="736"/>
      <c r="E402" s="30"/>
      <c r="F402" s="30"/>
      <c r="G402" s="30"/>
      <c r="H402" s="30"/>
      <c r="I402" s="30"/>
      <c r="J402" s="30"/>
      <c r="K402" s="30"/>
      <c r="L402" s="30"/>
      <c r="M402" s="30"/>
      <c r="N402" s="37"/>
      <c r="O402" s="30"/>
      <c r="P402" s="30"/>
      <c r="Q402" s="30"/>
      <c r="R402" s="30"/>
      <c r="S402" s="736"/>
      <c r="T402" s="30"/>
      <c r="U402" s="30"/>
      <c r="V402" s="30"/>
      <c r="W402" s="30"/>
      <c r="X402" s="30"/>
      <c r="Y402" s="30"/>
      <c r="Z402" s="30"/>
      <c r="AA402" s="30"/>
      <c r="AB402" s="1005"/>
    </row>
    <row r="403" spans="1:28">
      <c r="A403" s="29"/>
      <c r="B403" s="30"/>
      <c r="C403" s="30"/>
      <c r="D403" s="736"/>
      <c r="E403" s="30"/>
      <c r="F403" s="30"/>
      <c r="G403" s="30"/>
      <c r="H403" s="30"/>
      <c r="I403" s="30"/>
      <c r="J403" s="30"/>
      <c r="K403" s="30"/>
      <c r="L403" s="30"/>
      <c r="M403" s="30"/>
      <c r="N403" s="37"/>
      <c r="O403" s="30"/>
      <c r="P403" s="30"/>
      <c r="Q403" s="30"/>
      <c r="R403" s="30"/>
      <c r="S403" s="736"/>
      <c r="T403" s="30"/>
      <c r="U403" s="30"/>
      <c r="V403" s="30"/>
      <c r="W403" s="30"/>
      <c r="X403" s="30"/>
      <c r="Y403" s="30"/>
      <c r="Z403" s="30"/>
      <c r="AA403" s="30"/>
      <c r="AB403" s="1005"/>
    </row>
    <row r="404" spans="1:28">
      <c r="A404" s="29"/>
      <c r="B404" s="30"/>
      <c r="C404" s="30"/>
      <c r="D404" s="736"/>
      <c r="E404" s="30"/>
      <c r="F404" s="30"/>
      <c r="G404" s="30"/>
      <c r="H404" s="30"/>
      <c r="I404" s="30"/>
      <c r="J404" s="30"/>
      <c r="K404" s="30"/>
      <c r="L404" s="30"/>
      <c r="M404" s="30"/>
      <c r="N404" s="37"/>
      <c r="O404" s="30"/>
      <c r="P404" s="30"/>
      <c r="Q404" s="30"/>
      <c r="R404" s="30"/>
      <c r="S404" s="736"/>
      <c r="T404" s="30"/>
      <c r="U404" s="30"/>
      <c r="V404" s="30"/>
      <c r="W404" s="30"/>
      <c r="X404" s="30"/>
      <c r="Y404" s="30"/>
      <c r="Z404" s="30"/>
      <c r="AA404" s="30"/>
      <c r="AB404" s="1005"/>
    </row>
    <row r="405" spans="1:28">
      <c r="A405" s="29"/>
      <c r="B405" s="30"/>
      <c r="C405" s="30"/>
      <c r="D405" s="736"/>
      <c r="E405" s="30"/>
      <c r="F405" s="30"/>
      <c r="G405" s="30"/>
      <c r="H405" s="30"/>
      <c r="I405" s="30"/>
      <c r="J405" s="30"/>
      <c r="K405" s="30"/>
      <c r="L405" s="30"/>
      <c r="M405" s="30"/>
      <c r="N405" s="37"/>
      <c r="O405" s="30"/>
      <c r="P405" s="30"/>
      <c r="Q405" s="30"/>
      <c r="R405" s="30"/>
      <c r="S405" s="736"/>
      <c r="T405" s="30"/>
      <c r="U405" s="30"/>
      <c r="V405" s="30"/>
      <c r="W405" s="30"/>
      <c r="X405" s="30"/>
      <c r="Y405" s="30"/>
      <c r="Z405" s="30"/>
      <c r="AA405" s="30"/>
      <c r="AB405" s="1005"/>
    </row>
    <row r="406" spans="1:28">
      <c r="A406" s="29"/>
      <c r="B406" s="30"/>
      <c r="C406" s="30"/>
      <c r="D406" s="736"/>
      <c r="E406" s="30"/>
      <c r="F406" s="30"/>
      <c r="G406" s="30"/>
      <c r="H406" s="30"/>
      <c r="I406" s="30"/>
      <c r="J406" s="30"/>
      <c r="K406" s="30"/>
      <c r="L406" s="30"/>
      <c r="M406" s="30"/>
      <c r="N406" s="37"/>
      <c r="O406" s="30"/>
      <c r="P406" s="30"/>
      <c r="Q406" s="30"/>
      <c r="R406" s="30"/>
      <c r="S406" s="736"/>
      <c r="T406" s="30"/>
      <c r="U406" s="30"/>
      <c r="V406" s="30"/>
      <c r="W406" s="30"/>
      <c r="X406" s="30"/>
      <c r="Y406" s="30"/>
      <c r="Z406" s="30"/>
      <c r="AA406" s="30"/>
      <c r="AB406" s="1005"/>
    </row>
    <row r="407" spans="1:28">
      <c r="A407" s="29"/>
      <c r="B407" s="30"/>
      <c r="C407" s="30"/>
      <c r="D407" s="736"/>
      <c r="E407" s="30"/>
      <c r="F407" s="30"/>
      <c r="G407" s="30"/>
      <c r="H407" s="30"/>
      <c r="I407" s="30"/>
      <c r="J407" s="30"/>
      <c r="K407" s="30"/>
      <c r="L407" s="30"/>
      <c r="M407" s="30"/>
      <c r="N407" s="37"/>
      <c r="O407" s="30"/>
      <c r="P407" s="30"/>
      <c r="Q407" s="30"/>
      <c r="R407" s="30"/>
      <c r="S407" s="736"/>
      <c r="T407" s="30"/>
      <c r="U407" s="30"/>
      <c r="V407" s="30"/>
      <c r="W407" s="30"/>
      <c r="X407" s="30"/>
      <c r="Y407" s="30"/>
      <c r="Z407" s="30"/>
      <c r="AA407" s="30"/>
      <c r="AB407" s="1005"/>
    </row>
    <row r="408" spans="1:28">
      <c r="A408" s="29"/>
      <c r="B408" s="30"/>
      <c r="C408" s="30"/>
      <c r="D408" s="736"/>
      <c r="E408" s="30"/>
      <c r="F408" s="30"/>
      <c r="G408" s="30"/>
      <c r="H408" s="30"/>
      <c r="I408" s="30"/>
      <c r="J408" s="30"/>
      <c r="K408" s="30"/>
      <c r="L408" s="30"/>
      <c r="M408" s="30"/>
      <c r="N408" s="37"/>
      <c r="O408" s="30"/>
      <c r="P408" s="30"/>
      <c r="Q408" s="30"/>
      <c r="R408" s="30"/>
      <c r="S408" s="736"/>
      <c r="T408" s="30"/>
      <c r="U408" s="30"/>
      <c r="V408" s="30"/>
      <c r="W408" s="30"/>
      <c r="X408" s="30"/>
      <c r="Y408" s="30"/>
      <c r="Z408" s="30"/>
      <c r="AA408" s="30"/>
      <c r="AB408" s="1005"/>
    </row>
    <row r="409" spans="1:28">
      <c r="A409" s="29"/>
      <c r="B409" s="30"/>
      <c r="C409" s="30"/>
      <c r="D409" s="736"/>
      <c r="E409" s="30"/>
      <c r="F409" s="30"/>
      <c r="G409" s="30"/>
      <c r="H409" s="30"/>
      <c r="I409" s="30"/>
      <c r="J409" s="30"/>
      <c r="K409" s="30"/>
      <c r="L409" s="30"/>
      <c r="M409" s="30"/>
      <c r="N409" s="37"/>
      <c r="O409" s="30"/>
      <c r="P409" s="30"/>
      <c r="Q409" s="30"/>
      <c r="R409" s="30"/>
      <c r="S409" s="736"/>
      <c r="T409" s="30"/>
      <c r="U409" s="30"/>
      <c r="V409" s="30"/>
      <c r="W409" s="30"/>
      <c r="X409" s="30"/>
      <c r="Y409" s="30"/>
      <c r="Z409" s="30"/>
      <c r="AA409" s="30"/>
      <c r="AB409" s="1005"/>
    </row>
    <row r="410" spans="1:28">
      <c r="A410" s="29"/>
      <c r="B410" s="30"/>
      <c r="C410" s="30"/>
      <c r="D410" s="736"/>
      <c r="E410" s="30"/>
      <c r="F410" s="30"/>
      <c r="G410" s="30"/>
      <c r="H410" s="30"/>
      <c r="I410" s="30"/>
      <c r="J410" s="30"/>
      <c r="K410" s="30"/>
      <c r="L410" s="30"/>
      <c r="M410" s="30"/>
      <c r="N410" s="37"/>
      <c r="O410" s="30"/>
      <c r="P410" s="30"/>
      <c r="Q410" s="30"/>
      <c r="R410" s="30"/>
      <c r="S410" s="736"/>
      <c r="T410" s="30"/>
      <c r="U410" s="30"/>
      <c r="V410" s="30"/>
      <c r="W410" s="30"/>
      <c r="X410" s="30"/>
      <c r="Y410" s="30"/>
      <c r="Z410" s="30"/>
      <c r="AA410" s="30"/>
      <c r="AB410" s="1005"/>
    </row>
    <row r="411" spans="1:28">
      <c r="A411" s="29"/>
      <c r="B411" s="30"/>
      <c r="C411" s="30"/>
      <c r="D411" s="736"/>
      <c r="E411" s="30"/>
      <c r="F411" s="30"/>
      <c r="G411" s="30"/>
      <c r="H411" s="30"/>
      <c r="I411" s="30"/>
      <c r="J411" s="30"/>
      <c r="K411" s="30"/>
      <c r="L411" s="30"/>
      <c r="M411" s="30"/>
      <c r="N411" s="37"/>
      <c r="O411" s="30"/>
      <c r="P411" s="30"/>
      <c r="Q411" s="30"/>
      <c r="R411" s="30"/>
      <c r="S411" s="736"/>
      <c r="T411" s="30"/>
      <c r="U411" s="30"/>
      <c r="V411" s="30"/>
      <c r="W411" s="30"/>
      <c r="X411" s="30"/>
      <c r="Y411" s="30"/>
      <c r="Z411" s="30"/>
      <c r="AA411" s="30"/>
      <c r="AB411" s="1005"/>
    </row>
    <row r="412" spans="1:28">
      <c r="A412" s="29"/>
      <c r="B412" s="30"/>
      <c r="C412" s="30"/>
      <c r="D412" s="736"/>
      <c r="E412" s="30"/>
      <c r="F412" s="30"/>
      <c r="G412" s="30"/>
      <c r="H412" s="30"/>
      <c r="I412" s="30"/>
      <c r="J412" s="30"/>
      <c r="K412" s="30"/>
      <c r="L412" s="30"/>
      <c r="M412" s="30"/>
      <c r="N412" s="37"/>
      <c r="O412" s="30"/>
      <c r="P412" s="30"/>
      <c r="Q412" s="30"/>
      <c r="R412" s="30"/>
      <c r="S412" s="736"/>
      <c r="T412" s="30"/>
      <c r="U412" s="30"/>
      <c r="V412" s="30"/>
      <c r="W412" s="30"/>
      <c r="X412" s="30"/>
      <c r="Y412" s="30"/>
      <c r="Z412" s="30"/>
      <c r="AA412" s="30"/>
      <c r="AB412" s="1005"/>
    </row>
    <row r="413" spans="1:28">
      <c r="A413" s="29"/>
      <c r="B413" s="30"/>
      <c r="C413" s="30"/>
      <c r="D413" s="736"/>
      <c r="E413" s="30"/>
      <c r="F413" s="30"/>
      <c r="G413" s="30"/>
      <c r="H413" s="30"/>
      <c r="I413" s="30"/>
      <c r="J413" s="30"/>
      <c r="K413" s="30"/>
      <c r="L413" s="30"/>
      <c r="M413" s="30"/>
      <c r="N413" s="37"/>
      <c r="O413" s="30"/>
      <c r="P413" s="30"/>
      <c r="Q413" s="30"/>
      <c r="R413" s="30"/>
      <c r="S413" s="736"/>
      <c r="T413" s="30"/>
      <c r="U413" s="30"/>
      <c r="V413" s="30"/>
      <c r="W413" s="30"/>
      <c r="X413" s="30"/>
      <c r="Y413" s="30"/>
      <c r="Z413" s="30"/>
      <c r="AA413" s="30"/>
      <c r="AB413" s="1005"/>
    </row>
    <row r="414" spans="1:28">
      <c r="A414" s="29"/>
      <c r="B414" s="30"/>
      <c r="C414" s="30"/>
      <c r="D414" s="736"/>
      <c r="E414" s="30"/>
      <c r="F414" s="30"/>
      <c r="G414" s="30"/>
      <c r="H414" s="30"/>
      <c r="I414" s="30"/>
      <c r="J414" s="30"/>
      <c r="K414" s="30"/>
      <c r="L414" s="30"/>
      <c r="M414" s="30"/>
      <c r="N414" s="37"/>
      <c r="O414" s="30"/>
      <c r="P414" s="30"/>
      <c r="Q414" s="30"/>
      <c r="R414" s="30"/>
      <c r="S414" s="736"/>
      <c r="T414" s="30"/>
      <c r="U414" s="30"/>
      <c r="V414" s="30"/>
      <c r="W414" s="30"/>
      <c r="X414" s="30"/>
      <c r="Y414" s="30"/>
      <c r="Z414" s="30"/>
      <c r="AA414" s="30"/>
      <c r="AB414" s="1005"/>
    </row>
    <row r="415" spans="1:28">
      <c r="A415" s="29"/>
      <c r="B415" s="30"/>
      <c r="C415" s="30"/>
      <c r="D415" s="736"/>
      <c r="E415" s="30"/>
      <c r="F415" s="30"/>
      <c r="G415" s="30"/>
      <c r="H415" s="30"/>
      <c r="I415" s="30"/>
      <c r="J415" s="30"/>
      <c r="K415" s="30"/>
      <c r="L415" s="30"/>
      <c r="M415" s="30"/>
      <c r="N415" s="37"/>
      <c r="O415" s="30"/>
      <c r="P415" s="30"/>
      <c r="Q415" s="30"/>
      <c r="R415" s="30"/>
      <c r="S415" s="736"/>
      <c r="T415" s="30"/>
      <c r="U415" s="30"/>
      <c r="V415" s="30"/>
      <c r="W415" s="30"/>
      <c r="X415" s="30"/>
      <c r="Y415" s="30"/>
      <c r="Z415" s="30"/>
      <c r="AA415" s="30"/>
      <c r="AB415" s="1005"/>
    </row>
    <row r="416" spans="1:28">
      <c r="A416" s="29"/>
      <c r="B416" s="30"/>
      <c r="C416" s="30"/>
      <c r="D416" s="736"/>
      <c r="E416" s="30"/>
      <c r="F416" s="30"/>
      <c r="G416" s="30"/>
      <c r="H416" s="30"/>
      <c r="I416" s="30"/>
      <c r="J416" s="30"/>
      <c r="K416" s="30"/>
      <c r="L416" s="30"/>
      <c r="M416" s="30"/>
      <c r="N416" s="37"/>
      <c r="O416" s="30"/>
      <c r="P416" s="30"/>
      <c r="Q416" s="30"/>
      <c r="R416" s="30"/>
      <c r="S416" s="736"/>
      <c r="T416" s="30"/>
      <c r="U416" s="30"/>
      <c r="V416" s="30"/>
      <c r="W416" s="30"/>
      <c r="X416" s="30"/>
      <c r="Y416" s="30"/>
      <c r="Z416" s="30"/>
      <c r="AA416" s="30"/>
      <c r="AB416" s="1005"/>
    </row>
    <row r="417" spans="1:28">
      <c r="A417" s="29"/>
      <c r="B417" s="30"/>
      <c r="C417" s="30"/>
      <c r="D417" s="736"/>
      <c r="E417" s="30"/>
      <c r="F417" s="30"/>
      <c r="G417" s="30"/>
      <c r="H417" s="30"/>
      <c r="I417" s="30"/>
      <c r="J417" s="30"/>
      <c r="K417" s="30"/>
      <c r="L417" s="30"/>
      <c r="M417" s="30"/>
      <c r="N417" s="37"/>
      <c r="O417" s="30"/>
      <c r="P417" s="30"/>
      <c r="Q417" s="30"/>
      <c r="R417" s="30"/>
      <c r="S417" s="736"/>
      <c r="T417" s="30"/>
      <c r="U417" s="30"/>
      <c r="V417" s="30"/>
      <c r="W417" s="30"/>
      <c r="X417" s="30"/>
      <c r="Y417" s="30"/>
      <c r="Z417" s="30"/>
      <c r="AA417" s="30"/>
      <c r="AB417" s="1005"/>
    </row>
    <row r="418" spans="1:28">
      <c r="A418" s="29"/>
      <c r="B418" s="30"/>
      <c r="C418" s="30"/>
      <c r="D418" s="736"/>
      <c r="E418" s="30"/>
      <c r="F418" s="30"/>
      <c r="G418" s="30"/>
      <c r="H418" s="30"/>
      <c r="I418" s="30"/>
      <c r="J418" s="30"/>
      <c r="K418" s="30"/>
      <c r="L418" s="30"/>
      <c r="M418" s="30"/>
      <c r="N418" s="37"/>
      <c r="O418" s="30"/>
      <c r="P418" s="30"/>
      <c r="Q418" s="30"/>
      <c r="R418" s="30"/>
      <c r="S418" s="736"/>
      <c r="T418" s="30"/>
      <c r="U418" s="30"/>
      <c r="V418" s="30"/>
      <c r="W418" s="30"/>
      <c r="X418" s="30"/>
      <c r="Y418" s="30"/>
      <c r="Z418" s="30"/>
      <c r="AA418" s="30"/>
      <c r="AB418" s="1005"/>
    </row>
    <row r="419" spans="1:28">
      <c r="A419" s="29"/>
      <c r="B419" s="30"/>
      <c r="C419" s="30"/>
      <c r="D419" s="736"/>
      <c r="E419" s="30"/>
      <c r="F419" s="30"/>
      <c r="G419" s="30"/>
      <c r="H419" s="30"/>
      <c r="I419" s="30"/>
      <c r="J419" s="30"/>
      <c r="K419" s="30"/>
      <c r="L419" s="30"/>
      <c r="M419" s="30"/>
      <c r="N419" s="37"/>
      <c r="O419" s="30"/>
      <c r="P419" s="30"/>
      <c r="Q419" s="30"/>
      <c r="R419" s="30"/>
      <c r="S419" s="736"/>
      <c r="T419" s="30"/>
      <c r="U419" s="30"/>
      <c r="V419" s="30"/>
      <c r="W419" s="30"/>
      <c r="X419" s="30"/>
      <c r="Y419" s="30"/>
      <c r="Z419" s="30"/>
      <c r="AA419" s="30"/>
      <c r="AB419" s="1005"/>
    </row>
    <row r="420" spans="1:28">
      <c r="A420" s="29"/>
      <c r="B420" s="30"/>
      <c r="C420" s="30"/>
      <c r="D420" s="736"/>
      <c r="E420" s="30"/>
      <c r="F420" s="30"/>
      <c r="G420" s="30"/>
      <c r="H420" s="30"/>
      <c r="I420" s="30"/>
      <c r="J420" s="30"/>
      <c r="K420" s="30"/>
      <c r="L420" s="30"/>
      <c r="M420" s="30"/>
      <c r="N420" s="37"/>
      <c r="O420" s="30"/>
      <c r="P420" s="30"/>
      <c r="Q420" s="30"/>
      <c r="R420" s="30"/>
      <c r="S420" s="736"/>
      <c r="T420" s="30"/>
      <c r="U420" s="30"/>
      <c r="V420" s="30"/>
      <c r="W420" s="30"/>
      <c r="X420" s="30"/>
      <c r="Y420" s="30"/>
      <c r="Z420" s="30"/>
      <c r="AA420" s="30"/>
      <c r="AB420" s="1005"/>
    </row>
    <row r="421" spans="1:28">
      <c r="A421" s="29"/>
      <c r="B421" s="30"/>
      <c r="C421" s="30"/>
      <c r="D421" s="736"/>
      <c r="E421" s="30"/>
      <c r="F421" s="30"/>
      <c r="G421" s="30"/>
      <c r="H421" s="30"/>
      <c r="I421" s="30"/>
      <c r="J421" s="30"/>
      <c r="K421" s="30"/>
      <c r="L421" s="30"/>
      <c r="M421" s="30"/>
      <c r="N421" s="37"/>
      <c r="O421" s="30"/>
      <c r="P421" s="30"/>
      <c r="Q421" s="30"/>
      <c r="R421" s="30"/>
      <c r="S421" s="736"/>
      <c r="T421" s="30"/>
      <c r="U421" s="30"/>
      <c r="V421" s="30"/>
      <c r="W421" s="30"/>
      <c r="X421" s="30"/>
      <c r="Y421" s="30"/>
      <c r="Z421" s="30"/>
      <c r="AA421" s="30"/>
      <c r="AB421" s="1005"/>
    </row>
    <row r="422" spans="1:28">
      <c r="A422" s="29"/>
      <c r="B422" s="30"/>
      <c r="C422" s="30"/>
      <c r="D422" s="736"/>
      <c r="E422" s="30"/>
      <c r="F422" s="30"/>
      <c r="G422" s="30"/>
      <c r="H422" s="30"/>
      <c r="I422" s="30"/>
      <c r="J422" s="30"/>
      <c r="K422" s="30"/>
      <c r="L422" s="30"/>
      <c r="M422" s="30"/>
      <c r="N422" s="37"/>
      <c r="O422" s="30"/>
      <c r="P422" s="30"/>
      <c r="Q422" s="30"/>
      <c r="R422" s="30"/>
      <c r="S422" s="736"/>
      <c r="T422" s="30"/>
      <c r="U422" s="30"/>
      <c r="V422" s="30"/>
      <c r="W422" s="30"/>
      <c r="X422" s="30"/>
      <c r="Y422" s="30"/>
      <c r="Z422" s="30"/>
      <c r="AA422" s="30"/>
      <c r="AB422" s="1005"/>
    </row>
    <row r="423" spans="1:28">
      <c r="A423" s="29"/>
      <c r="B423" s="30"/>
      <c r="C423" s="30"/>
      <c r="D423" s="736"/>
      <c r="E423" s="30"/>
      <c r="F423" s="30"/>
      <c r="G423" s="30"/>
      <c r="H423" s="30"/>
      <c r="I423" s="30"/>
      <c r="J423" s="30"/>
      <c r="K423" s="30"/>
      <c r="L423" s="30"/>
      <c r="M423" s="30"/>
      <c r="N423" s="37"/>
      <c r="O423" s="30"/>
      <c r="P423" s="30"/>
      <c r="Q423" s="30"/>
      <c r="R423" s="30"/>
      <c r="S423" s="736"/>
      <c r="T423" s="30"/>
      <c r="U423" s="30"/>
      <c r="V423" s="30"/>
      <c r="W423" s="30"/>
      <c r="X423" s="30"/>
      <c r="Y423" s="30"/>
      <c r="Z423" s="30"/>
      <c r="AA423" s="30"/>
      <c r="AB423" s="1005"/>
    </row>
    <row r="424" spans="1:28">
      <c r="A424" s="29"/>
      <c r="B424" s="30"/>
      <c r="C424" s="30"/>
      <c r="D424" s="736"/>
      <c r="E424" s="30"/>
      <c r="F424" s="30"/>
      <c r="G424" s="30"/>
      <c r="H424" s="30"/>
      <c r="I424" s="30"/>
      <c r="J424" s="30"/>
      <c r="K424" s="30"/>
      <c r="L424" s="30"/>
      <c r="M424" s="30"/>
      <c r="N424" s="37"/>
      <c r="O424" s="30"/>
      <c r="P424" s="30"/>
      <c r="Q424" s="30"/>
      <c r="R424" s="30"/>
      <c r="S424" s="736"/>
      <c r="T424" s="30"/>
      <c r="U424" s="30"/>
      <c r="V424" s="30"/>
      <c r="W424" s="30"/>
      <c r="X424" s="30"/>
      <c r="Y424" s="30"/>
      <c r="Z424" s="30"/>
      <c r="AA424" s="30"/>
      <c r="AB424" s="1005"/>
    </row>
    <row r="425" spans="1:28">
      <c r="A425" s="29"/>
      <c r="B425" s="30"/>
      <c r="C425" s="30"/>
      <c r="D425" s="736"/>
      <c r="E425" s="30"/>
      <c r="F425" s="30"/>
      <c r="G425" s="30"/>
      <c r="H425" s="30"/>
      <c r="I425" s="30"/>
      <c r="J425" s="30"/>
      <c r="K425" s="30"/>
      <c r="L425" s="30"/>
      <c r="M425" s="30"/>
      <c r="N425" s="37"/>
      <c r="O425" s="30"/>
      <c r="P425" s="30"/>
      <c r="Q425" s="30"/>
      <c r="R425" s="30"/>
      <c r="S425" s="736"/>
      <c r="T425" s="30"/>
      <c r="U425" s="30"/>
      <c r="V425" s="30"/>
      <c r="W425" s="30"/>
      <c r="X425" s="30"/>
      <c r="Y425" s="30"/>
      <c r="Z425" s="30"/>
      <c r="AA425" s="30"/>
      <c r="AB425" s="1005"/>
    </row>
    <row r="426" spans="1:28">
      <c r="A426" s="29"/>
      <c r="B426" s="30"/>
      <c r="C426" s="30"/>
      <c r="D426" s="736"/>
      <c r="E426" s="30"/>
      <c r="F426" s="30"/>
      <c r="G426" s="30"/>
      <c r="H426" s="30"/>
      <c r="I426" s="30"/>
      <c r="J426" s="30"/>
      <c r="K426" s="30"/>
      <c r="L426" s="30"/>
      <c r="M426" s="30"/>
      <c r="N426" s="37"/>
      <c r="O426" s="30"/>
      <c r="P426" s="30"/>
      <c r="Q426" s="30"/>
      <c r="R426" s="30"/>
      <c r="S426" s="736"/>
      <c r="T426" s="30"/>
      <c r="U426" s="30"/>
      <c r="V426" s="30"/>
      <c r="W426" s="30"/>
      <c r="X426" s="30"/>
      <c r="Y426" s="30"/>
      <c r="Z426" s="30"/>
      <c r="AA426" s="30"/>
      <c r="AB426" s="1005"/>
    </row>
    <row r="427" spans="1:28">
      <c r="A427" s="29"/>
      <c r="B427" s="30"/>
      <c r="C427" s="30"/>
      <c r="D427" s="736"/>
      <c r="E427" s="30"/>
      <c r="F427" s="30"/>
      <c r="G427" s="30"/>
      <c r="H427" s="30"/>
      <c r="I427" s="30"/>
      <c r="J427" s="30"/>
      <c r="K427" s="30"/>
      <c r="L427" s="30"/>
      <c r="M427" s="30"/>
      <c r="N427" s="37"/>
      <c r="O427" s="30"/>
      <c r="P427" s="30"/>
      <c r="Q427" s="30"/>
      <c r="R427" s="30"/>
      <c r="S427" s="736"/>
      <c r="T427" s="30"/>
      <c r="U427" s="30"/>
      <c r="V427" s="30"/>
      <c r="W427" s="30"/>
      <c r="X427" s="30"/>
      <c r="Y427" s="30"/>
      <c r="Z427" s="30"/>
      <c r="AA427" s="30"/>
      <c r="AB427" s="1005"/>
    </row>
    <row r="428" spans="1:28">
      <c r="A428" s="29"/>
      <c r="B428" s="30"/>
      <c r="C428" s="30"/>
      <c r="D428" s="736"/>
      <c r="E428" s="30"/>
      <c r="F428" s="30"/>
      <c r="G428" s="30"/>
      <c r="H428" s="30"/>
      <c r="I428" s="30"/>
      <c r="J428" s="30"/>
      <c r="K428" s="30"/>
      <c r="L428" s="30"/>
      <c r="M428" s="30"/>
      <c r="N428" s="37"/>
      <c r="O428" s="30"/>
      <c r="P428" s="30"/>
      <c r="Q428" s="30"/>
      <c r="R428" s="30"/>
      <c r="S428" s="736"/>
      <c r="T428" s="30"/>
      <c r="U428" s="30"/>
      <c r="V428" s="30"/>
      <c r="W428" s="30"/>
      <c r="X428" s="30"/>
      <c r="Y428" s="30"/>
      <c r="Z428" s="30"/>
      <c r="AA428" s="30"/>
      <c r="AB428" s="1005"/>
    </row>
    <row r="429" spans="1:28">
      <c r="A429" s="29"/>
      <c r="B429" s="30"/>
      <c r="C429" s="30"/>
      <c r="D429" s="736"/>
      <c r="E429" s="30"/>
      <c r="F429" s="30"/>
      <c r="G429" s="30"/>
      <c r="H429" s="30"/>
      <c r="I429" s="30"/>
      <c r="J429" s="30"/>
      <c r="K429" s="30"/>
      <c r="L429" s="30"/>
      <c r="M429" s="30"/>
      <c r="N429" s="37"/>
      <c r="O429" s="30"/>
      <c r="P429" s="30"/>
      <c r="Q429" s="30"/>
      <c r="R429" s="30"/>
      <c r="S429" s="736"/>
      <c r="T429" s="30"/>
      <c r="U429" s="30"/>
      <c r="V429" s="30"/>
      <c r="W429" s="30"/>
      <c r="X429" s="30"/>
      <c r="Y429" s="30"/>
      <c r="Z429" s="30"/>
      <c r="AA429" s="30"/>
      <c r="AB429" s="1005"/>
    </row>
    <row r="430" spans="1:28">
      <c r="A430" s="29"/>
      <c r="B430" s="30"/>
      <c r="C430" s="30"/>
      <c r="D430" s="736"/>
      <c r="E430" s="30"/>
      <c r="F430" s="30"/>
      <c r="G430" s="30"/>
      <c r="H430" s="30"/>
      <c r="I430" s="30"/>
      <c r="J430" s="30"/>
      <c r="K430" s="30"/>
      <c r="L430" s="30"/>
      <c r="M430" s="30"/>
      <c r="N430" s="37"/>
      <c r="O430" s="30"/>
      <c r="P430" s="30"/>
      <c r="Q430" s="30"/>
      <c r="R430" s="30"/>
      <c r="S430" s="736"/>
      <c r="T430" s="30"/>
      <c r="U430" s="30"/>
      <c r="V430" s="30"/>
      <c r="W430" s="30"/>
      <c r="X430" s="30"/>
      <c r="Y430" s="30"/>
      <c r="Z430" s="30"/>
      <c r="AA430" s="30"/>
      <c r="AB430" s="1005"/>
    </row>
    <row r="431" spans="1:28">
      <c r="A431" s="29"/>
      <c r="B431" s="30"/>
      <c r="C431" s="30"/>
      <c r="D431" s="736"/>
      <c r="E431" s="30"/>
      <c r="F431" s="30"/>
      <c r="G431" s="30"/>
      <c r="H431" s="30"/>
      <c r="I431" s="30"/>
      <c r="J431" s="30"/>
      <c r="K431" s="30"/>
      <c r="L431" s="30"/>
      <c r="M431" s="30"/>
      <c r="N431" s="37"/>
      <c r="O431" s="30"/>
      <c r="P431" s="30"/>
      <c r="Q431" s="30"/>
      <c r="R431" s="30"/>
      <c r="S431" s="736"/>
      <c r="T431" s="30"/>
      <c r="U431" s="30"/>
      <c r="V431" s="30"/>
      <c r="W431" s="30"/>
      <c r="X431" s="30"/>
      <c r="Y431" s="30"/>
      <c r="Z431" s="30"/>
      <c r="AA431" s="30"/>
      <c r="AB431" s="1005"/>
    </row>
    <row r="432" spans="1:28">
      <c r="A432" s="29"/>
      <c r="B432" s="30"/>
      <c r="C432" s="30"/>
      <c r="D432" s="736"/>
      <c r="E432" s="30"/>
      <c r="F432" s="30"/>
      <c r="G432" s="30"/>
      <c r="H432" s="30"/>
      <c r="I432" s="30"/>
      <c r="J432" s="30"/>
      <c r="K432" s="30"/>
      <c r="L432" s="30"/>
      <c r="M432" s="30"/>
      <c r="N432" s="37"/>
      <c r="O432" s="30"/>
      <c r="P432" s="30"/>
      <c r="Q432" s="30"/>
      <c r="R432" s="30"/>
      <c r="S432" s="736"/>
      <c r="T432" s="30"/>
      <c r="U432" s="30"/>
      <c r="V432" s="30"/>
      <c r="W432" s="30"/>
      <c r="X432" s="30"/>
      <c r="Y432" s="30"/>
      <c r="Z432" s="30"/>
      <c r="AA432" s="30"/>
      <c r="AB432" s="1005"/>
    </row>
    <row r="433" spans="1:28">
      <c r="A433" s="29"/>
      <c r="B433" s="30"/>
      <c r="C433" s="30"/>
      <c r="D433" s="736"/>
      <c r="E433" s="30"/>
      <c r="F433" s="30"/>
      <c r="G433" s="30"/>
      <c r="H433" s="30"/>
      <c r="I433" s="30"/>
      <c r="J433" s="30"/>
      <c r="K433" s="30"/>
      <c r="L433" s="30"/>
      <c r="M433" s="30"/>
      <c r="N433" s="37"/>
      <c r="O433" s="30"/>
      <c r="P433" s="30"/>
      <c r="Q433" s="30"/>
      <c r="R433" s="30"/>
      <c r="S433" s="736"/>
      <c r="T433" s="30"/>
      <c r="U433" s="30"/>
      <c r="V433" s="30"/>
      <c r="W433" s="30"/>
      <c r="X433" s="30"/>
      <c r="Y433" s="30"/>
      <c r="Z433" s="30"/>
      <c r="AA433" s="30"/>
      <c r="AB433" s="1005"/>
    </row>
    <row r="434" spans="1:28">
      <c r="A434" s="29"/>
      <c r="B434" s="30"/>
      <c r="C434" s="30"/>
      <c r="D434" s="736"/>
      <c r="E434" s="30"/>
      <c r="F434" s="30"/>
      <c r="G434" s="30"/>
      <c r="H434" s="30"/>
      <c r="I434" s="30"/>
      <c r="J434" s="30"/>
      <c r="K434" s="30"/>
      <c r="L434" s="30"/>
      <c r="M434" s="30"/>
      <c r="N434" s="37"/>
      <c r="O434" s="30"/>
      <c r="P434" s="30"/>
      <c r="Q434" s="30"/>
      <c r="R434" s="30"/>
      <c r="S434" s="736"/>
      <c r="T434" s="30"/>
      <c r="U434" s="30"/>
      <c r="V434" s="30"/>
      <c r="W434" s="30"/>
      <c r="X434" s="30"/>
      <c r="Y434" s="30"/>
      <c r="Z434" s="30"/>
      <c r="AA434" s="30"/>
      <c r="AB434" s="1005"/>
    </row>
    <row r="435" spans="1:28">
      <c r="A435" s="29"/>
      <c r="B435" s="30"/>
      <c r="C435" s="30"/>
      <c r="D435" s="736"/>
      <c r="E435" s="30"/>
      <c r="F435" s="30"/>
      <c r="G435" s="30"/>
      <c r="H435" s="30"/>
      <c r="I435" s="30"/>
      <c r="J435" s="30"/>
      <c r="K435" s="30"/>
      <c r="L435" s="30"/>
      <c r="M435" s="30"/>
      <c r="N435" s="37"/>
      <c r="O435" s="30"/>
      <c r="P435" s="30"/>
      <c r="Q435" s="30"/>
      <c r="R435" s="30"/>
      <c r="S435" s="736"/>
      <c r="T435" s="30"/>
      <c r="U435" s="30"/>
      <c r="V435" s="30"/>
      <c r="W435" s="30"/>
      <c r="X435" s="30"/>
      <c r="Y435" s="30"/>
      <c r="Z435" s="30"/>
      <c r="AA435" s="30"/>
      <c r="AB435" s="1005"/>
    </row>
    <row r="436" spans="1:28">
      <c r="A436" s="29"/>
      <c r="B436" s="30"/>
      <c r="C436" s="30"/>
      <c r="D436" s="736"/>
      <c r="E436" s="30"/>
      <c r="F436" s="30"/>
      <c r="G436" s="30"/>
      <c r="H436" s="30"/>
      <c r="I436" s="30"/>
      <c r="J436" s="30"/>
      <c r="K436" s="30"/>
      <c r="L436" s="30"/>
      <c r="M436" s="30"/>
      <c r="N436" s="37"/>
      <c r="O436" s="30"/>
      <c r="P436" s="30"/>
      <c r="Q436" s="30"/>
      <c r="R436" s="30"/>
      <c r="S436" s="736"/>
      <c r="T436" s="30"/>
      <c r="U436" s="30"/>
      <c r="V436" s="30"/>
      <c r="W436" s="30"/>
      <c r="X436" s="30"/>
      <c r="Y436" s="30"/>
      <c r="Z436" s="30"/>
      <c r="AA436" s="30"/>
      <c r="AB436" s="1005"/>
    </row>
    <row r="437" spans="1:28">
      <c r="A437" s="29"/>
      <c r="B437" s="30"/>
      <c r="C437" s="30"/>
      <c r="D437" s="736"/>
      <c r="E437" s="30"/>
      <c r="F437" s="30"/>
      <c r="G437" s="30"/>
      <c r="H437" s="30"/>
      <c r="I437" s="30"/>
      <c r="J437" s="30"/>
      <c r="K437" s="30"/>
      <c r="L437" s="30"/>
      <c r="M437" s="30"/>
      <c r="N437" s="37"/>
      <c r="O437" s="30"/>
      <c r="P437" s="30"/>
      <c r="Q437" s="30"/>
      <c r="R437" s="30"/>
      <c r="S437" s="736"/>
      <c r="T437" s="30"/>
      <c r="U437" s="30"/>
      <c r="V437" s="30"/>
      <c r="W437" s="30"/>
      <c r="X437" s="30"/>
      <c r="Y437" s="30"/>
      <c r="Z437" s="30"/>
      <c r="AA437" s="30"/>
      <c r="AB437" s="1005"/>
    </row>
    <row r="438" spans="1:28">
      <c r="A438" s="29"/>
      <c r="B438" s="30"/>
      <c r="C438" s="30"/>
      <c r="D438" s="736"/>
      <c r="E438" s="30"/>
      <c r="F438" s="30"/>
      <c r="G438" s="30"/>
      <c r="H438" s="30"/>
      <c r="I438" s="30"/>
      <c r="J438" s="30"/>
      <c r="K438" s="30"/>
      <c r="L438" s="30"/>
      <c r="M438" s="30"/>
      <c r="N438" s="37"/>
      <c r="O438" s="30"/>
      <c r="P438" s="30"/>
      <c r="Q438" s="30"/>
      <c r="R438" s="30"/>
      <c r="S438" s="736"/>
      <c r="T438" s="30"/>
      <c r="U438" s="30"/>
      <c r="V438" s="30"/>
      <c r="W438" s="30"/>
      <c r="X438" s="30"/>
      <c r="Y438" s="30"/>
      <c r="Z438" s="30"/>
      <c r="AA438" s="30"/>
      <c r="AB438" s="1005"/>
    </row>
    <row r="439" spans="1:28">
      <c r="A439" s="29"/>
      <c r="B439" s="30"/>
      <c r="C439" s="30"/>
      <c r="D439" s="736"/>
      <c r="E439" s="30"/>
      <c r="F439" s="30"/>
      <c r="G439" s="30"/>
      <c r="H439" s="30"/>
      <c r="I439" s="30"/>
      <c r="J439" s="30"/>
      <c r="K439" s="30"/>
      <c r="L439" s="30"/>
      <c r="M439" s="30"/>
      <c r="N439" s="37"/>
      <c r="O439" s="30"/>
      <c r="P439" s="30"/>
      <c r="Q439" s="30"/>
      <c r="R439" s="30"/>
      <c r="S439" s="736"/>
      <c r="T439" s="30"/>
      <c r="U439" s="30"/>
      <c r="V439" s="30"/>
      <c r="W439" s="30"/>
      <c r="X439" s="30"/>
      <c r="Y439" s="30"/>
      <c r="Z439" s="30"/>
      <c r="AA439" s="30"/>
      <c r="AB439" s="1005"/>
    </row>
    <row r="440" spans="1:28">
      <c r="A440" s="29"/>
      <c r="B440" s="30"/>
      <c r="C440" s="30"/>
      <c r="D440" s="736"/>
      <c r="E440" s="30"/>
      <c r="F440" s="30"/>
      <c r="G440" s="30"/>
      <c r="H440" s="30"/>
      <c r="I440" s="30"/>
      <c r="J440" s="30"/>
      <c r="K440" s="30"/>
      <c r="L440" s="30"/>
      <c r="M440" s="30"/>
      <c r="N440" s="37"/>
      <c r="O440" s="30"/>
      <c r="P440" s="30"/>
      <c r="Q440" s="30"/>
      <c r="R440" s="30"/>
      <c r="S440" s="736"/>
      <c r="T440" s="30"/>
      <c r="U440" s="30"/>
      <c r="V440" s="30"/>
      <c r="W440" s="30"/>
      <c r="X440" s="30"/>
      <c r="Y440" s="30"/>
      <c r="Z440" s="30"/>
      <c r="AA440" s="30"/>
      <c r="AB440" s="1005"/>
    </row>
    <row r="441" spans="1:28">
      <c r="A441" s="29"/>
      <c r="B441" s="30"/>
      <c r="C441" s="30"/>
      <c r="D441" s="736"/>
      <c r="E441" s="30"/>
      <c r="F441" s="30"/>
      <c r="G441" s="30"/>
      <c r="H441" s="30"/>
      <c r="I441" s="30"/>
      <c r="J441" s="30"/>
      <c r="K441" s="30"/>
      <c r="L441" s="30"/>
      <c r="M441" s="30"/>
      <c r="N441" s="37"/>
      <c r="O441" s="30"/>
      <c r="P441" s="30"/>
      <c r="Q441" s="30"/>
      <c r="R441" s="30"/>
      <c r="S441" s="736"/>
      <c r="T441" s="30"/>
      <c r="U441" s="30"/>
      <c r="V441" s="30"/>
      <c r="W441" s="30"/>
      <c r="X441" s="30"/>
      <c r="Y441" s="30"/>
      <c r="Z441" s="30"/>
      <c r="AA441" s="30"/>
      <c r="AB441" s="1005"/>
    </row>
    <row r="442" spans="1:28">
      <c r="A442" s="29"/>
      <c r="B442" s="30"/>
      <c r="C442" s="30"/>
      <c r="D442" s="736"/>
      <c r="E442" s="30"/>
      <c r="F442" s="30"/>
      <c r="G442" s="30"/>
      <c r="H442" s="30"/>
      <c r="I442" s="30"/>
      <c r="J442" s="30"/>
      <c r="K442" s="30"/>
      <c r="L442" s="30"/>
      <c r="M442" s="30"/>
      <c r="N442" s="37"/>
      <c r="O442" s="30"/>
      <c r="P442" s="30"/>
      <c r="Q442" s="30"/>
      <c r="R442" s="30"/>
      <c r="S442" s="736"/>
      <c r="T442" s="30"/>
      <c r="U442" s="30"/>
      <c r="V442" s="30"/>
      <c r="W442" s="30"/>
      <c r="X442" s="30"/>
      <c r="Y442" s="30"/>
      <c r="Z442" s="30"/>
      <c r="AA442" s="30"/>
      <c r="AB442" s="1005"/>
    </row>
    <row r="443" spans="1:28">
      <c r="A443" s="29"/>
      <c r="B443" s="30"/>
      <c r="C443" s="30"/>
      <c r="D443" s="736"/>
      <c r="E443" s="30"/>
      <c r="F443" s="30"/>
      <c r="G443" s="30"/>
      <c r="H443" s="30"/>
      <c r="I443" s="30"/>
      <c r="J443" s="30"/>
      <c r="K443" s="30"/>
      <c r="L443" s="30"/>
      <c r="M443" s="30"/>
      <c r="N443" s="37"/>
      <c r="O443" s="30"/>
      <c r="P443" s="30"/>
      <c r="Q443" s="30"/>
      <c r="R443" s="30"/>
      <c r="S443" s="736"/>
      <c r="T443" s="30"/>
      <c r="U443" s="30"/>
      <c r="V443" s="30"/>
      <c r="W443" s="30"/>
      <c r="X443" s="30"/>
      <c r="Y443" s="30"/>
      <c r="Z443" s="30"/>
      <c r="AA443" s="30"/>
      <c r="AB443" s="1005"/>
    </row>
    <row r="444" spans="1:28">
      <c r="A444" s="29"/>
      <c r="B444" s="30"/>
      <c r="C444" s="30"/>
      <c r="D444" s="736"/>
      <c r="E444" s="30"/>
      <c r="F444" s="30"/>
      <c r="G444" s="30"/>
      <c r="H444" s="30"/>
      <c r="I444" s="30"/>
      <c r="J444" s="30"/>
      <c r="K444" s="30"/>
      <c r="L444" s="30"/>
      <c r="M444" s="30"/>
      <c r="N444" s="37"/>
      <c r="O444" s="30"/>
      <c r="P444" s="30"/>
      <c r="Q444" s="30"/>
      <c r="R444" s="30"/>
      <c r="S444" s="736"/>
      <c r="T444" s="30"/>
      <c r="U444" s="30"/>
      <c r="V444" s="30"/>
      <c r="W444" s="30"/>
      <c r="X444" s="30"/>
      <c r="Y444" s="30"/>
      <c r="Z444" s="30"/>
      <c r="AA444" s="30"/>
      <c r="AB444" s="1005"/>
    </row>
    <row r="445" spans="1:28">
      <c r="A445" s="29"/>
      <c r="B445" s="30"/>
      <c r="C445" s="30"/>
      <c r="D445" s="736"/>
      <c r="E445" s="30"/>
      <c r="F445" s="30"/>
      <c r="G445" s="30"/>
      <c r="H445" s="30"/>
      <c r="I445" s="30"/>
      <c r="J445" s="30"/>
      <c r="K445" s="30"/>
      <c r="L445" s="30"/>
      <c r="M445" s="30"/>
      <c r="N445" s="37"/>
      <c r="O445" s="30"/>
      <c r="P445" s="30"/>
      <c r="Q445" s="30"/>
      <c r="R445" s="30"/>
      <c r="S445" s="736"/>
      <c r="T445" s="30"/>
      <c r="U445" s="30"/>
      <c r="V445" s="30"/>
      <c r="W445" s="30"/>
      <c r="X445" s="30"/>
      <c r="Y445" s="30"/>
      <c r="Z445" s="30"/>
      <c r="AA445" s="30"/>
      <c r="AB445" s="1005"/>
    </row>
    <row r="446" spans="1:28">
      <c r="A446" s="29"/>
      <c r="B446" s="30"/>
      <c r="C446" s="30"/>
      <c r="D446" s="736"/>
      <c r="E446" s="30"/>
      <c r="F446" s="30"/>
      <c r="G446" s="30"/>
      <c r="H446" s="30"/>
      <c r="I446" s="30"/>
      <c r="J446" s="30"/>
      <c r="K446" s="30"/>
      <c r="L446" s="30"/>
      <c r="M446" s="30"/>
      <c r="N446" s="37"/>
      <c r="O446" s="30"/>
      <c r="P446" s="30"/>
      <c r="Q446" s="30"/>
      <c r="R446" s="30"/>
      <c r="S446" s="736"/>
      <c r="T446" s="30"/>
      <c r="U446" s="30"/>
      <c r="V446" s="30"/>
      <c r="W446" s="30"/>
      <c r="X446" s="30"/>
      <c r="Y446" s="30"/>
      <c r="Z446" s="30"/>
      <c r="AA446" s="30"/>
      <c r="AB446" s="1005"/>
    </row>
    <row r="447" spans="1:28">
      <c r="A447" s="29"/>
      <c r="B447" s="30"/>
      <c r="C447" s="30"/>
      <c r="D447" s="736"/>
      <c r="E447" s="30"/>
      <c r="F447" s="30"/>
      <c r="G447" s="30"/>
      <c r="H447" s="30"/>
      <c r="I447" s="30"/>
      <c r="J447" s="30"/>
      <c r="K447" s="30"/>
      <c r="L447" s="30"/>
      <c r="M447" s="30"/>
      <c r="N447" s="37"/>
      <c r="O447" s="30"/>
      <c r="P447" s="30"/>
      <c r="Q447" s="30"/>
      <c r="R447" s="30"/>
      <c r="S447" s="736"/>
      <c r="T447" s="30"/>
      <c r="U447" s="30"/>
      <c r="V447" s="30"/>
      <c r="W447" s="30"/>
      <c r="X447" s="30"/>
      <c r="Y447" s="30"/>
      <c r="Z447" s="30"/>
      <c r="AA447" s="30"/>
      <c r="AB447" s="1005"/>
    </row>
    <row r="448" spans="1:28">
      <c r="A448" s="29"/>
      <c r="B448" s="30"/>
      <c r="C448" s="30"/>
      <c r="D448" s="736"/>
      <c r="E448" s="30"/>
      <c r="F448" s="30"/>
      <c r="G448" s="30"/>
      <c r="H448" s="30"/>
      <c r="I448" s="30"/>
      <c r="J448" s="30"/>
      <c r="K448" s="30"/>
      <c r="L448" s="30"/>
      <c r="M448" s="30"/>
      <c r="N448" s="37"/>
      <c r="O448" s="30"/>
      <c r="P448" s="30"/>
      <c r="Q448" s="30"/>
      <c r="R448" s="30"/>
      <c r="S448" s="736"/>
      <c r="T448" s="30"/>
      <c r="U448" s="30"/>
      <c r="V448" s="30"/>
      <c r="W448" s="30"/>
      <c r="X448" s="30"/>
      <c r="Y448" s="30"/>
      <c r="Z448" s="30"/>
      <c r="AA448" s="30"/>
      <c r="AB448" s="1005"/>
    </row>
    <row r="449" spans="1:28">
      <c r="A449" s="29"/>
      <c r="B449" s="30"/>
      <c r="C449" s="30"/>
      <c r="D449" s="736"/>
      <c r="E449" s="30"/>
      <c r="F449" s="30"/>
      <c r="G449" s="30"/>
      <c r="H449" s="30"/>
      <c r="I449" s="30"/>
      <c r="J449" s="30"/>
      <c r="K449" s="30"/>
      <c r="L449" s="30"/>
      <c r="M449" s="30"/>
      <c r="N449" s="37"/>
      <c r="O449" s="30"/>
      <c r="P449" s="30"/>
      <c r="Q449" s="30"/>
      <c r="R449" s="30"/>
      <c r="S449" s="736"/>
      <c r="T449" s="30"/>
      <c r="U449" s="30"/>
      <c r="V449" s="30"/>
      <c r="W449" s="30"/>
      <c r="X449" s="30"/>
      <c r="Y449" s="30"/>
      <c r="Z449" s="30"/>
      <c r="AA449" s="30"/>
      <c r="AB449" s="1005"/>
    </row>
    <row r="450" spans="1:28">
      <c r="A450" s="29"/>
      <c r="B450" s="30"/>
      <c r="C450" s="30"/>
      <c r="D450" s="736"/>
      <c r="E450" s="30"/>
      <c r="F450" s="30"/>
      <c r="G450" s="30"/>
      <c r="H450" s="30"/>
      <c r="I450" s="30"/>
      <c r="J450" s="30"/>
      <c r="K450" s="30"/>
      <c r="L450" s="30"/>
      <c r="M450" s="30"/>
      <c r="N450" s="37"/>
      <c r="O450" s="30"/>
      <c r="P450" s="30"/>
      <c r="Q450" s="30"/>
      <c r="R450" s="30"/>
      <c r="S450" s="736"/>
      <c r="T450" s="30"/>
      <c r="U450" s="30"/>
      <c r="V450" s="30"/>
      <c r="W450" s="30"/>
      <c r="X450" s="30"/>
      <c r="Y450" s="30"/>
      <c r="Z450" s="30"/>
      <c r="AA450" s="30"/>
      <c r="AB450" s="1005"/>
    </row>
    <row r="451" spans="1:28">
      <c r="A451" s="29"/>
      <c r="B451" s="30"/>
      <c r="C451" s="30"/>
      <c r="D451" s="736"/>
      <c r="E451" s="30"/>
      <c r="F451" s="30"/>
      <c r="G451" s="30"/>
      <c r="H451" s="30"/>
      <c r="I451" s="30"/>
      <c r="J451" s="30"/>
      <c r="K451" s="30"/>
      <c r="L451" s="30"/>
      <c r="M451" s="30"/>
      <c r="N451" s="37"/>
      <c r="O451" s="30"/>
      <c r="P451" s="30"/>
      <c r="Q451" s="30"/>
      <c r="R451" s="30"/>
      <c r="S451" s="736"/>
      <c r="T451" s="30"/>
      <c r="U451" s="30"/>
      <c r="V451" s="30"/>
      <c r="W451" s="30"/>
      <c r="X451" s="30"/>
      <c r="Y451" s="30"/>
      <c r="Z451" s="30"/>
      <c r="AA451" s="30"/>
      <c r="AB451" s="1005"/>
    </row>
    <row r="452" spans="1:28">
      <c r="A452" s="29"/>
      <c r="B452" s="30"/>
      <c r="C452" s="30"/>
      <c r="D452" s="736"/>
      <c r="E452" s="30"/>
      <c r="F452" s="30"/>
      <c r="G452" s="30"/>
      <c r="H452" s="30"/>
      <c r="I452" s="30"/>
      <c r="J452" s="30"/>
      <c r="K452" s="30"/>
      <c r="L452" s="30"/>
      <c r="M452" s="30"/>
      <c r="N452" s="37"/>
      <c r="O452" s="30"/>
      <c r="P452" s="30"/>
      <c r="Q452" s="30"/>
      <c r="R452" s="30"/>
      <c r="S452" s="736"/>
      <c r="T452" s="30"/>
      <c r="U452" s="30"/>
      <c r="V452" s="30"/>
      <c r="W452" s="30"/>
      <c r="X452" s="30"/>
      <c r="Y452" s="30"/>
      <c r="Z452" s="30"/>
      <c r="AA452" s="30"/>
      <c r="AB452" s="1005"/>
    </row>
    <row r="453" spans="1:28">
      <c r="A453" s="29"/>
      <c r="B453" s="30"/>
      <c r="C453" s="30"/>
      <c r="D453" s="736"/>
      <c r="E453" s="30"/>
      <c r="F453" s="30"/>
      <c r="G453" s="30"/>
      <c r="H453" s="30"/>
      <c r="I453" s="30"/>
      <c r="J453" s="30"/>
      <c r="K453" s="30"/>
      <c r="L453" s="30"/>
      <c r="M453" s="30"/>
      <c r="N453" s="37"/>
      <c r="O453" s="30"/>
      <c r="P453" s="30"/>
      <c r="Q453" s="30"/>
      <c r="R453" s="30"/>
      <c r="S453" s="736"/>
      <c r="T453" s="30"/>
      <c r="U453" s="30"/>
      <c r="V453" s="30"/>
      <c r="W453" s="30"/>
      <c r="X453" s="30"/>
      <c r="Y453" s="30"/>
      <c r="Z453" s="30"/>
      <c r="AA453" s="30"/>
      <c r="AB453" s="1005"/>
    </row>
    <row r="454" spans="1:28">
      <c r="A454" s="29"/>
      <c r="B454" s="30"/>
      <c r="C454" s="30"/>
      <c r="D454" s="736"/>
      <c r="E454" s="30"/>
      <c r="F454" s="30"/>
      <c r="G454" s="30"/>
      <c r="H454" s="30"/>
      <c r="I454" s="30"/>
      <c r="J454" s="30"/>
      <c r="K454" s="30"/>
      <c r="L454" s="30"/>
      <c r="M454" s="30"/>
      <c r="N454" s="37"/>
      <c r="O454" s="30"/>
      <c r="P454" s="30"/>
      <c r="Q454" s="30"/>
      <c r="R454" s="30"/>
      <c r="S454" s="736"/>
      <c r="T454" s="30"/>
      <c r="U454" s="30"/>
      <c r="V454" s="30"/>
      <c r="W454" s="30"/>
      <c r="X454" s="30"/>
      <c r="Y454" s="30"/>
      <c r="Z454" s="30"/>
      <c r="AA454" s="30"/>
      <c r="AB454" s="1005"/>
    </row>
    <row r="455" spans="1:28">
      <c r="A455" s="29"/>
      <c r="B455" s="30"/>
      <c r="C455" s="30"/>
      <c r="D455" s="736"/>
      <c r="E455" s="30"/>
      <c r="F455" s="30"/>
      <c r="G455" s="30"/>
      <c r="H455" s="30"/>
      <c r="I455" s="30"/>
      <c r="J455" s="30"/>
      <c r="K455" s="30"/>
      <c r="L455" s="30"/>
      <c r="M455" s="30"/>
      <c r="N455" s="37"/>
      <c r="O455" s="30"/>
      <c r="P455" s="30"/>
      <c r="Q455" s="30"/>
      <c r="R455" s="30"/>
      <c r="S455" s="736"/>
      <c r="T455" s="30"/>
      <c r="U455" s="30"/>
      <c r="V455" s="30"/>
      <c r="W455" s="30"/>
      <c r="X455" s="30"/>
      <c r="Y455" s="30"/>
      <c r="Z455" s="30"/>
      <c r="AA455" s="30"/>
      <c r="AB455" s="1005"/>
    </row>
    <row r="456" spans="1:28">
      <c r="A456" s="29"/>
      <c r="B456" s="30"/>
      <c r="C456" s="30"/>
      <c r="D456" s="736"/>
      <c r="E456" s="30"/>
      <c r="F456" s="30"/>
      <c r="G456" s="30"/>
      <c r="H456" s="30"/>
      <c r="I456" s="30"/>
      <c r="J456" s="30"/>
      <c r="K456" s="30"/>
      <c r="L456" s="30"/>
      <c r="M456" s="30"/>
      <c r="N456" s="37"/>
      <c r="O456" s="30"/>
      <c r="P456" s="30"/>
      <c r="Q456" s="30"/>
      <c r="R456" s="30"/>
      <c r="S456" s="736"/>
      <c r="T456" s="30"/>
      <c r="U456" s="30"/>
      <c r="V456" s="30"/>
      <c r="W456" s="30"/>
      <c r="X456" s="30"/>
      <c r="Y456" s="30"/>
      <c r="Z456" s="30"/>
      <c r="AA456" s="30"/>
      <c r="AB456" s="1005"/>
    </row>
    <row r="457" spans="1:28">
      <c r="A457" s="29"/>
      <c r="B457" s="30"/>
      <c r="C457" s="30"/>
      <c r="D457" s="736"/>
      <c r="E457" s="30"/>
      <c r="F457" s="30"/>
      <c r="G457" s="30"/>
      <c r="H457" s="30"/>
      <c r="I457" s="30"/>
      <c r="J457" s="30"/>
      <c r="K457" s="30"/>
      <c r="L457" s="30"/>
      <c r="M457" s="30"/>
      <c r="N457" s="37"/>
      <c r="O457" s="30"/>
      <c r="P457" s="30"/>
      <c r="Q457" s="30"/>
      <c r="R457" s="30"/>
      <c r="S457" s="736"/>
      <c r="T457" s="30"/>
      <c r="U457" s="30"/>
      <c r="V457" s="30"/>
      <c r="W457" s="30"/>
      <c r="X457" s="30"/>
      <c r="Y457" s="30"/>
      <c r="Z457" s="30"/>
      <c r="AA457" s="30"/>
      <c r="AB457" s="1005"/>
    </row>
    <row r="458" spans="1:28">
      <c r="A458" s="29"/>
      <c r="B458" s="30"/>
      <c r="C458" s="30"/>
      <c r="D458" s="736"/>
      <c r="E458" s="30"/>
      <c r="F458" s="30"/>
      <c r="G458" s="30"/>
      <c r="H458" s="30"/>
      <c r="I458" s="30"/>
      <c r="J458" s="30"/>
      <c r="K458" s="30"/>
      <c r="L458" s="30"/>
      <c r="M458" s="30"/>
      <c r="N458" s="37"/>
      <c r="O458" s="30"/>
      <c r="P458" s="30"/>
      <c r="Q458" s="30"/>
      <c r="R458" s="30"/>
      <c r="S458" s="736"/>
      <c r="T458" s="30"/>
      <c r="U458" s="30"/>
      <c r="V458" s="30"/>
      <c r="W458" s="30"/>
      <c r="X458" s="30"/>
      <c r="Y458" s="30"/>
      <c r="Z458" s="30"/>
      <c r="AA458" s="30"/>
      <c r="AB458" s="1005"/>
    </row>
    <row r="459" spans="1:28">
      <c r="A459" s="29"/>
      <c r="B459" s="30"/>
      <c r="C459" s="30"/>
      <c r="D459" s="736"/>
      <c r="E459" s="30"/>
      <c r="F459" s="30"/>
      <c r="G459" s="30"/>
      <c r="H459" s="30"/>
      <c r="I459" s="30"/>
      <c r="J459" s="30"/>
      <c r="K459" s="30"/>
      <c r="L459" s="30"/>
      <c r="M459" s="30"/>
      <c r="N459" s="37"/>
      <c r="O459" s="30"/>
      <c r="P459" s="30"/>
      <c r="Q459" s="30"/>
      <c r="R459" s="30"/>
      <c r="S459" s="736"/>
      <c r="T459" s="30"/>
      <c r="U459" s="30"/>
      <c r="V459" s="30"/>
      <c r="W459" s="30"/>
      <c r="X459" s="30"/>
      <c r="Y459" s="30"/>
      <c r="Z459" s="30"/>
      <c r="AA459" s="30"/>
      <c r="AB459" s="1005"/>
    </row>
    <row r="460" spans="1:28">
      <c r="A460" s="29"/>
      <c r="B460" s="30"/>
      <c r="C460" s="30"/>
      <c r="D460" s="736"/>
      <c r="E460" s="30"/>
      <c r="F460" s="30"/>
      <c r="G460" s="30"/>
      <c r="H460" s="30"/>
      <c r="I460" s="30"/>
      <c r="J460" s="30"/>
      <c r="K460" s="30"/>
      <c r="L460" s="30"/>
      <c r="M460" s="30"/>
      <c r="N460" s="37"/>
      <c r="O460" s="30"/>
      <c r="P460" s="30"/>
      <c r="Q460" s="30"/>
      <c r="R460" s="30"/>
      <c r="S460" s="736"/>
      <c r="T460" s="30"/>
      <c r="U460" s="30"/>
      <c r="V460" s="30"/>
      <c r="W460" s="30"/>
      <c r="X460" s="30"/>
      <c r="Y460" s="30"/>
      <c r="Z460" s="30"/>
      <c r="AA460" s="30"/>
      <c r="AB460" s="1005"/>
    </row>
    <row r="461" spans="1:28">
      <c r="A461" s="29"/>
      <c r="B461" s="30"/>
      <c r="C461" s="30"/>
      <c r="D461" s="736"/>
      <c r="E461" s="30"/>
      <c r="F461" s="30"/>
      <c r="G461" s="30"/>
      <c r="H461" s="30"/>
      <c r="I461" s="30"/>
      <c r="J461" s="30"/>
      <c r="K461" s="30"/>
      <c r="L461" s="30"/>
      <c r="M461" s="30"/>
      <c r="N461" s="37"/>
      <c r="O461" s="30"/>
      <c r="P461" s="30"/>
      <c r="Q461" s="30"/>
      <c r="R461" s="30"/>
      <c r="S461" s="736"/>
      <c r="T461" s="30"/>
      <c r="U461" s="30"/>
      <c r="V461" s="30"/>
      <c r="W461" s="30"/>
      <c r="X461" s="30"/>
      <c r="Y461" s="30"/>
      <c r="Z461" s="30"/>
      <c r="AA461" s="30"/>
      <c r="AB461" s="1005"/>
    </row>
    <row r="462" spans="1:28">
      <c r="A462" s="29"/>
      <c r="B462" s="30"/>
      <c r="C462" s="30"/>
      <c r="D462" s="736"/>
      <c r="E462" s="30"/>
      <c r="F462" s="30"/>
      <c r="G462" s="30"/>
      <c r="H462" s="30"/>
      <c r="I462" s="30"/>
      <c r="J462" s="30"/>
      <c r="K462" s="30"/>
      <c r="L462" s="30"/>
      <c r="M462" s="30"/>
      <c r="N462" s="37"/>
      <c r="O462" s="30"/>
      <c r="P462" s="30"/>
      <c r="Q462" s="30"/>
      <c r="R462" s="30"/>
      <c r="S462" s="736"/>
      <c r="T462" s="30"/>
      <c r="U462" s="30"/>
      <c r="V462" s="30"/>
      <c r="W462" s="30"/>
      <c r="X462" s="30"/>
      <c r="Y462" s="30"/>
      <c r="Z462" s="30"/>
      <c r="AA462" s="30"/>
      <c r="AB462" s="1005"/>
    </row>
    <row r="463" spans="1:28">
      <c r="A463" s="29"/>
      <c r="B463" s="30"/>
      <c r="C463" s="30"/>
      <c r="D463" s="736"/>
      <c r="E463" s="30"/>
      <c r="F463" s="30"/>
      <c r="G463" s="30"/>
      <c r="H463" s="30"/>
      <c r="I463" s="30"/>
      <c r="J463" s="30"/>
      <c r="K463" s="30"/>
      <c r="L463" s="30"/>
      <c r="M463" s="30"/>
      <c r="N463" s="37"/>
      <c r="O463" s="30"/>
      <c r="P463" s="30"/>
      <c r="Q463" s="30"/>
      <c r="R463" s="30"/>
      <c r="S463" s="736"/>
      <c r="T463" s="30"/>
      <c r="U463" s="30"/>
      <c r="V463" s="30"/>
      <c r="W463" s="30"/>
      <c r="X463" s="30"/>
      <c r="Y463" s="30"/>
      <c r="Z463" s="30"/>
      <c r="AA463" s="30"/>
      <c r="AB463" s="1005"/>
    </row>
    <row r="464" spans="1:28">
      <c r="A464" s="29"/>
      <c r="B464" s="30"/>
      <c r="C464" s="30"/>
      <c r="D464" s="736"/>
      <c r="E464" s="30"/>
      <c r="F464" s="30"/>
      <c r="G464" s="30"/>
      <c r="H464" s="30"/>
      <c r="I464" s="30"/>
      <c r="J464" s="30"/>
      <c r="K464" s="30"/>
      <c r="L464" s="30"/>
      <c r="M464" s="30"/>
      <c r="N464" s="37"/>
      <c r="O464" s="30"/>
      <c r="P464" s="30"/>
      <c r="Q464" s="30"/>
      <c r="R464" s="30"/>
      <c r="S464" s="736"/>
      <c r="T464" s="30"/>
      <c r="U464" s="30"/>
      <c r="V464" s="30"/>
      <c r="W464" s="30"/>
      <c r="X464" s="30"/>
      <c r="Y464" s="30"/>
      <c r="Z464" s="30"/>
      <c r="AA464" s="30"/>
      <c r="AB464" s="1005"/>
    </row>
    <row r="465" spans="1:28">
      <c r="A465" s="29"/>
      <c r="B465" s="30"/>
      <c r="C465" s="30"/>
      <c r="D465" s="736"/>
      <c r="E465" s="30"/>
      <c r="F465" s="30"/>
      <c r="G465" s="30"/>
      <c r="H465" s="30"/>
      <c r="I465" s="30"/>
      <c r="J465" s="30"/>
      <c r="K465" s="30"/>
      <c r="L465" s="30"/>
      <c r="M465" s="30"/>
      <c r="N465" s="37"/>
      <c r="O465" s="30"/>
      <c r="P465" s="30"/>
      <c r="Q465" s="30"/>
      <c r="R465" s="30"/>
      <c r="S465" s="736"/>
      <c r="T465" s="30"/>
      <c r="U465" s="30"/>
      <c r="V465" s="30"/>
      <c r="W465" s="30"/>
      <c r="X465" s="30"/>
      <c r="Y465" s="30"/>
      <c r="Z465" s="30"/>
      <c r="AA465" s="30"/>
      <c r="AB465" s="1005"/>
    </row>
    <row r="466" spans="1:28">
      <c r="A466" s="29"/>
      <c r="B466" s="30"/>
      <c r="C466" s="30"/>
      <c r="D466" s="736"/>
      <c r="E466" s="30"/>
      <c r="F466" s="30"/>
      <c r="G466" s="30"/>
      <c r="H466" s="30"/>
      <c r="I466" s="30"/>
      <c r="J466" s="30"/>
      <c r="K466" s="30"/>
      <c r="L466" s="30"/>
      <c r="M466" s="30"/>
      <c r="N466" s="37"/>
      <c r="O466" s="30"/>
      <c r="P466" s="30"/>
      <c r="Q466" s="30"/>
      <c r="R466" s="30"/>
      <c r="S466" s="736"/>
      <c r="T466" s="30"/>
      <c r="U466" s="30"/>
      <c r="V466" s="30"/>
      <c r="W466" s="30"/>
      <c r="X466" s="30"/>
      <c r="Y466" s="30"/>
      <c r="Z466" s="30"/>
      <c r="AA466" s="30"/>
      <c r="AB466" s="1005"/>
    </row>
    <row r="467" spans="1:28">
      <c r="A467" s="29"/>
      <c r="B467" s="30"/>
      <c r="C467" s="30"/>
      <c r="D467" s="736"/>
      <c r="E467" s="30"/>
      <c r="F467" s="30"/>
      <c r="G467" s="30"/>
      <c r="H467" s="30"/>
      <c r="I467" s="30"/>
      <c r="J467" s="30"/>
      <c r="K467" s="30"/>
      <c r="L467" s="30"/>
      <c r="M467" s="30"/>
      <c r="N467" s="37"/>
      <c r="O467" s="30"/>
      <c r="P467" s="30"/>
      <c r="Q467" s="30"/>
      <c r="R467" s="30"/>
      <c r="S467" s="736"/>
      <c r="T467" s="30"/>
      <c r="U467" s="30"/>
      <c r="V467" s="30"/>
      <c r="W467" s="30"/>
      <c r="X467" s="30"/>
      <c r="Y467" s="30"/>
      <c r="Z467" s="30"/>
      <c r="AA467" s="30"/>
      <c r="AB467" s="1005"/>
    </row>
    <row r="468" spans="1:28">
      <c r="A468" s="29"/>
      <c r="B468" s="30"/>
      <c r="C468" s="30"/>
      <c r="D468" s="736"/>
      <c r="E468" s="30"/>
      <c r="F468" s="30"/>
      <c r="G468" s="30"/>
      <c r="H468" s="30"/>
      <c r="I468" s="30"/>
      <c r="J468" s="30"/>
      <c r="K468" s="30"/>
      <c r="L468" s="30"/>
      <c r="M468" s="30"/>
      <c r="N468" s="37"/>
      <c r="O468" s="30"/>
      <c r="P468" s="30"/>
      <c r="Q468" s="30"/>
      <c r="R468" s="30"/>
      <c r="S468" s="736"/>
      <c r="T468" s="30"/>
      <c r="U468" s="30"/>
      <c r="V468" s="30"/>
      <c r="W468" s="30"/>
      <c r="X468" s="30"/>
      <c r="Y468" s="30"/>
      <c r="Z468" s="30"/>
      <c r="AA468" s="30"/>
      <c r="AB468" s="1005"/>
    </row>
    <row r="469" spans="1:28">
      <c r="A469" s="29"/>
      <c r="B469" s="30"/>
      <c r="C469" s="30"/>
      <c r="D469" s="736"/>
      <c r="E469" s="30"/>
      <c r="F469" s="30"/>
      <c r="G469" s="30"/>
      <c r="H469" s="30"/>
      <c r="I469" s="30"/>
      <c r="J469" s="30"/>
      <c r="K469" s="30"/>
      <c r="L469" s="30"/>
      <c r="M469" s="30"/>
      <c r="N469" s="37"/>
      <c r="O469" s="30"/>
      <c r="P469" s="30"/>
      <c r="Q469" s="30"/>
      <c r="R469" s="30"/>
      <c r="S469" s="736"/>
      <c r="T469" s="30"/>
      <c r="U469" s="30"/>
      <c r="V469" s="30"/>
      <c r="W469" s="30"/>
      <c r="X469" s="30"/>
      <c r="Y469" s="30"/>
      <c r="Z469" s="30"/>
      <c r="AA469" s="30"/>
      <c r="AB469" s="1005"/>
    </row>
    <row r="470" spans="1:28">
      <c r="A470" s="29"/>
      <c r="B470" s="30"/>
      <c r="C470" s="30"/>
      <c r="D470" s="736"/>
      <c r="E470" s="30"/>
      <c r="F470" s="30"/>
      <c r="G470" s="30"/>
      <c r="H470" s="30"/>
      <c r="I470" s="30"/>
      <c r="J470" s="30"/>
      <c r="K470" s="30"/>
      <c r="L470" s="30"/>
      <c r="M470" s="30"/>
      <c r="N470" s="37"/>
      <c r="O470" s="30"/>
      <c r="P470" s="30"/>
      <c r="Q470" s="30"/>
      <c r="R470" s="30"/>
      <c r="S470" s="736"/>
      <c r="T470" s="30"/>
      <c r="U470" s="30"/>
      <c r="V470" s="30"/>
      <c r="W470" s="30"/>
      <c r="X470" s="30"/>
      <c r="Y470" s="30"/>
      <c r="Z470" s="30"/>
      <c r="AA470" s="30"/>
      <c r="AB470" s="1005"/>
    </row>
    <row r="471" spans="1:28">
      <c r="A471" s="29"/>
      <c r="B471" s="30"/>
      <c r="C471" s="30"/>
      <c r="D471" s="736"/>
      <c r="E471" s="30"/>
      <c r="F471" s="30"/>
      <c r="G471" s="30"/>
      <c r="H471" s="30"/>
      <c r="I471" s="30"/>
      <c r="J471" s="30"/>
      <c r="K471" s="30"/>
      <c r="L471" s="30"/>
      <c r="M471" s="30"/>
      <c r="N471" s="37"/>
      <c r="O471" s="30"/>
      <c r="P471" s="30"/>
      <c r="Q471" s="30"/>
      <c r="R471" s="30"/>
      <c r="S471" s="736"/>
      <c r="T471" s="30"/>
      <c r="U471" s="30"/>
      <c r="V471" s="30"/>
      <c r="W471" s="30"/>
      <c r="X471" s="30"/>
      <c r="Y471" s="30"/>
      <c r="Z471" s="30"/>
      <c r="AA471" s="30"/>
      <c r="AB471" s="1005"/>
    </row>
    <row r="472" spans="1:28">
      <c r="A472" s="29"/>
      <c r="B472" s="30"/>
      <c r="C472" s="30"/>
      <c r="D472" s="736"/>
      <c r="E472" s="30"/>
      <c r="F472" s="30"/>
      <c r="G472" s="30"/>
      <c r="H472" s="30"/>
      <c r="I472" s="30"/>
      <c r="J472" s="30"/>
      <c r="K472" s="30"/>
      <c r="L472" s="30"/>
      <c r="M472" s="30"/>
      <c r="N472" s="37"/>
      <c r="O472" s="30"/>
      <c r="P472" s="30"/>
      <c r="Q472" s="30"/>
      <c r="R472" s="30"/>
      <c r="S472" s="736"/>
      <c r="T472" s="30"/>
      <c r="U472" s="30"/>
      <c r="V472" s="30"/>
      <c r="W472" s="30"/>
      <c r="X472" s="30"/>
      <c r="Y472" s="30"/>
      <c r="Z472" s="30"/>
      <c r="AA472" s="30"/>
      <c r="AB472" s="1005"/>
    </row>
    <row r="473" spans="1:28">
      <c r="A473" s="29"/>
      <c r="B473" s="30"/>
      <c r="C473" s="30"/>
      <c r="D473" s="736"/>
      <c r="E473" s="30"/>
      <c r="F473" s="30"/>
      <c r="G473" s="30"/>
      <c r="H473" s="30"/>
      <c r="I473" s="30"/>
      <c r="J473" s="30"/>
      <c r="K473" s="30"/>
      <c r="L473" s="30"/>
      <c r="M473" s="30"/>
      <c r="N473" s="37"/>
      <c r="O473" s="30"/>
      <c r="P473" s="30"/>
      <c r="Q473" s="30"/>
      <c r="R473" s="30"/>
      <c r="S473" s="736"/>
      <c r="T473" s="30"/>
      <c r="U473" s="30"/>
      <c r="V473" s="30"/>
      <c r="W473" s="30"/>
      <c r="X473" s="30"/>
      <c r="Y473" s="30"/>
      <c r="Z473" s="30"/>
      <c r="AA473" s="30"/>
      <c r="AB473" s="1005"/>
    </row>
    <row r="474" spans="1:28">
      <c r="A474" s="29"/>
      <c r="B474" s="30"/>
      <c r="C474" s="30"/>
      <c r="D474" s="736"/>
      <c r="E474" s="30"/>
      <c r="F474" s="30"/>
      <c r="G474" s="30"/>
      <c r="H474" s="30"/>
      <c r="I474" s="30"/>
      <c r="J474" s="30"/>
      <c r="K474" s="30"/>
      <c r="L474" s="30"/>
      <c r="M474" s="30"/>
      <c r="N474" s="37"/>
      <c r="O474" s="30"/>
      <c r="P474" s="30"/>
      <c r="Q474" s="30"/>
      <c r="R474" s="30"/>
      <c r="S474" s="736"/>
      <c r="T474" s="30"/>
      <c r="U474" s="30"/>
      <c r="V474" s="30"/>
      <c r="W474" s="30"/>
      <c r="X474" s="30"/>
      <c r="Y474" s="30"/>
      <c r="Z474" s="30"/>
      <c r="AA474" s="30"/>
      <c r="AB474" s="1005"/>
    </row>
    <row r="475" spans="1:28">
      <c r="A475" s="29"/>
      <c r="B475" s="30"/>
      <c r="C475" s="30"/>
      <c r="D475" s="736"/>
      <c r="E475" s="30"/>
      <c r="F475" s="30"/>
      <c r="G475" s="30"/>
      <c r="H475" s="30"/>
      <c r="I475" s="30"/>
      <c r="J475" s="30"/>
      <c r="K475" s="30"/>
      <c r="L475" s="30"/>
      <c r="M475" s="30"/>
      <c r="N475" s="37"/>
      <c r="O475" s="30"/>
      <c r="P475" s="30"/>
      <c r="Q475" s="30"/>
      <c r="R475" s="30"/>
      <c r="S475" s="736"/>
      <c r="T475" s="30"/>
      <c r="U475" s="30"/>
      <c r="V475" s="30"/>
      <c r="W475" s="30"/>
      <c r="X475" s="30"/>
      <c r="Y475" s="30"/>
      <c r="Z475" s="30"/>
      <c r="AA475" s="30"/>
      <c r="AB475" s="1005"/>
    </row>
    <row r="476" spans="1:28">
      <c r="A476" s="29"/>
      <c r="B476" s="30"/>
      <c r="C476" s="30"/>
      <c r="D476" s="736"/>
      <c r="E476" s="30"/>
      <c r="F476" s="30"/>
      <c r="G476" s="30"/>
      <c r="H476" s="30"/>
      <c r="I476" s="30"/>
      <c r="J476" s="30"/>
      <c r="K476" s="30"/>
      <c r="L476" s="30"/>
      <c r="M476" s="30"/>
      <c r="N476" s="37"/>
      <c r="O476" s="30"/>
      <c r="P476" s="30"/>
      <c r="Q476" s="30"/>
      <c r="R476" s="30"/>
      <c r="S476" s="736"/>
      <c r="T476" s="30"/>
      <c r="U476" s="30"/>
      <c r="V476" s="30"/>
      <c r="W476" s="30"/>
      <c r="X476" s="30"/>
      <c r="Y476" s="30"/>
      <c r="Z476" s="30"/>
      <c r="AA476" s="30"/>
      <c r="AB476" s="1005"/>
    </row>
    <row r="477" spans="1:28">
      <c r="A477" s="29"/>
      <c r="B477" s="30"/>
      <c r="C477" s="30"/>
      <c r="D477" s="736"/>
      <c r="E477" s="30"/>
      <c r="F477" s="30"/>
      <c r="G477" s="30"/>
      <c r="H477" s="30"/>
      <c r="I477" s="30"/>
      <c r="J477" s="30"/>
      <c r="K477" s="30"/>
      <c r="L477" s="30"/>
      <c r="M477" s="30"/>
      <c r="N477" s="37"/>
      <c r="O477" s="30"/>
      <c r="P477" s="30"/>
      <c r="Q477" s="30"/>
      <c r="R477" s="30"/>
      <c r="S477" s="736"/>
      <c r="T477" s="30"/>
      <c r="U477" s="30"/>
      <c r="V477" s="30"/>
      <c r="W477" s="30"/>
      <c r="X477" s="30"/>
      <c r="Y477" s="30"/>
      <c r="Z477" s="30"/>
      <c r="AA477" s="30"/>
      <c r="AB477" s="1005"/>
    </row>
    <row r="478" spans="1:28">
      <c r="A478" s="29"/>
      <c r="B478" s="30"/>
      <c r="C478" s="30"/>
      <c r="D478" s="736"/>
      <c r="E478" s="30"/>
      <c r="F478" s="30"/>
      <c r="G478" s="30"/>
      <c r="H478" s="30"/>
      <c r="I478" s="30"/>
      <c r="J478" s="30"/>
      <c r="K478" s="30"/>
      <c r="L478" s="30"/>
      <c r="M478" s="30"/>
      <c r="N478" s="37"/>
      <c r="O478" s="30"/>
      <c r="P478" s="30"/>
      <c r="Q478" s="30"/>
      <c r="R478" s="30"/>
      <c r="S478" s="736"/>
      <c r="T478" s="30"/>
      <c r="U478" s="30"/>
      <c r="V478" s="30"/>
      <c r="W478" s="30"/>
      <c r="X478" s="30"/>
      <c r="Y478" s="30"/>
      <c r="Z478" s="30"/>
      <c r="AA478" s="30"/>
      <c r="AB478" s="1005"/>
    </row>
    <row r="479" spans="1:28">
      <c r="A479" s="29"/>
      <c r="B479" s="30"/>
      <c r="C479" s="30"/>
      <c r="D479" s="736"/>
      <c r="E479" s="30"/>
      <c r="F479" s="30"/>
      <c r="G479" s="30"/>
      <c r="H479" s="30"/>
      <c r="I479" s="30"/>
      <c r="J479" s="30"/>
      <c r="K479" s="30"/>
      <c r="L479" s="30"/>
      <c r="M479" s="30"/>
      <c r="N479" s="37"/>
      <c r="O479" s="30"/>
      <c r="P479" s="30"/>
      <c r="Q479" s="30"/>
      <c r="R479" s="30"/>
      <c r="S479" s="736"/>
      <c r="T479" s="30"/>
      <c r="U479" s="30"/>
      <c r="V479" s="30"/>
      <c r="W479" s="30"/>
      <c r="X479" s="30"/>
      <c r="Y479" s="30"/>
      <c r="Z479" s="30"/>
      <c r="AA479" s="30"/>
      <c r="AB479" s="1005"/>
    </row>
    <row r="480" spans="1:28">
      <c r="A480" s="29"/>
      <c r="B480" s="30"/>
      <c r="C480" s="30"/>
      <c r="D480" s="736"/>
      <c r="E480" s="30"/>
      <c r="F480" s="30"/>
      <c r="G480" s="30"/>
      <c r="H480" s="30"/>
      <c r="I480" s="30"/>
      <c r="J480" s="30"/>
      <c r="K480" s="30"/>
      <c r="L480" s="30"/>
      <c r="M480" s="30"/>
      <c r="N480" s="37"/>
      <c r="O480" s="30"/>
      <c r="P480" s="30"/>
      <c r="Q480" s="30"/>
      <c r="R480" s="30"/>
      <c r="S480" s="736"/>
      <c r="T480" s="30"/>
      <c r="U480" s="30"/>
      <c r="V480" s="30"/>
      <c r="W480" s="30"/>
      <c r="X480" s="30"/>
      <c r="Y480" s="30"/>
      <c r="Z480" s="30"/>
      <c r="AA480" s="30"/>
      <c r="AB480" s="1005"/>
    </row>
    <row r="481" spans="1:28">
      <c r="A481" s="29"/>
      <c r="B481" s="30"/>
      <c r="C481" s="30"/>
      <c r="D481" s="736"/>
      <c r="E481" s="30"/>
      <c r="F481" s="30"/>
      <c r="G481" s="30"/>
      <c r="H481" s="30"/>
      <c r="I481" s="30"/>
      <c r="J481" s="30"/>
      <c r="K481" s="30"/>
      <c r="L481" s="30"/>
      <c r="M481" s="30"/>
      <c r="N481" s="37"/>
      <c r="O481" s="30"/>
      <c r="P481" s="30"/>
      <c r="Q481" s="30"/>
      <c r="R481" s="30"/>
      <c r="S481" s="736"/>
      <c r="T481" s="30"/>
      <c r="U481" s="30"/>
      <c r="V481" s="30"/>
      <c r="W481" s="30"/>
      <c r="X481" s="30"/>
      <c r="Y481" s="30"/>
      <c r="Z481" s="30"/>
      <c r="AA481" s="30"/>
      <c r="AB481" s="1005"/>
    </row>
    <row r="482" spans="1:28">
      <c r="A482" s="29"/>
      <c r="B482" s="30"/>
      <c r="C482" s="30"/>
      <c r="D482" s="736"/>
      <c r="E482" s="30"/>
      <c r="F482" s="30"/>
      <c r="G482" s="30"/>
      <c r="H482" s="30"/>
      <c r="I482" s="30"/>
      <c r="J482" s="30"/>
      <c r="K482" s="30"/>
      <c r="L482" s="30"/>
      <c r="M482" s="30"/>
      <c r="N482" s="37"/>
      <c r="O482" s="30"/>
      <c r="P482" s="30"/>
      <c r="Q482" s="30"/>
      <c r="R482" s="30"/>
      <c r="S482" s="736"/>
      <c r="T482" s="30"/>
      <c r="U482" s="30"/>
      <c r="V482" s="30"/>
      <c r="W482" s="30"/>
      <c r="X482" s="30"/>
      <c r="Y482" s="30"/>
      <c r="Z482" s="30"/>
      <c r="AA482" s="30"/>
      <c r="AB482" s="1005"/>
    </row>
    <row r="483" spans="1:28">
      <c r="A483" s="29"/>
      <c r="B483" s="30"/>
      <c r="C483" s="30"/>
      <c r="D483" s="736"/>
      <c r="E483" s="30"/>
      <c r="F483" s="30"/>
      <c r="G483" s="30"/>
      <c r="H483" s="30"/>
      <c r="I483" s="30"/>
      <c r="J483" s="30"/>
      <c r="K483" s="30"/>
      <c r="L483" s="30"/>
      <c r="M483" s="30"/>
      <c r="N483" s="37"/>
      <c r="O483" s="30"/>
      <c r="P483" s="30"/>
      <c r="Q483" s="30"/>
      <c r="R483" s="30"/>
      <c r="S483" s="736"/>
      <c r="T483" s="30"/>
      <c r="U483" s="30"/>
      <c r="V483" s="30"/>
      <c r="W483" s="30"/>
      <c r="X483" s="30"/>
      <c r="Y483" s="30"/>
      <c r="Z483" s="30"/>
      <c r="AA483" s="30"/>
      <c r="AB483" s="1005"/>
    </row>
    <row r="484" spans="1:28">
      <c r="A484" s="29"/>
      <c r="B484" s="30"/>
      <c r="C484" s="30"/>
      <c r="D484" s="736"/>
      <c r="E484" s="30"/>
      <c r="F484" s="30"/>
      <c r="G484" s="30"/>
      <c r="H484" s="30"/>
      <c r="I484" s="30"/>
      <c r="J484" s="30"/>
      <c r="K484" s="30"/>
      <c r="L484" s="30"/>
      <c r="M484" s="30"/>
      <c r="N484" s="37"/>
      <c r="O484" s="30"/>
      <c r="P484" s="30"/>
      <c r="Q484" s="30"/>
      <c r="R484" s="30"/>
      <c r="S484" s="736"/>
      <c r="T484" s="30"/>
      <c r="U484" s="30"/>
      <c r="V484" s="30"/>
      <c r="W484" s="30"/>
      <c r="X484" s="30"/>
      <c r="Y484" s="30"/>
      <c r="Z484" s="30"/>
      <c r="AA484" s="30"/>
      <c r="AB484" s="1005"/>
    </row>
    <row r="485" spans="1:28">
      <c r="A485" s="29"/>
      <c r="B485" s="30"/>
      <c r="C485" s="30"/>
      <c r="D485" s="736"/>
      <c r="E485" s="30"/>
      <c r="F485" s="30"/>
      <c r="G485" s="30"/>
      <c r="H485" s="30"/>
      <c r="I485" s="30"/>
      <c r="J485" s="30"/>
      <c r="K485" s="30"/>
      <c r="L485" s="30"/>
      <c r="M485" s="30"/>
      <c r="N485" s="37"/>
      <c r="O485" s="30"/>
      <c r="P485" s="30"/>
      <c r="Q485" s="30"/>
      <c r="R485" s="30"/>
      <c r="S485" s="736"/>
      <c r="T485" s="30"/>
      <c r="U485" s="30"/>
      <c r="V485" s="30"/>
      <c r="W485" s="30"/>
      <c r="X485" s="30"/>
      <c r="Y485" s="30"/>
      <c r="Z485" s="30"/>
      <c r="AA485" s="30"/>
      <c r="AB485" s="1005"/>
    </row>
    <row r="486" spans="1:28">
      <c r="A486" s="29"/>
      <c r="B486" s="30"/>
      <c r="C486" s="30"/>
      <c r="D486" s="736"/>
      <c r="E486" s="30"/>
      <c r="F486" s="30"/>
      <c r="G486" s="30"/>
      <c r="H486" s="30"/>
      <c r="I486" s="30"/>
      <c r="J486" s="30"/>
      <c r="K486" s="30"/>
      <c r="L486" s="30"/>
      <c r="M486" s="30"/>
      <c r="N486" s="37"/>
      <c r="O486" s="30"/>
      <c r="P486" s="30"/>
      <c r="Q486" s="30"/>
      <c r="R486" s="30"/>
      <c r="S486" s="736"/>
      <c r="T486" s="30"/>
      <c r="U486" s="30"/>
      <c r="V486" s="30"/>
      <c r="W486" s="30"/>
      <c r="X486" s="30"/>
      <c r="Y486" s="30"/>
      <c r="Z486" s="30"/>
      <c r="AA486" s="30"/>
      <c r="AB486" s="1005"/>
    </row>
    <row r="487" spans="1:28">
      <c r="A487" s="29"/>
      <c r="B487" s="30"/>
      <c r="C487" s="30"/>
      <c r="D487" s="736"/>
      <c r="E487" s="30"/>
      <c r="F487" s="30"/>
      <c r="G487" s="30"/>
      <c r="H487" s="30"/>
      <c r="I487" s="30"/>
      <c r="J487" s="30"/>
      <c r="K487" s="30"/>
      <c r="L487" s="30"/>
      <c r="M487" s="30"/>
      <c r="N487" s="37"/>
      <c r="O487" s="30"/>
      <c r="P487" s="30"/>
      <c r="Q487" s="30"/>
      <c r="R487" s="30"/>
      <c r="S487" s="736"/>
      <c r="T487" s="30"/>
      <c r="U487" s="30"/>
      <c r="V487" s="30"/>
      <c r="W487" s="30"/>
      <c r="X487" s="30"/>
      <c r="Y487" s="30"/>
      <c r="Z487" s="30"/>
      <c r="AA487" s="30"/>
      <c r="AB487" s="1005"/>
    </row>
    <row r="488" spans="1:28">
      <c r="A488" s="29"/>
      <c r="B488" s="30"/>
      <c r="C488" s="30"/>
      <c r="D488" s="736"/>
      <c r="E488" s="30"/>
      <c r="F488" s="30"/>
      <c r="G488" s="30"/>
      <c r="H488" s="30"/>
      <c r="I488" s="30"/>
      <c r="J488" s="30"/>
      <c r="K488" s="30"/>
      <c r="L488" s="30"/>
      <c r="M488" s="30"/>
      <c r="N488" s="37"/>
      <c r="O488" s="30"/>
      <c r="P488" s="30"/>
      <c r="Q488" s="30"/>
      <c r="R488" s="30"/>
      <c r="S488" s="736"/>
      <c r="T488" s="30"/>
      <c r="U488" s="30"/>
      <c r="V488" s="30"/>
      <c r="W488" s="30"/>
      <c r="X488" s="30"/>
      <c r="Y488" s="30"/>
      <c r="Z488" s="30"/>
      <c r="AA488" s="30"/>
      <c r="AB488" s="1005"/>
    </row>
    <row r="489" spans="1:28">
      <c r="A489" s="29"/>
      <c r="B489" s="30"/>
      <c r="C489" s="30"/>
      <c r="D489" s="736"/>
      <c r="E489" s="30"/>
      <c r="F489" s="30"/>
      <c r="G489" s="30"/>
      <c r="H489" s="30"/>
      <c r="I489" s="30"/>
      <c r="J489" s="30"/>
      <c r="K489" s="30"/>
      <c r="L489" s="30"/>
      <c r="M489" s="30"/>
      <c r="N489" s="37"/>
      <c r="O489" s="30"/>
      <c r="P489" s="30"/>
      <c r="Q489" s="30"/>
      <c r="R489" s="30"/>
      <c r="S489" s="736"/>
      <c r="T489" s="30"/>
      <c r="U489" s="30"/>
      <c r="V489" s="30"/>
      <c r="W489" s="30"/>
      <c r="X489" s="30"/>
      <c r="Y489" s="30"/>
      <c r="Z489" s="30"/>
      <c r="AA489" s="30"/>
      <c r="AB489" s="1005"/>
    </row>
    <row r="490" spans="1:28">
      <c r="A490" s="29"/>
      <c r="B490" s="30"/>
      <c r="C490" s="30"/>
      <c r="D490" s="736"/>
      <c r="E490" s="30"/>
      <c r="F490" s="30"/>
      <c r="G490" s="30"/>
      <c r="H490" s="30"/>
      <c r="I490" s="30"/>
      <c r="J490" s="30"/>
      <c r="K490" s="30"/>
      <c r="L490" s="30"/>
      <c r="M490" s="30"/>
      <c r="N490" s="37"/>
      <c r="O490" s="30"/>
      <c r="P490" s="30"/>
      <c r="Q490" s="30"/>
      <c r="R490" s="30"/>
      <c r="S490" s="736"/>
      <c r="T490" s="30"/>
      <c r="U490" s="30"/>
      <c r="V490" s="30"/>
      <c r="W490" s="30"/>
      <c r="X490" s="30"/>
      <c r="Y490" s="30"/>
      <c r="Z490" s="30"/>
      <c r="AA490" s="30"/>
      <c r="AB490" s="1005"/>
    </row>
    <row r="491" spans="1:28">
      <c r="A491" s="29"/>
      <c r="B491" s="30"/>
      <c r="C491" s="30"/>
      <c r="D491" s="736"/>
      <c r="E491" s="30"/>
      <c r="F491" s="30"/>
      <c r="G491" s="30"/>
      <c r="H491" s="30"/>
      <c r="I491" s="30"/>
      <c r="J491" s="30"/>
      <c r="K491" s="30"/>
      <c r="L491" s="30"/>
      <c r="M491" s="30"/>
      <c r="N491" s="37"/>
      <c r="O491" s="30"/>
      <c r="P491" s="30"/>
      <c r="Q491" s="30"/>
      <c r="R491" s="30"/>
      <c r="S491" s="736"/>
      <c r="T491" s="30"/>
      <c r="U491" s="30"/>
      <c r="V491" s="30"/>
      <c r="W491" s="30"/>
      <c r="X491" s="30"/>
      <c r="Y491" s="30"/>
      <c r="Z491" s="30"/>
      <c r="AA491" s="30"/>
      <c r="AB491" s="1005"/>
    </row>
    <row r="492" spans="1:28">
      <c r="A492" s="29"/>
      <c r="B492" s="30"/>
      <c r="C492" s="30"/>
      <c r="D492" s="736"/>
      <c r="E492" s="30"/>
      <c r="F492" s="30"/>
      <c r="G492" s="30"/>
      <c r="H492" s="30"/>
      <c r="I492" s="30"/>
      <c r="J492" s="30"/>
      <c r="K492" s="30"/>
      <c r="L492" s="30"/>
      <c r="M492" s="30"/>
      <c r="N492" s="37"/>
      <c r="O492" s="30"/>
      <c r="P492" s="30"/>
      <c r="Q492" s="30"/>
      <c r="R492" s="30"/>
      <c r="S492" s="736"/>
      <c r="T492" s="30"/>
      <c r="U492" s="30"/>
      <c r="V492" s="30"/>
      <c r="W492" s="30"/>
      <c r="X492" s="30"/>
      <c r="Y492" s="30"/>
      <c r="Z492" s="30"/>
      <c r="AA492" s="30"/>
      <c r="AB492" s="1005"/>
    </row>
    <row r="493" spans="1:28">
      <c r="A493" s="29"/>
      <c r="B493" s="30"/>
      <c r="C493" s="30"/>
      <c r="D493" s="736"/>
      <c r="E493" s="30"/>
      <c r="F493" s="30"/>
      <c r="G493" s="30"/>
      <c r="H493" s="30"/>
      <c r="I493" s="30"/>
      <c r="J493" s="30"/>
      <c r="K493" s="30"/>
      <c r="L493" s="30"/>
      <c r="M493" s="30"/>
      <c r="N493" s="37"/>
      <c r="O493" s="30"/>
      <c r="P493" s="30"/>
      <c r="Q493" s="30"/>
      <c r="R493" s="30"/>
      <c r="S493" s="736"/>
      <c r="T493" s="30"/>
      <c r="U493" s="30"/>
      <c r="V493" s="30"/>
      <c r="W493" s="30"/>
      <c r="X493" s="30"/>
      <c r="Y493" s="30"/>
      <c r="Z493" s="30"/>
      <c r="AA493" s="30"/>
      <c r="AB493" s="1005"/>
    </row>
    <row r="494" spans="1:28">
      <c r="A494" s="29"/>
      <c r="B494" s="30"/>
      <c r="C494" s="30"/>
      <c r="D494" s="736"/>
      <c r="E494" s="30"/>
      <c r="F494" s="30"/>
      <c r="G494" s="30"/>
      <c r="H494" s="30"/>
      <c r="I494" s="30"/>
      <c r="J494" s="30"/>
      <c r="K494" s="30"/>
      <c r="L494" s="30"/>
      <c r="M494" s="30"/>
      <c r="N494" s="37"/>
      <c r="O494" s="30"/>
      <c r="P494" s="30"/>
      <c r="Q494" s="30"/>
      <c r="R494" s="30"/>
      <c r="S494" s="736"/>
      <c r="T494" s="30"/>
      <c r="U494" s="30"/>
      <c r="V494" s="30"/>
      <c r="W494" s="30"/>
      <c r="X494" s="30"/>
      <c r="Y494" s="30"/>
      <c r="Z494" s="30"/>
      <c r="AA494" s="30"/>
      <c r="AB494" s="1005"/>
    </row>
    <row r="495" spans="1:28">
      <c r="A495" s="29"/>
      <c r="B495" s="30"/>
      <c r="C495" s="30"/>
      <c r="D495" s="736"/>
      <c r="E495" s="30"/>
      <c r="F495" s="30"/>
      <c r="G495" s="30"/>
      <c r="H495" s="30"/>
      <c r="I495" s="30"/>
      <c r="J495" s="30"/>
      <c r="K495" s="30"/>
      <c r="L495" s="30"/>
      <c r="M495" s="30"/>
      <c r="N495" s="37"/>
      <c r="O495" s="30"/>
      <c r="P495" s="30"/>
      <c r="Q495" s="30"/>
      <c r="R495" s="30"/>
      <c r="S495" s="736"/>
      <c r="T495" s="30"/>
      <c r="U495" s="30"/>
      <c r="V495" s="30"/>
      <c r="W495" s="30"/>
      <c r="X495" s="30"/>
      <c r="Y495" s="30"/>
      <c r="Z495" s="30"/>
      <c r="AA495" s="30"/>
      <c r="AB495" s="1005"/>
    </row>
    <row r="496" spans="1:28">
      <c r="A496" s="29"/>
      <c r="B496" s="30"/>
      <c r="C496" s="30"/>
      <c r="D496" s="736"/>
      <c r="E496" s="30"/>
      <c r="F496" s="30"/>
      <c r="G496" s="30"/>
      <c r="H496" s="30"/>
      <c r="I496" s="30"/>
      <c r="J496" s="30"/>
      <c r="K496" s="30"/>
      <c r="L496" s="30"/>
      <c r="M496" s="30"/>
      <c r="N496" s="37"/>
      <c r="O496" s="30"/>
      <c r="P496" s="30"/>
      <c r="Q496" s="30"/>
      <c r="R496" s="30"/>
      <c r="S496" s="736"/>
      <c r="T496" s="30"/>
      <c r="U496" s="30"/>
      <c r="V496" s="30"/>
      <c r="W496" s="30"/>
      <c r="X496" s="30"/>
      <c r="Y496" s="30"/>
      <c r="Z496" s="30"/>
      <c r="AA496" s="30"/>
      <c r="AB496" s="1005"/>
    </row>
    <row r="497" spans="1:28">
      <c r="A497" s="29"/>
      <c r="B497" s="30"/>
      <c r="C497" s="30"/>
      <c r="D497" s="736"/>
      <c r="E497" s="30"/>
      <c r="F497" s="30"/>
      <c r="G497" s="30"/>
      <c r="H497" s="30"/>
      <c r="I497" s="30"/>
      <c r="J497" s="30"/>
      <c r="K497" s="30"/>
      <c r="L497" s="30"/>
      <c r="M497" s="30"/>
      <c r="N497" s="37"/>
      <c r="O497" s="30"/>
      <c r="P497" s="30"/>
      <c r="Q497" s="30"/>
      <c r="R497" s="30"/>
      <c r="S497" s="736"/>
      <c r="T497" s="30"/>
      <c r="U497" s="30"/>
      <c r="V497" s="30"/>
      <c r="W497" s="30"/>
      <c r="X497" s="30"/>
      <c r="Y497" s="30"/>
      <c r="Z497" s="30"/>
      <c r="AA497" s="30"/>
      <c r="AB497" s="1005"/>
    </row>
    <row r="498" spans="1:28">
      <c r="A498" s="29"/>
      <c r="B498" s="30"/>
      <c r="C498" s="30"/>
      <c r="D498" s="736"/>
      <c r="E498" s="30"/>
      <c r="F498" s="30"/>
      <c r="G498" s="30"/>
      <c r="H498" s="30"/>
      <c r="I498" s="30"/>
      <c r="J498" s="30"/>
      <c r="K498" s="30"/>
      <c r="L498" s="30"/>
      <c r="M498" s="30"/>
      <c r="N498" s="37"/>
      <c r="O498" s="30"/>
      <c r="P498" s="30"/>
      <c r="Q498" s="30"/>
      <c r="R498" s="30"/>
      <c r="S498" s="736"/>
      <c r="T498" s="30"/>
      <c r="U498" s="30"/>
      <c r="V498" s="30"/>
      <c r="W498" s="30"/>
      <c r="X498" s="30"/>
      <c r="Y498" s="30"/>
      <c r="Z498" s="30"/>
      <c r="AA498" s="30"/>
      <c r="AB498" s="1005"/>
    </row>
    <row r="499" spans="1:28">
      <c r="A499" s="29"/>
      <c r="B499" s="30"/>
      <c r="C499" s="30"/>
      <c r="D499" s="736"/>
      <c r="E499" s="30"/>
      <c r="F499" s="30"/>
      <c r="G499" s="30"/>
      <c r="H499" s="30"/>
      <c r="I499" s="30"/>
      <c r="J499" s="30"/>
      <c r="K499" s="30"/>
      <c r="L499" s="30"/>
      <c r="M499" s="30"/>
      <c r="N499" s="37"/>
      <c r="O499" s="30"/>
      <c r="P499" s="30"/>
      <c r="Q499" s="30"/>
      <c r="R499" s="30"/>
      <c r="S499" s="736"/>
      <c r="T499" s="30"/>
      <c r="U499" s="30"/>
      <c r="V499" s="30"/>
      <c r="W499" s="30"/>
      <c r="X499" s="30"/>
      <c r="Y499" s="30"/>
      <c r="Z499" s="30"/>
      <c r="AA499" s="30"/>
      <c r="AB499" s="1005"/>
    </row>
    <row r="500" spans="1:28">
      <c r="A500" s="29"/>
      <c r="B500" s="30"/>
      <c r="C500" s="30"/>
      <c r="D500" s="736"/>
      <c r="E500" s="30"/>
      <c r="F500" s="30"/>
      <c r="G500" s="30"/>
      <c r="H500" s="30"/>
      <c r="I500" s="30"/>
      <c r="J500" s="30"/>
      <c r="K500" s="30"/>
      <c r="L500" s="30"/>
      <c r="M500" s="30"/>
      <c r="N500" s="37"/>
      <c r="O500" s="30"/>
      <c r="P500" s="30"/>
      <c r="Q500" s="30"/>
      <c r="R500" s="30"/>
      <c r="S500" s="736"/>
      <c r="T500" s="30"/>
      <c r="U500" s="30"/>
      <c r="V500" s="30"/>
      <c r="W500" s="30"/>
      <c r="X500" s="30"/>
      <c r="Y500" s="30"/>
      <c r="Z500" s="30"/>
      <c r="AA500" s="30"/>
      <c r="AB500" s="1005"/>
    </row>
    <row r="501" spans="1:28">
      <c r="A501" s="29"/>
      <c r="B501" s="30"/>
      <c r="C501" s="30"/>
      <c r="D501" s="736"/>
      <c r="E501" s="30"/>
      <c r="F501" s="30"/>
      <c r="G501" s="30"/>
      <c r="H501" s="30"/>
      <c r="I501" s="30"/>
      <c r="J501" s="30"/>
      <c r="K501" s="30"/>
      <c r="L501" s="30"/>
      <c r="M501" s="30"/>
      <c r="N501" s="37"/>
      <c r="O501" s="30"/>
      <c r="P501" s="30"/>
      <c r="Q501" s="30"/>
      <c r="R501" s="30"/>
      <c r="S501" s="736"/>
      <c r="T501" s="30"/>
      <c r="U501" s="30"/>
      <c r="V501" s="30"/>
      <c r="W501" s="30"/>
      <c r="X501" s="30"/>
      <c r="Y501" s="30"/>
      <c r="Z501" s="30"/>
      <c r="AA501" s="30"/>
      <c r="AB501" s="1005"/>
    </row>
    <row r="502" spans="1:28">
      <c r="A502" s="29"/>
      <c r="B502" s="30"/>
      <c r="C502" s="30"/>
      <c r="D502" s="736"/>
      <c r="E502" s="30"/>
      <c r="F502" s="30"/>
      <c r="G502" s="30"/>
      <c r="H502" s="30"/>
      <c r="I502" s="30"/>
      <c r="J502" s="30"/>
      <c r="K502" s="30"/>
      <c r="L502" s="30"/>
      <c r="M502" s="30"/>
      <c r="N502" s="37"/>
      <c r="O502" s="30"/>
      <c r="P502" s="30"/>
      <c r="Q502" s="30"/>
      <c r="R502" s="30"/>
      <c r="S502" s="736"/>
      <c r="T502" s="30"/>
      <c r="U502" s="30"/>
      <c r="V502" s="30"/>
      <c r="W502" s="30"/>
      <c r="X502" s="30"/>
      <c r="Y502" s="30"/>
      <c r="Z502" s="30"/>
      <c r="AA502" s="30"/>
      <c r="AB502" s="1005"/>
    </row>
    <row r="503" spans="1:28">
      <c r="A503" s="29"/>
      <c r="B503" s="30"/>
      <c r="C503" s="30"/>
      <c r="D503" s="736"/>
      <c r="E503" s="30"/>
      <c r="F503" s="30"/>
      <c r="G503" s="30"/>
      <c r="H503" s="30"/>
      <c r="I503" s="30"/>
      <c r="J503" s="30"/>
      <c r="K503" s="30"/>
      <c r="L503" s="30"/>
      <c r="M503" s="30"/>
      <c r="N503" s="37"/>
      <c r="O503" s="30"/>
      <c r="P503" s="30"/>
      <c r="Q503" s="30"/>
      <c r="R503" s="30"/>
      <c r="S503" s="736"/>
      <c r="T503" s="30"/>
      <c r="U503" s="30"/>
      <c r="V503" s="30"/>
      <c r="W503" s="30"/>
      <c r="X503" s="30"/>
      <c r="Y503" s="30"/>
      <c r="Z503" s="30"/>
      <c r="AA503" s="30"/>
      <c r="AB503" s="1005"/>
    </row>
    <row r="504" spans="1:28">
      <c r="A504" s="29"/>
      <c r="B504" s="30"/>
      <c r="C504" s="30"/>
      <c r="D504" s="736"/>
      <c r="E504" s="30"/>
      <c r="F504" s="30"/>
      <c r="G504" s="30"/>
      <c r="H504" s="30"/>
      <c r="I504" s="30"/>
      <c r="J504" s="30"/>
      <c r="K504" s="30"/>
      <c r="L504" s="30"/>
      <c r="M504" s="30"/>
      <c r="N504" s="37"/>
      <c r="O504" s="30"/>
      <c r="P504" s="30"/>
      <c r="Q504" s="30"/>
      <c r="R504" s="30"/>
      <c r="S504" s="736"/>
      <c r="T504" s="30"/>
      <c r="U504" s="30"/>
      <c r="V504" s="30"/>
      <c r="W504" s="30"/>
      <c r="X504" s="30"/>
      <c r="Y504" s="30"/>
      <c r="Z504" s="30"/>
      <c r="AA504" s="30"/>
      <c r="AB504" s="1005"/>
    </row>
    <row r="505" spans="1:28">
      <c r="A505" s="29"/>
      <c r="B505" s="30"/>
      <c r="C505" s="30"/>
      <c r="D505" s="736"/>
      <c r="E505" s="30"/>
      <c r="F505" s="30"/>
      <c r="G505" s="30"/>
      <c r="H505" s="30"/>
      <c r="I505" s="30"/>
      <c r="J505" s="30"/>
      <c r="K505" s="30"/>
      <c r="L505" s="30"/>
      <c r="M505" s="30"/>
      <c r="N505" s="37"/>
      <c r="O505" s="30"/>
      <c r="P505" s="30"/>
      <c r="Q505" s="30"/>
      <c r="R505" s="30"/>
      <c r="S505" s="736"/>
      <c r="T505" s="30"/>
      <c r="U505" s="30"/>
      <c r="V505" s="30"/>
      <c r="W505" s="30"/>
      <c r="X505" s="30"/>
      <c r="Y505" s="30"/>
      <c r="Z505" s="30"/>
      <c r="AA505" s="30"/>
      <c r="AB505" s="1005"/>
    </row>
    <row r="506" spans="1:28">
      <c r="A506" s="29"/>
      <c r="B506" s="30"/>
      <c r="C506" s="30"/>
      <c r="D506" s="736"/>
      <c r="E506" s="30"/>
      <c r="F506" s="30"/>
      <c r="G506" s="30"/>
      <c r="H506" s="30"/>
      <c r="I506" s="30"/>
      <c r="J506" s="30"/>
      <c r="K506" s="30"/>
      <c r="L506" s="30"/>
      <c r="M506" s="30"/>
      <c r="N506" s="37"/>
      <c r="O506" s="30"/>
      <c r="P506" s="30"/>
      <c r="Q506" s="30"/>
      <c r="R506" s="30"/>
      <c r="S506" s="736"/>
      <c r="T506" s="30"/>
      <c r="U506" s="30"/>
      <c r="V506" s="30"/>
      <c r="W506" s="30"/>
      <c r="X506" s="30"/>
      <c r="Y506" s="30"/>
      <c r="Z506" s="30"/>
      <c r="AA506" s="30"/>
      <c r="AB506" s="1005"/>
    </row>
    <row r="507" spans="1:28">
      <c r="A507" s="29"/>
      <c r="B507" s="30"/>
      <c r="C507" s="30"/>
      <c r="D507" s="736"/>
      <c r="E507" s="30"/>
      <c r="F507" s="30"/>
      <c r="G507" s="30"/>
      <c r="H507" s="30"/>
      <c r="I507" s="30"/>
      <c r="J507" s="30"/>
      <c r="K507" s="30"/>
      <c r="L507" s="30"/>
      <c r="M507" s="30"/>
      <c r="N507" s="37"/>
      <c r="O507" s="30"/>
      <c r="P507" s="30"/>
      <c r="Q507" s="30"/>
      <c r="R507" s="30"/>
      <c r="S507" s="736"/>
      <c r="T507" s="30"/>
      <c r="U507" s="30"/>
      <c r="V507" s="30"/>
      <c r="W507" s="30"/>
      <c r="X507" s="30"/>
      <c r="Y507" s="30"/>
      <c r="Z507" s="30"/>
      <c r="AA507" s="30"/>
      <c r="AB507" s="1005"/>
    </row>
    <row r="508" spans="1:28">
      <c r="A508" s="29"/>
      <c r="B508" s="30"/>
      <c r="C508" s="30"/>
      <c r="D508" s="736"/>
      <c r="E508" s="30"/>
      <c r="F508" s="30"/>
      <c r="G508" s="30"/>
      <c r="H508" s="30"/>
      <c r="I508" s="30"/>
      <c r="J508" s="30"/>
      <c r="K508" s="30"/>
      <c r="L508" s="30"/>
      <c r="M508" s="30"/>
      <c r="N508" s="37"/>
      <c r="O508" s="30"/>
      <c r="P508" s="30"/>
      <c r="Q508" s="30"/>
      <c r="R508" s="30"/>
      <c r="S508" s="736"/>
      <c r="T508" s="30"/>
      <c r="U508" s="30"/>
      <c r="V508" s="30"/>
      <c r="W508" s="30"/>
      <c r="X508" s="30"/>
      <c r="Y508" s="30"/>
      <c r="Z508" s="30"/>
      <c r="AA508" s="30"/>
      <c r="AB508" s="1005"/>
    </row>
    <row r="509" spans="1:28">
      <c r="A509" s="29"/>
      <c r="B509" s="30"/>
      <c r="C509" s="30"/>
      <c r="D509" s="736"/>
      <c r="E509" s="30"/>
      <c r="F509" s="30"/>
      <c r="G509" s="30"/>
      <c r="H509" s="30"/>
      <c r="I509" s="30"/>
      <c r="J509" s="30"/>
      <c r="K509" s="30"/>
      <c r="L509" s="30"/>
      <c r="M509" s="30"/>
      <c r="N509" s="37"/>
      <c r="O509" s="30"/>
      <c r="P509" s="30"/>
      <c r="Q509" s="30"/>
      <c r="R509" s="30"/>
      <c r="S509" s="736"/>
      <c r="T509" s="30"/>
      <c r="U509" s="30"/>
      <c r="V509" s="30"/>
      <c r="W509" s="30"/>
      <c r="X509" s="30"/>
      <c r="Y509" s="30"/>
      <c r="Z509" s="30"/>
      <c r="AA509" s="30"/>
      <c r="AB509" s="1005"/>
    </row>
    <row r="510" spans="1:28">
      <c r="A510" s="29"/>
      <c r="B510" s="30"/>
      <c r="C510" s="30"/>
      <c r="D510" s="736"/>
      <c r="E510" s="30"/>
      <c r="F510" s="30"/>
      <c r="G510" s="30"/>
      <c r="H510" s="30"/>
      <c r="I510" s="30"/>
      <c r="J510" s="30"/>
      <c r="K510" s="30"/>
      <c r="L510" s="30"/>
      <c r="M510" s="30"/>
      <c r="N510" s="37"/>
      <c r="O510" s="30"/>
      <c r="P510" s="30"/>
      <c r="Q510" s="30"/>
      <c r="R510" s="30"/>
      <c r="S510" s="736"/>
      <c r="T510" s="30"/>
      <c r="U510" s="30"/>
      <c r="V510" s="30"/>
      <c r="W510" s="30"/>
      <c r="X510" s="30"/>
      <c r="Y510" s="30"/>
      <c r="Z510" s="30"/>
      <c r="AA510" s="30"/>
      <c r="AB510" s="1005"/>
    </row>
    <row r="511" spans="1:28">
      <c r="A511" s="29"/>
      <c r="B511" s="30"/>
      <c r="C511" s="30"/>
      <c r="D511" s="736"/>
      <c r="E511" s="30"/>
      <c r="F511" s="30"/>
      <c r="G511" s="30"/>
      <c r="H511" s="30"/>
      <c r="I511" s="30"/>
      <c r="J511" s="30"/>
      <c r="K511" s="30"/>
      <c r="L511" s="30"/>
      <c r="M511" s="30"/>
      <c r="N511" s="37"/>
      <c r="O511" s="30"/>
      <c r="P511" s="30"/>
      <c r="Q511" s="30"/>
      <c r="R511" s="30"/>
      <c r="S511" s="736"/>
      <c r="T511" s="30"/>
      <c r="U511" s="30"/>
      <c r="V511" s="30"/>
      <c r="W511" s="30"/>
      <c r="X511" s="30"/>
      <c r="Y511" s="30"/>
      <c r="Z511" s="30"/>
      <c r="AA511" s="30"/>
      <c r="AB511" s="1005"/>
    </row>
    <row r="512" spans="1:28">
      <c r="A512" s="29"/>
      <c r="B512" s="30"/>
      <c r="C512" s="30"/>
      <c r="D512" s="736"/>
      <c r="E512" s="30"/>
      <c r="F512" s="30"/>
      <c r="G512" s="30"/>
      <c r="H512" s="30"/>
      <c r="I512" s="30"/>
      <c r="J512" s="30"/>
      <c r="K512" s="30"/>
      <c r="L512" s="30"/>
      <c r="M512" s="30"/>
      <c r="N512" s="37"/>
      <c r="O512" s="30"/>
      <c r="P512" s="30"/>
      <c r="Q512" s="30"/>
      <c r="R512" s="30"/>
      <c r="S512" s="736"/>
      <c r="T512" s="30"/>
      <c r="U512" s="30"/>
      <c r="V512" s="30"/>
      <c r="W512" s="30"/>
      <c r="X512" s="30"/>
      <c r="Y512" s="30"/>
      <c r="Z512" s="30"/>
      <c r="AA512" s="30"/>
      <c r="AB512" s="1005"/>
    </row>
    <row r="513" spans="1:28">
      <c r="A513" s="29"/>
      <c r="B513" s="30"/>
      <c r="C513" s="30"/>
      <c r="D513" s="736"/>
      <c r="E513" s="30"/>
      <c r="F513" s="30"/>
      <c r="G513" s="30"/>
      <c r="H513" s="30"/>
      <c r="I513" s="30"/>
      <c r="J513" s="30"/>
      <c r="K513" s="30"/>
      <c r="L513" s="30"/>
      <c r="M513" s="30"/>
      <c r="N513" s="37"/>
      <c r="O513" s="30"/>
      <c r="P513" s="30"/>
      <c r="Q513" s="30"/>
      <c r="R513" s="30"/>
      <c r="S513" s="736"/>
      <c r="T513" s="30"/>
      <c r="U513" s="30"/>
      <c r="V513" s="30"/>
      <c r="W513" s="30"/>
      <c r="X513" s="30"/>
      <c r="Y513" s="30"/>
      <c r="Z513" s="30"/>
      <c r="AA513" s="30"/>
      <c r="AB513" s="1005"/>
    </row>
    <row r="514" spans="1:28">
      <c r="A514" s="29"/>
      <c r="B514" s="30"/>
      <c r="C514" s="30"/>
      <c r="D514" s="736"/>
      <c r="E514" s="30"/>
      <c r="F514" s="30"/>
      <c r="G514" s="30"/>
      <c r="H514" s="30"/>
      <c r="I514" s="30"/>
      <c r="J514" s="30"/>
      <c r="K514" s="30"/>
      <c r="L514" s="30"/>
      <c r="M514" s="30"/>
      <c r="N514" s="37"/>
      <c r="O514" s="30"/>
      <c r="P514" s="30"/>
      <c r="Q514" s="30"/>
      <c r="R514" s="30"/>
      <c r="S514" s="736"/>
      <c r="T514" s="30"/>
      <c r="U514" s="30"/>
      <c r="V514" s="30"/>
      <c r="W514" s="30"/>
      <c r="X514" s="30"/>
      <c r="Y514" s="30"/>
      <c r="Z514" s="30"/>
      <c r="AA514" s="30"/>
      <c r="AB514" s="1005"/>
    </row>
    <row r="515" spans="1:28">
      <c r="A515" s="29"/>
      <c r="B515" s="30"/>
      <c r="C515" s="30"/>
      <c r="D515" s="736"/>
      <c r="E515" s="30"/>
      <c r="F515" s="30"/>
      <c r="G515" s="30"/>
      <c r="H515" s="30"/>
      <c r="I515" s="30"/>
      <c r="J515" s="30"/>
      <c r="K515" s="30"/>
      <c r="L515" s="30"/>
      <c r="M515" s="30"/>
      <c r="N515" s="37"/>
      <c r="O515" s="30"/>
      <c r="P515" s="30"/>
      <c r="Q515" s="30"/>
      <c r="R515" s="30"/>
      <c r="S515" s="736"/>
      <c r="T515" s="30"/>
      <c r="U515" s="30"/>
      <c r="V515" s="30"/>
      <c r="W515" s="30"/>
      <c r="X515" s="30"/>
      <c r="Y515" s="30"/>
      <c r="Z515" s="30"/>
      <c r="AA515" s="30"/>
      <c r="AB515" s="1005"/>
    </row>
    <row r="516" spans="1:28">
      <c r="A516" s="29"/>
      <c r="B516" s="30"/>
      <c r="C516" s="30"/>
      <c r="D516" s="736"/>
      <c r="E516" s="30"/>
      <c r="F516" s="30"/>
      <c r="G516" s="30"/>
      <c r="H516" s="30"/>
      <c r="I516" s="30"/>
      <c r="J516" s="30"/>
      <c r="K516" s="30"/>
      <c r="L516" s="30"/>
      <c r="M516" s="30"/>
      <c r="N516" s="37"/>
      <c r="O516" s="30"/>
      <c r="P516" s="30"/>
      <c r="Q516" s="30"/>
      <c r="R516" s="30"/>
      <c r="S516" s="736"/>
      <c r="T516" s="30"/>
      <c r="U516" s="30"/>
      <c r="V516" s="30"/>
      <c r="W516" s="30"/>
      <c r="X516" s="30"/>
      <c r="Y516" s="30"/>
      <c r="Z516" s="30"/>
      <c r="AA516" s="30"/>
      <c r="AB516" s="1005"/>
    </row>
    <row r="517" spans="1:28">
      <c r="A517" s="29"/>
      <c r="B517" s="30"/>
      <c r="C517" s="30"/>
      <c r="D517" s="736"/>
      <c r="E517" s="30"/>
      <c r="F517" s="30"/>
      <c r="G517" s="30"/>
      <c r="H517" s="30"/>
      <c r="I517" s="30"/>
      <c r="J517" s="30"/>
      <c r="K517" s="30"/>
      <c r="L517" s="30"/>
      <c r="M517" s="30"/>
      <c r="N517" s="37"/>
      <c r="O517" s="30"/>
      <c r="P517" s="30"/>
      <c r="Q517" s="30"/>
      <c r="R517" s="30"/>
      <c r="S517" s="736"/>
      <c r="T517" s="30"/>
      <c r="U517" s="30"/>
      <c r="V517" s="30"/>
      <c r="W517" s="30"/>
      <c r="X517" s="30"/>
      <c r="Y517" s="30"/>
      <c r="Z517" s="30"/>
      <c r="AA517" s="30"/>
      <c r="AB517" s="1005"/>
    </row>
    <row r="518" spans="1:28">
      <c r="A518" s="29"/>
      <c r="B518" s="30"/>
      <c r="C518" s="30"/>
      <c r="D518" s="736"/>
      <c r="E518" s="30"/>
      <c r="F518" s="30"/>
      <c r="G518" s="30"/>
      <c r="H518" s="30"/>
      <c r="I518" s="30"/>
      <c r="J518" s="30"/>
      <c r="K518" s="30"/>
      <c r="L518" s="30"/>
      <c r="M518" s="30"/>
      <c r="N518" s="37"/>
      <c r="O518" s="30"/>
      <c r="P518" s="30"/>
      <c r="Q518" s="30"/>
      <c r="R518" s="30"/>
      <c r="S518" s="736"/>
      <c r="T518" s="30"/>
      <c r="U518" s="30"/>
      <c r="V518" s="30"/>
      <c r="W518" s="30"/>
      <c r="X518" s="30"/>
      <c r="Y518" s="30"/>
      <c r="Z518" s="30"/>
      <c r="AA518" s="30"/>
      <c r="AB518" s="1005"/>
    </row>
    <row r="519" spans="1:28">
      <c r="A519" s="29"/>
      <c r="B519" s="30"/>
      <c r="C519" s="30"/>
      <c r="D519" s="736"/>
      <c r="E519" s="30"/>
      <c r="F519" s="30"/>
      <c r="G519" s="30"/>
      <c r="H519" s="30"/>
      <c r="I519" s="30"/>
      <c r="J519" s="30"/>
      <c r="K519" s="30"/>
      <c r="L519" s="30"/>
      <c r="M519" s="30"/>
      <c r="N519" s="37"/>
      <c r="O519" s="30"/>
      <c r="P519" s="30"/>
      <c r="Q519" s="30"/>
      <c r="R519" s="30"/>
      <c r="S519" s="736"/>
      <c r="T519" s="30"/>
      <c r="U519" s="30"/>
      <c r="V519" s="30"/>
      <c r="W519" s="30"/>
      <c r="X519" s="30"/>
      <c r="Y519" s="30"/>
      <c r="Z519" s="30"/>
      <c r="AA519" s="30"/>
      <c r="AB519" s="1005"/>
    </row>
    <row r="520" spans="1:28">
      <c r="A520" s="29"/>
      <c r="B520" s="30"/>
      <c r="C520" s="30"/>
      <c r="D520" s="736"/>
      <c r="E520" s="30"/>
      <c r="F520" s="30"/>
      <c r="G520" s="30"/>
      <c r="H520" s="30"/>
      <c r="I520" s="30"/>
      <c r="J520" s="30"/>
      <c r="K520" s="30"/>
      <c r="L520" s="30"/>
      <c r="M520" s="30"/>
      <c r="N520" s="37"/>
      <c r="O520" s="30"/>
      <c r="P520" s="30"/>
      <c r="Q520" s="30"/>
      <c r="R520" s="30"/>
      <c r="S520" s="736"/>
      <c r="T520" s="30"/>
      <c r="U520" s="30"/>
      <c r="V520" s="30"/>
      <c r="W520" s="30"/>
      <c r="X520" s="30"/>
      <c r="Y520" s="30"/>
      <c r="Z520" s="30"/>
      <c r="AA520" s="30"/>
      <c r="AB520" s="1005"/>
    </row>
    <row r="521" spans="1:28">
      <c r="A521" s="29"/>
      <c r="B521" s="30"/>
      <c r="C521" s="30"/>
      <c r="D521" s="736"/>
      <c r="E521" s="30"/>
      <c r="F521" s="30"/>
      <c r="G521" s="30"/>
      <c r="H521" s="30"/>
      <c r="I521" s="30"/>
      <c r="J521" s="30"/>
      <c r="K521" s="30"/>
      <c r="L521" s="30"/>
      <c r="M521" s="30"/>
      <c r="N521" s="37"/>
      <c r="O521" s="30"/>
      <c r="P521" s="30"/>
      <c r="Q521" s="30"/>
      <c r="R521" s="30"/>
      <c r="S521" s="736"/>
      <c r="T521" s="30"/>
      <c r="U521" s="30"/>
      <c r="V521" s="30"/>
      <c r="W521" s="30"/>
      <c r="X521" s="30"/>
      <c r="Y521" s="30"/>
      <c r="Z521" s="30"/>
      <c r="AA521" s="30"/>
      <c r="AB521" s="1005"/>
    </row>
    <row r="522" spans="1:28">
      <c r="A522" s="29"/>
      <c r="B522" s="30"/>
      <c r="C522" s="30"/>
      <c r="D522" s="736"/>
      <c r="E522" s="30"/>
      <c r="F522" s="30"/>
      <c r="G522" s="30"/>
      <c r="H522" s="30"/>
      <c r="I522" s="30"/>
      <c r="J522" s="30"/>
      <c r="K522" s="30"/>
      <c r="L522" s="30"/>
      <c r="M522" s="30"/>
      <c r="N522" s="37"/>
      <c r="O522" s="30"/>
      <c r="P522" s="30"/>
      <c r="Q522" s="30"/>
      <c r="R522" s="30"/>
      <c r="S522" s="736"/>
      <c r="T522" s="30"/>
      <c r="U522" s="30"/>
      <c r="V522" s="30"/>
      <c r="W522" s="30"/>
      <c r="X522" s="30"/>
      <c r="Y522" s="30"/>
      <c r="Z522" s="30"/>
      <c r="AA522" s="30"/>
      <c r="AB522" s="1005"/>
    </row>
    <row r="523" spans="1:28">
      <c r="A523" s="29"/>
      <c r="B523" s="30"/>
      <c r="C523" s="30"/>
      <c r="D523" s="736"/>
      <c r="E523" s="30"/>
      <c r="F523" s="30"/>
      <c r="G523" s="30"/>
      <c r="H523" s="30"/>
      <c r="I523" s="30"/>
      <c r="J523" s="30"/>
      <c r="K523" s="30"/>
      <c r="L523" s="30"/>
      <c r="M523" s="30"/>
      <c r="N523" s="37"/>
      <c r="O523" s="30"/>
      <c r="P523" s="30"/>
      <c r="Q523" s="30"/>
      <c r="R523" s="30"/>
      <c r="S523" s="736"/>
      <c r="T523" s="30"/>
      <c r="U523" s="30"/>
      <c r="V523" s="30"/>
      <c r="W523" s="30"/>
      <c r="X523" s="30"/>
      <c r="Y523" s="30"/>
      <c r="Z523" s="30"/>
      <c r="AA523" s="30"/>
      <c r="AB523" s="1005"/>
    </row>
    <row r="524" spans="1:28">
      <c r="A524" s="29"/>
      <c r="B524" s="30"/>
      <c r="C524" s="30"/>
      <c r="D524" s="736"/>
      <c r="E524" s="30"/>
      <c r="F524" s="30"/>
      <c r="G524" s="30"/>
      <c r="H524" s="30"/>
      <c r="I524" s="30"/>
      <c r="J524" s="30"/>
      <c r="K524" s="30"/>
      <c r="L524" s="30"/>
      <c r="M524" s="30"/>
      <c r="N524" s="37"/>
      <c r="O524" s="30"/>
      <c r="P524" s="30"/>
      <c r="Q524" s="30"/>
      <c r="R524" s="30"/>
      <c r="S524" s="736"/>
      <c r="T524" s="30"/>
      <c r="U524" s="30"/>
      <c r="V524" s="30"/>
      <c r="W524" s="30"/>
      <c r="X524" s="30"/>
      <c r="Y524" s="30"/>
      <c r="Z524" s="30"/>
      <c r="AA524" s="30"/>
      <c r="AB524" s="1005"/>
    </row>
    <row r="525" spans="1:28">
      <c r="A525" s="29"/>
      <c r="B525" s="30"/>
      <c r="C525" s="30"/>
      <c r="D525" s="736"/>
      <c r="E525" s="30"/>
      <c r="F525" s="30"/>
      <c r="G525" s="30"/>
      <c r="H525" s="30"/>
      <c r="I525" s="30"/>
      <c r="J525" s="30"/>
      <c r="K525" s="30"/>
      <c r="L525" s="30"/>
      <c r="M525" s="30"/>
      <c r="N525" s="37"/>
      <c r="O525" s="30"/>
      <c r="P525" s="30"/>
      <c r="Q525" s="30"/>
      <c r="R525" s="30"/>
      <c r="S525" s="736"/>
      <c r="T525" s="30"/>
      <c r="U525" s="30"/>
      <c r="V525" s="30"/>
      <c r="W525" s="30"/>
      <c r="X525" s="30"/>
      <c r="Y525" s="30"/>
      <c r="Z525" s="30"/>
      <c r="AA525" s="30"/>
      <c r="AB525" s="1005"/>
    </row>
    <row r="526" spans="1:28">
      <c r="A526" s="29"/>
      <c r="B526" s="30"/>
      <c r="C526" s="30"/>
      <c r="D526" s="736"/>
      <c r="E526" s="30"/>
      <c r="F526" s="30"/>
      <c r="G526" s="30"/>
      <c r="H526" s="30"/>
      <c r="I526" s="30"/>
      <c r="J526" s="30"/>
      <c r="K526" s="30"/>
      <c r="L526" s="30"/>
      <c r="M526" s="30"/>
      <c r="N526" s="37"/>
      <c r="O526" s="30"/>
      <c r="P526" s="30"/>
      <c r="Q526" s="30"/>
      <c r="R526" s="30"/>
      <c r="S526" s="736"/>
      <c r="T526" s="30"/>
      <c r="U526" s="30"/>
      <c r="V526" s="30"/>
      <c r="W526" s="30"/>
      <c r="X526" s="30"/>
      <c r="Y526" s="30"/>
      <c r="Z526" s="30"/>
      <c r="AA526" s="30"/>
      <c r="AB526" s="1005"/>
    </row>
    <row r="527" spans="1:28">
      <c r="A527" s="29"/>
      <c r="B527" s="30"/>
      <c r="C527" s="30"/>
      <c r="D527" s="736"/>
      <c r="E527" s="30"/>
      <c r="F527" s="30"/>
      <c r="G527" s="30"/>
      <c r="H527" s="30"/>
      <c r="I527" s="30"/>
      <c r="J527" s="30"/>
      <c r="K527" s="30"/>
      <c r="L527" s="30"/>
      <c r="M527" s="30"/>
      <c r="N527" s="37"/>
      <c r="O527" s="30"/>
      <c r="P527" s="30"/>
      <c r="Q527" s="30"/>
      <c r="R527" s="30"/>
      <c r="S527" s="736"/>
      <c r="T527" s="30"/>
      <c r="U527" s="30"/>
      <c r="V527" s="30"/>
      <c r="W527" s="30"/>
      <c r="X527" s="30"/>
      <c r="Y527" s="30"/>
      <c r="Z527" s="30"/>
      <c r="AA527" s="30"/>
      <c r="AB527" s="1005"/>
    </row>
    <row r="528" spans="1:28">
      <c r="A528" s="29"/>
      <c r="B528" s="30"/>
      <c r="C528" s="30"/>
      <c r="D528" s="736"/>
      <c r="E528" s="30"/>
      <c r="F528" s="30"/>
      <c r="G528" s="30"/>
      <c r="H528" s="30"/>
      <c r="I528" s="30"/>
      <c r="J528" s="30"/>
      <c r="K528" s="30"/>
      <c r="L528" s="30"/>
      <c r="M528" s="30"/>
      <c r="N528" s="37"/>
      <c r="O528" s="30"/>
      <c r="P528" s="30"/>
      <c r="Q528" s="30"/>
      <c r="R528" s="30"/>
      <c r="S528" s="736"/>
      <c r="T528" s="30"/>
      <c r="U528" s="30"/>
      <c r="V528" s="30"/>
      <c r="W528" s="30"/>
      <c r="X528" s="30"/>
      <c r="Y528" s="30"/>
      <c r="Z528" s="30"/>
      <c r="AA528" s="30"/>
      <c r="AB528" s="1005"/>
    </row>
    <row r="529" spans="1:28">
      <c r="A529" s="29"/>
      <c r="B529" s="30"/>
      <c r="C529" s="30"/>
      <c r="D529" s="736"/>
      <c r="E529" s="30"/>
      <c r="F529" s="30"/>
      <c r="G529" s="30"/>
      <c r="H529" s="30"/>
      <c r="I529" s="30"/>
      <c r="J529" s="30"/>
      <c r="K529" s="30"/>
      <c r="L529" s="30"/>
      <c r="M529" s="30"/>
      <c r="N529" s="37"/>
      <c r="O529" s="30"/>
      <c r="P529" s="30"/>
      <c r="Q529" s="30"/>
      <c r="R529" s="30"/>
      <c r="S529" s="736"/>
      <c r="T529" s="30"/>
      <c r="U529" s="30"/>
      <c r="V529" s="30"/>
      <c r="W529" s="30"/>
      <c r="X529" s="30"/>
      <c r="Y529" s="30"/>
      <c r="Z529" s="30"/>
      <c r="AA529" s="30"/>
      <c r="AB529" s="1005"/>
    </row>
    <row r="530" spans="1:28">
      <c r="A530" s="29"/>
      <c r="B530" s="30"/>
      <c r="C530" s="30"/>
      <c r="D530" s="736"/>
      <c r="E530" s="30"/>
      <c r="F530" s="30"/>
      <c r="G530" s="30"/>
      <c r="H530" s="30"/>
      <c r="I530" s="30"/>
      <c r="J530" s="30"/>
      <c r="K530" s="30"/>
      <c r="L530" s="30"/>
      <c r="M530" s="30"/>
      <c r="N530" s="37"/>
      <c r="O530" s="30"/>
      <c r="P530" s="30"/>
      <c r="Q530" s="30"/>
      <c r="R530" s="30"/>
      <c r="S530" s="736"/>
      <c r="T530" s="30"/>
      <c r="U530" s="30"/>
      <c r="V530" s="30"/>
      <c r="W530" s="30"/>
      <c r="X530" s="30"/>
      <c r="Y530" s="30"/>
      <c r="Z530" s="30"/>
      <c r="AA530" s="30"/>
      <c r="AB530" s="1005"/>
    </row>
    <row r="531" spans="1:28">
      <c r="A531" s="29"/>
      <c r="B531" s="30"/>
      <c r="C531" s="30"/>
      <c r="D531" s="736"/>
      <c r="E531" s="30"/>
      <c r="F531" s="30"/>
      <c r="G531" s="30"/>
      <c r="H531" s="30"/>
      <c r="I531" s="30"/>
      <c r="J531" s="30"/>
      <c r="K531" s="30"/>
      <c r="L531" s="30"/>
      <c r="M531" s="30"/>
      <c r="N531" s="37"/>
      <c r="O531" s="30"/>
      <c r="P531" s="30"/>
      <c r="Q531" s="30"/>
      <c r="R531" s="30"/>
      <c r="S531" s="736"/>
      <c r="T531" s="30"/>
      <c r="U531" s="30"/>
      <c r="V531" s="30"/>
      <c r="W531" s="30"/>
      <c r="X531" s="30"/>
      <c r="Y531" s="30"/>
      <c r="Z531" s="30"/>
      <c r="AA531" s="30"/>
      <c r="AB531" s="1005"/>
    </row>
    <row r="532" spans="1:28">
      <c r="A532" s="29"/>
      <c r="B532" s="30"/>
      <c r="C532" s="30"/>
      <c r="D532" s="736"/>
      <c r="E532" s="30"/>
      <c r="F532" s="30"/>
      <c r="G532" s="30"/>
      <c r="H532" s="30"/>
      <c r="I532" s="30"/>
      <c r="J532" s="30"/>
      <c r="K532" s="30"/>
      <c r="L532" s="30"/>
      <c r="M532" s="30"/>
      <c r="N532" s="37"/>
      <c r="O532" s="30"/>
      <c r="P532" s="30"/>
      <c r="Q532" s="30"/>
      <c r="R532" s="30"/>
      <c r="S532" s="736"/>
      <c r="T532" s="30"/>
      <c r="U532" s="30"/>
      <c r="V532" s="30"/>
      <c r="W532" s="30"/>
      <c r="X532" s="30"/>
      <c r="Y532" s="30"/>
      <c r="Z532" s="30"/>
      <c r="AA532" s="30"/>
      <c r="AB532" s="1005"/>
    </row>
    <row r="533" spans="1:28">
      <c r="A533" s="29"/>
      <c r="B533" s="30"/>
      <c r="C533" s="30"/>
      <c r="D533" s="736"/>
      <c r="E533" s="30"/>
      <c r="F533" s="30"/>
      <c r="G533" s="30"/>
      <c r="H533" s="30"/>
      <c r="I533" s="30"/>
      <c r="J533" s="30"/>
      <c r="K533" s="30"/>
      <c r="L533" s="30"/>
      <c r="M533" s="30"/>
      <c r="N533" s="37"/>
      <c r="O533" s="30"/>
      <c r="P533" s="30"/>
      <c r="Q533" s="30"/>
      <c r="R533" s="30"/>
      <c r="S533" s="736"/>
      <c r="T533" s="30"/>
      <c r="U533" s="30"/>
      <c r="V533" s="30"/>
      <c r="W533" s="30"/>
      <c r="X533" s="30"/>
      <c r="Y533" s="30"/>
      <c r="Z533" s="30"/>
      <c r="AA533" s="30"/>
      <c r="AB533" s="1005"/>
    </row>
    <row r="534" spans="1:28">
      <c r="A534" s="29"/>
      <c r="B534" s="30"/>
      <c r="C534" s="30"/>
      <c r="D534" s="736"/>
      <c r="E534" s="30"/>
      <c r="F534" s="30"/>
      <c r="G534" s="30"/>
      <c r="H534" s="30"/>
      <c r="I534" s="30"/>
      <c r="J534" s="30"/>
      <c r="K534" s="30"/>
      <c r="L534" s="30"/>
      <c r="M534" s="30"/>
      <c r="N534" s="37"/>
      <c r="O534" s="30"/>
      <c r="P534" s="30"/>
      <c r="Q534" s="30"/>
      <c r="R534" s="30"/>
      <c r="S534" s="736"/>
      <c r="T534" s="30"/>
      <c r="U534" s="30"/>
      <c r="V534" s="30"/>
      <c r="W534" s="30"/>
      <c r="X534" s="30"/>
      <c r="Y534" s="30"/>
      <c r="Z534" s="30"/>
      <c r="AA534" s="30"/>
      <c r="AB534" s="1005"/>
    </row>
    <row r="535" spans="1:28">
      <c r="A535" s="29"/>
      <c r="B535" s="30"/>
      <c r="C535" s="30"/>
      <c r="D535" s="736"/>
      <c r="E535" s="30"/>
      <c r="F535" s="30"/>
      <c r="G535" s="30"/>
      <c r="H535" s="30"/>
      <c r="I535" s="30"/>
      <c r="J535" s="30"/>
      <c r="K535" s="30"/>
      <c r="L535" s="30"/>
      <c r="M535" s="30"/>
      <c r="N535" s="37"/>
      <c r="O535" s="30"/>
      <c r="P535" s="30"/>
      <c r="Q535" s="30"/>
      <c r="R535" s="30"/>
      <c r="S535" s="736"/>
      <c r="T535" s="30"/>
      <c r="U535" s="30"/>
      <c r="V535" s="30"/>
      <c r="W535" s="30"/>
      <c r="X535" s="30"/>
      <c r="Y535" s="30"/>
      <c r="Z535" s="30"/>
      <c r="AA535" s="30"/>
      <c r="AB535" s="1005"/>
    </row>
    <row r="536" spans="1:28">
      <c r="A536" s="29"/>
      <c r="B536" s="30"/>
      <c r="C536" s="30"/>
      <c r="D536" s="736"/>
      <c r="E536" s="30"/>
      <c r="F536" s="30"/>
      <c r="G536" s="30"/>
      <c r="H536" s="30"/>
      <c r="I536" s="30"/>
      <c r="J536" s="30"/>
      <c r="K536" s="30"/>
      <c r="L536" s="30"/>
      <c r="M536" s="30"/>
      <c r="N536" s="37"/>
      <c r="O536" s="30"/>
      <c r="P536" s="30"/>
      <c r="Q536" s="30"/>
      <c r="R536" s="30"/>
      <c r="S536" s="736"/>
      <c r="T536" s="30"/>
      <c r="U536" s="30"/>
      <c r="V536" s="30"/>
      <c r="W536" s="30"/>
      <c r="X536" s="30"/>
      <c r="Y536" s="30"/>
      <c r="Z536" s="30"/>
      <c r="AA536" s="30"/>
      <c r="AB536" s="1005"/>
    </row>
    <row r="537" spans="1:28">
      <c r="A537" s="29"/>
      <c r="B537" s="30"/>
      <c r="C537" s="30"/>
      <c r="D537" s="736"/>
      <c r="E537" s="30"/>
      <c r="F537" s="30"/>
      <c r="G537" s="30"/>
      <c r="H537" s="30"/>
      <c r="I537" s="30"/>
      <c r="J537" s="30"/>
      <c r="K537" s="30"/>
      <c r="L537" s="30"/>
      <c r="M537" s="30"/>
      <c r="N537" s="37"/>
      <c r="O537" s="30"/>
      <c r="P537" s="30"/>
      <c r="Q537" s="30"/>
      <c r="R537" s="30"/>
      <c r="S537" s="736"/>
      <c r="T537" s="30"/>
      <c r="U537" s="30"/>
      <c r="V537" s="30"/>
      <c r="W537" s="30"/>
      <c r="X537" s="30"/>
      <c r="Y537" s="30"/>
      <c r="Z537" s="30"/>
      <c r="AA537" s="30"/>
      <c r="AB537" s="1005"/>
    </row>
    <row r="538" spans="1:28">
      <c r="A538" s="29"/>
      <c r="B538" s="30"/>
      <c r="C538" s="30"/>
      <c r="D538" s="736"/>
      <c r="E538" s="30"/>
      <c r="F538" s="30"/>
      <c r="G538" s="30"/>
      <c r="H538" s="30"/>
      <c r="I538" s="30"/>
      <c r="J538" s="30"/>
      <c r="K538" s="30"/>
      <c r="L538" s="30"/>
      <c r="M538" s="30"/>
      <c r="N538" s="37"/>
      <c r="O538" s="30"/>
      <c r="P538" s="30"/>
      <c r="Q538" s="30"/>
      <c r="R538" s="30"/>
      <c r="S538" s="736"/>
      <c r="T538" s="30"/>
      <c r="U538" s="30"/>
      <c r="V538" s="30"/>
      <c r="W538" s="30"/>
      <c r="X538" s="30"/>
      <c r="Y538" s="30"/>
      <c r="Z538" s="30"/>
      <c r="AA538" s="30"/>
      <c r="AB538" s="1005"/>
    </row>
    <row r="539" spans="1:28">
      <c r="A539" s="29"/>
      <c r="B539" s="30"/>
      <c r="C539" s="30"/>
      <c r="D539" s="736"/>
      <c r="E539" s="30"/>
      <c r="F539" s="30"/>
      <c r="G539" s="30"/>
      <c r="H539" s="30"/>
      <c r="I539" s="30"/>
      <c r="J539" s="30"/>
      <c r="K539" s="30"/>
      <c r="L539" s="30"/>
      <c r="M539" s="30"/>
      <c r="N539" s="37"/>
      <c r="O539" s="30"/>
      <c r="P539" s="30"/>
      <c r="Q539" s="30"/>
      <c r="R539" s="30"/>
      <c r="S539" s="736"/>
      <c r="T539" s="30"/>
      <c r="U539" s="30"/>
      <c r="V539" s="30"/>
      <c r="W539" s="30"/>
      <c r="X539" s="30"/>
      <c r="Y539" s="30"/>
      <c r="Z539" s="30"/>
      <c r="AA539" s="30"/>
      <c r="AB539" s="1005"/>
    </row>
    <row r="540" spans="1:28">
      <c r="A540" s="29"/>
      <c r="B540" s="30"/>
      <c r="C540" s="30"/>
      <c r="D540" s="736"/>
      <c r="E540" s="30"/>
      <c r="F540" s="30"/>
      <c r="G540" s="30"/>
      <c r="H540" s="30"/>
      <c r="I540" s="30"/>
      <c r="J540" s="30"/>
      <c r="K540" s="30"/>
      <c r="L540" s="30"/>
      <c r="M540" s="30"/>
      <c r="N540" s="37"/>
      <c r="O540" s="30"/>
      <c r="P540" s="30"/>
      <c r="Q540" s="30"/>
      <c r="R540" s="30"/>
      <c r="S540" s="736"/>
      <c r="T540" s="30"/>
      <c r="U540" s="30"/>
      <c r="V540" s="30"/>
      <c r="W540" s="30"/>
      <c r="X540" s="30"/>
      <c r="Y540" s="30"/>
      <c r="Z540" s="30"/>
      <c r="AA540" s="30"/>
      <c r="AB540" s="1005"/>
    </row>
    <row r="541" spans="1:28">
      <c r="A541" s="29"/>
      <c r="B541" s="30"/>
      <c r="C541" s="30"/>
      <c r="D541" s="736"/>
      <c r="E541" s="30"/>
      <c r="F541" s="30"/>
      <c r="G541" s="30"/>
      <c r="H541" s="30"/>
      <c r="I541" s="30"/>
      <c r="J541" s="30"/>
      <c r="K541" s="30"/>
      <c r="L541" s="30"/>
      <c r="M541" s="30"/>
      <c r="N541" s="37"/>
      <c r="O541" s="30"/>
      <c r="P541" s="30"/>
      <c r="Q541" s="30"/>
      <c r="R541" s="30"/>
      <c r="S541" s="736"/>
      <c r="T541" s="30"/>
      <c r="U541" s="30"/>
      <c r="V541" s="30"/>
      <c r="W541" s="30"/>
      <c r="X541" s="30"/>
      <c r="Y541" s="30"/>
      <c r="Z541" s="30"/>
      <c r="AA541" s="30"/>
      <c r="AB541" s="1005"/>
    </row>
    <row r="542" spans="1:28">
      <c r="A542" s="29"/>
      <c r="B542" s="30"/>
      <c r="C542" s="30"/>
      <c r="D542" s="736"/>
      <c r="E542" s="30"/>
      <c r="F542" s="30"/>
      <c r="G542" s="30"/>
      <c r="H542" s="30"/>
      <c r="I542" s="30"/>
      <c r="J542" s="30"/>
      <c r="K542" s="30"/>
      <c r="L542" s="30"/>
      <c r="M542" s="30"/>
      <c r="N542" s="37"/>
      <c r="O542" s="30"/>
      <c r="P542" s="30"/>
      <c r="Q542" s="30"/>
      <c r="R542" s="30"/>
      <c r="S542" s="736"/>
      <c r="T542" s="30"/>
      <c r="U542" s="30"/>
      <c r="V542" s="30"/>
      <c r="W542" s="30"/>
      <c r="X542" s="30"/>
      <c r="Y542" s="30"/>
      <c r="Z542" s="30"/>
      <c r="AA542" s="30"/>
      <c r="AB542" s="1005"/>
    </row>
    <row r="543" spans="1:28">
      <c r="A543" s="29"/>
      <c r="B543" s="30"/>
      <c r="C543" s="30"/>
      <c r="D543" s="736"/>
      <c r="E543" s="30"/>
      <c r="F543" s="30"/>
      <c r="G543" s="30"/>
      <c r="H543" s="30"/>
      <c r="I543" s="30"/>
      <c r="J543" s="30"/>
      <c r="K543" s="30"/>
      <c r="L543" s="30"/>
      <c r="M543" s="30"/>
      <c r="N543" s="37"/>
      <c r="O543" s="30"/>
      <c r="P543" s="30"/>
      <c r="Q543" s="30"/>
      <c r="R543" s="30"/>
      <c r="S543" s="736"/>
      <c r="T543" s="30"/>
      <c r="U543" s="30"/>
      <c r="V543" s="30"/>
      <c r="W543" s="30"/>
      <c r="X543" s="30"/>
      <c r="Y543" s="30"/>
      <c r="Z543" s="30"/>
      <c r="AA543" s="30"/>
      <c r="AB543" s="1005"/>
    </row>
    <row r="544" spans="1:28">
      <c r="A544" s="29"/>
      <c r="B544" s="30"/>
      <c r="C544" s="30"/>
      <c r="D544" s="736"/>
      <c r="E544" s="30"/>
      <c r="F544" s="30"/>
      <c r="G544" s="30"/>
      <c r="H544" s="30"/>
      <c r="I544" s="30"/>
      <c r="J544" s="30"/>
      <c r="K544" s="30"/>
      <c r="L544" s="30"/>
      <c r="M544" s="30"/>
      <c r="N544" s="37"/>
      <c r="O544" s="30"/>
      <c r="P544" s="30"/>
      <c r="Q544" s="30"/>
      <c r="R544" s="30"/>
      <c r="S544" s="736"/>
      <c r="T544" s="30"/>
      <c r="U544" s="30"/>
      <c r="V544" s="30"/>
      <c r="W544" s="30"/>
      <c r="X544" s="30"/>
      <c r="Y544" s="30"/>
      <c r="Z544" s="30"/>
      <c r="AA544" s="30"/>
      <c r="AB544" s="1005"/>
    </row>
    <row r="545" spans="1:28">
      <c r="A545" s="29"/>
      <c r="B545" s="30"/>
      <c r="C545" s="30"/>
      <c r="D545" s="736"/>
      <c r="E545" s="30"/>
      <c r="F545" s="30"/>
      <c r="G545" s="30"/>
      <c r="H545" s="30"/>
      <c r="I545" s="30"/>
      <c r="J545" s="30"/>
      <c r="K545" s="30"/>
      <c r="L545" s="30"/>
      <c r="M545" s="30"/>
      <c r="N545" s="37"/>
      <c r="O545" s="30"/>
      <c r="P545" s="30"/>
      <c r="Q545" s="30"/>
      <c r="R545" s="30"/>
      <c r="S545" s="736"/>
      <c r="T545" s="30"/>
      <c r="U545" s="30"/>
      <c r="V545" s="30"/>
      <c r="W545" s="30"/>
      <c r="X545" s="30"/>
      <c r="Y545" s="30"/>
      <c r="Z545" s="30"/>
      <c r="AA545" s="30"/>
      <c r="AB545" s="1005"/>
    </row>
    <row r="546" spans="1:28">
      <c r="A546" s="29"/>
      <c r="B546" s="30"/>
      <c r="C546" s="30"/>
      <c r="D546" s="736"/>
      <c r="E546" s="30"/>
      <c r="F546" s="30"/>
      <c r="G546" s="30"/>
      <c r="H546" s="30"/>
      <c r="I546" s="30"/>
      <c r="J546" s="30"/>
      <c r="K546" s="30"/>
      <c r="L546" s="30"/>
      <c r="M546" s="30"/>
      <c r="N546" s="37"/>
      <c r="O546" s="30"/>
      <c r="P546" s="30"/>
      <c r="Q546" s="30"/>
      <c r="R546" s="30"/>
      <c r="S546" s="736"/>
      <c r="T546" s="30"/>
      <c r="U546" s="30"/>
      <c r="V546" s="30"/>
      <c r="W546" s="30"/>
      <c r="X546" s="30"/>
      <c r="Y546" s="30"/>
      <c r="Z546" s="30"/>
      <c r="AA546" s="30"/>
      <c r="AB546" s="1005"/>
    </row>
    <row r="547" spans="1:28">
      <c r="A547" s="29"/>
      <c r="B547" s="30"/>
      <c r="C547" s="30"/>
      <c r="D547" s="736"/>
      <c r="E547" s="30"/>
      <c r="F547" s="30"/>
      <c r="G547" s="30"/>
      <c r="H547" s="30"/>
      <c r="I547" s="30"/>
      <c r="J547" s="30"/>
      <c r="K547" s="30"/>
      <c r="L547" s="30"/>
      <c r="M547" s="30"/>
      <c r="N547" s="37"/>
      <c r="O547" s="30"/>
      <c r="P547" s="30"/>
      <c r="Q547" s="30"/>
      <c r="R547" s="30"/>
      <c r="S547" s="736"/>
      <c r="T547" s="30"/>
      <c r="U547" s="30"/>
      <c r="V547" s="30"/>
      <c r="W547" s="30"/>
      <c r="X547" s="30"/>
      <c r="Y547" s="30"/>
      <c r="Z547" s="30"/>
      <c r="AA547" s="30"/>
      <c r="AB547" s="1005"/>
    </row>
    <row r="548" spans="1:28">
      <c r="A548" s="29"/>
      <c r="B548" s="30"/>
      <c r="C548" s="30"/>
      <c r="D548" s="736"/>
      <c r="E548" s="30"/>
      <c r="F548" s="30"/>
      <c r="G548" s="30"/>
      <c r="H548" s="30"/>
      <c r="I548" s="30"/>
      <c r="J548" s="30"/>
      <c r="K548" s="30"/>
      <c r="L548" s="30"/>
      <c r="M548" s="30"/>
      <c r="N548" s="37"/>
      <c r="O548" s="30"/>
      <c r="P548" s="30"/>
      <c r="Q548" s="30"/>
      <c r="R548" s="30"/>
      <c r="S548" s="736"/>
      <c r="T548" s="30"/>
      <c r="U548" s="30"/>
      <c r="V548" s="30"/>
      <c r="W548" s="30"/>
      <c r="X548" s="30"/>
      <c r="Y548" s="30"/>
      <c r="Z548" s="30"/>
      <c r="AA548" s="30"/>
      <c r="AB548" s="1005"/>
    </row>
    <row r="549" spans="1:28">
      <c r="A549" s="29"/>
      <c r="B549" s="30"/>
      <c r="C549" s="30"/>
      <c r="D549" s="736"/>
      <c r="E549" s="30"/>
      <c r="F549" s="30"/>
      <c r="G549" s="30"/>
      <c r="H549" s="30"/>
      <c r="I549" s="30"/>
      <c r="J549" s="30"/>
      <c r="K549" s="30"/>
      <c r="L549" s="30"/>
      <c r="M549" s="30"/>
      <c r="N549" s="37"/>
      <c r="O549" s="30"/>
      <c r="P549" s="30"/>
      <c r="Q549" s="30"/>
      <c r="R549" s="30"/>
      <c r="S549" s="736"/>
      <c r="T549" s="30"/>
      <c r="U549" s="30"/>
      <c r="V549" s="30"/>
      <c r="W549" s="30"/>
      <c r="X549" s="30"/>
      <c r="Y549" s="30"/>
      <c r="Z549" s="30"/>
      <c r="AA549" s="30"/>
      <c r="AB549" s="1005"/>
    </row>
    <row r="550" spans="1:28">
      <c r="A550" s="29"/>
      <c r="B550" s="30"/>
      <c r="C550" s="30"/>
      <c r="D550" s="736"/>
      <c r="E550" s="30"/>
      <c r="F550" s="30"/>
      <c r="G550" s="30"/>
      <c r="H550" s="30"/>
      <c r="I550" s="30"/>
      <c r="J550" s="30"/>
      <c r="K550" s="30"/>
      <c r="L550" s="30"/>
      <c r="M550" s="30"/>
      <c r="N550" s="37"/>
      <c r="O550" s="30"/>
      <c r="P550" s="30"/>
      <c r="Q550" s="30"/>
      <c r="R550" s="30"/>
      <c r="S550" s="736"/>
      <c r="T550" s="30"/>
      <c r="U550" s="30"/>
      <c r="V550" s="30"/>
      <c r="W550" s="30"/>
      <c r="X550" s="30"/>
      <c r="Y550" s="30"/>
      <c r="Z550" s="30"/>
      <c r="AA550" s="30"/>
      <c r="AB550" s="1005"/>
    </row>
    <row r="551" spans="1:28">
      <c r="A551" s="29"/>
      <c r="B551" s="30"/>
      <c r="C551" s="30"/>
      <c r="D551" s="736"/>
      <c r="E551" s="30"/>
      <c r="F551" s="30"/>
      <c r="G551" s="30"/>
      <c r="H551" s="30"/>
      <c r="I551" s="30"/>
      <c r="J551" s="30"/>
      <c r="K551" s="30"/>
      <c r="L551" s="30"/>
      <c r="M551" s="30"/>
      <c r="N551" s="37"/>
      <c r="O551" s="30"/>
      <c r="P551" s="30"/>
      <c r="Q551" s="30"/>
      <c r="R551" s="30"/>
      <c r="S551" s="736"/>
      <c r="T551" s="30"/>
      <c r="U551" s="30"/>
      <c r="V551" s="30"/>
      <c r="W551" s="30"/>
      <c r="X551" s="30"/>
      <c r="Y551" s="30"/>
      <c r="Z551" s="30"/>
      <c r="AA551" s="30"/>
      <c r="AB551" s="1005"/>
    </row>
    <row r="552" spans="1:28">
      <c r="A552" s="29"/>
      <c r="B552" s="30"/>
      <c r="C552" s="30"/>
      <c r="D552" s="736"/>
      <c r="E552" s="30"/>
      <c r="F552" s="30"/>
      <c r="G552" s="30"/>
      <c r="H552" s="30"/>
      <c r="I552" s="30"/>
      <c r="J552" s="30"/>
      <c r="K552" s="30"/>
      <c r="L552" s="30"/>
      <c r="M552" s="30"/>
      <c r="N552" s="37"/>
      <c r="O552" s="30"/>
      <c r="P552" s="30"/>
      <c r="Q552" s="30"/>
      <c r="R552" s="30"/>
      <c r="S552" s="736"/>
      <c r="T552" s="30"/>
      <c r="U552" s="30"/>
      <c r="V552" s="30"/>
      <c r="W552" s="30"/>
      <c r="X552" s="30"/>
      <c r="Y552" s="30"/>
      <c r="Z552" s="30"/>
      <c r="AA552" s="30"/>
      <c r="AB552" s="1005"/>
    </row>
    <row r="553" spans="1:28">
      <c r="A553" s="29"/>
      <c r="B553" s="30"/>
      <c r="C553" s="30"/>
      <c r="D553" s="736"/>
      <c r="E553" s="30"/>
      <c r="F553" s="30"/>
      <c r="G553" s="30"/>
      <c r="H553" s="30"/>
      <c r="I553" s="30"/>
      <c r="J553" s="30"/>
      <c r="K553" s="30"/>
      <c r="L553" s="30"/>
      <c r="M553" s="30"/>
      <c r="N553" s="37"/>
      <c r="O553" s="30"/>
      <c r="P553" s="30"/>
      <c r="Q553" s="30"/>
      <c r="R553" s="30"/>
      <c r="S553" s="736"/>
      <c r="T553" s="30"/>
      <c r="U553" s="30"/>
      <c r="V553" s="30"/>
      <c r="W553" s="30"/>
      <c r="X553" s="30"/>
      <c r="Y553" s="30"/>
      <c r="Z553" s="30"/>
      <c r="AA553" s="30"/>
      <c r="AB553" s="1005"/>
    </row>
    <row r="554" spans="1:28">
      <c r="A554" s="29"/>
      <c r="B554" s="30"/>
      <c r="C554" s="30"/>
      <c r="D554" s="736"/>
      <c r="E554" s="30"/>
      <c r="F554" s="30"/>
      <c r="G554" s="30"/>
      <c r="H554" s="30"/>
      <c r="I554" s="30"/>
      <c r="J554" s="30"/>
      <c r="K554" s="30"/>
      <c r="L554" s="30"/>
      <c r="M554" s="30"/>
      <c r="N554" s="37"/>
      <c r="O554" s="30"/>
      <c r="P554" s="30"/>
      <c r="Q554" s="30"/>
      <c r="R554" s="30"/>
      <c r="S554" s="736"/>
      <c r="T554" s="30"/>
      <c r="U554" s="30"/>
      <c r="V554" s="30"/>
      <c r="W554" s="30"/>
      <c r="X554" s="30"/>
      <c r="Y554" s="30"/>
      <c r="Z554" s="30"/>
      <c r="AA554" s="30"/>
      <c r="AB554" s="1005"/>
    </row>
    <row r="555" spans="1:28">
      <c r="A555" s="29"/>
      <c r="B555" s="30"/>
      <c r="C555" s="30"/>
      <c r="D555" s="736"/>
      <c r="E555" s="30"/>
      <c r="F555" s="30"/>
      <c r="G555" s="30"/>
      <c r="H555" s="30"/>
      <c r="I555" s="30"/>
      <c r="J555" s="30"/>
      <c r="K555" s="30"/>
      <c r="L555" s="30"/>
      <c r="M555" s="30"/>
      <c r="N555" s="37"/>
      <c r="O555" s="30"/>
      <c r="P555" s="30"/>
      <c r="Q555" s="30"/>
      <c r="R555" s="30"/>
      <c r="S555" s="736"/>
      <c r="T555" s="30"/>
      <c r="U555" s="30"/>
      <c r="V555" s="30"/>
      <c r="W555" s="30"/>
      <c r="X555" s="30"/>
      <c r="Y555" s="30"/>
      <c r="Z555" s="30"/>
      <c r="AA555" s="30"/>
      <c r="AB555" s="1005"/>
    </row>
    <row r="556" spans="1:28">
      <c r="A556" s="29"/>
      <c r="B556" s="30"/>
      <c r="C556" s="30"/>
      <c r="D556" s="736"/>
      <c r="E556" s="30"/>
      <c r="F556" s="30"/>
      <c r="G556" s="30"/>
      <c r="H556" s="30"/>
      <c r="I556" s="30"/>
      <c r="J556" s="30"/>
      <c r="K556" s="30"/>
      <c r="L556" s="30"/>
      <c r="M556" s="30"/>
      <c r="N556" s="37"/>
      <c r="O556" s="30"/>
      <c r="P556" s="30"/>
      <c r="Q556" s="30"/>
      <c r="R556" s="30"/>
      <c r="S556" s="736"/>
      <c r="T556" s="30"/>
      <c r="U556" s="30"/>
      <c r="V556" s="30"/>
      <c r="W556" s="30"/>
      <c r="X556" s="30"/>
      <c r="Y556" s="30"/>
      <c r="Z556" s="30"/>
      <c r="AA556" s="30"/>
      <c r="AB556" s="1005"/>
    </row>
    <row r="557" spans="1:28">
      <c r="A557" s="29"/>
      <c r="B557" s="30"/>
      <c r="C557" s="30"/>
      <c r="D557" s="736"/>
      <c r="E557" s="30"/>
      <c r="F557" s="30"/>
      <c r="G557" s="30"/>
      <c r="H557" s="30"/>
      <c r="I557" s="30"/>
      <c r="J557" s="30"/>
      <c r="K557" s="30"/>
      <c r="L557" s="30"/>
      <c r="M557" s="30"/>
      <c r="N557" s="37"/>
      <c r="O557" s="30"/>
      <c r="P557" s="30"/>
      <c r="Q557" s="30"/>
      <c r="R557" s="30"/>
      <c r="S557" s="736"/>
      <c r="T557" s="30"/>
      <c r="U557" s="30"/>
      <c r="V557" s="30"/>
      <c r="W557" s="30"/>
      <c r="X557" s="30"/>
      <c r="Y557" s="30"/>
      <c r="Z557" s="30"/>
      <c r="AA557" s="30"/>
      <c r="AB557" s="1005"/>
    </row>
    <row r="558" spans="1:28">
      <c r="A558" s="29"/>
      <c r="B558" s="30"/>
      <c r="C558" s="30"/>
      <c r="D558" s="736"/>
      <c r="E558" s="30"/>
      <c r="F558" s="30"/>
      <c r="G558" s="30"/>
      <c r="H558" s="30"/>
      <c r="I558" s="30"/>
      <c r="J558" s="30"/>
      <c r="K558" s="30"/>
      <c r="L558" s="30"/>
      <c r="M558" s="30"/>
      <c r="N558" s="37"/>
      <c r="O558" s="30"/>
      <c r="P558" s="30"/>
      <c r="Q558" s="30"/>
      <c r="R558" s="30"/>
      <c r="S558" s="736"/>
      <c r="T558" s="30"/>
      <c r="U558" s="30"/>
      <c r="V558" s="30"/>
      <c r="W558" s="30"/>
      <c r="X558" s="30"/>
      <c r="Y558" s="30"/>
      <c r="Z558" s="30"/>
      <c r="AA558" s="30"/>
      <c r="AB558" s="1005"/>
    </row>
    <row r="559" spans="1:28">
      <c r="A559" s="29"/>
      <c r="B559" s="30"/>
      <c r="C559" s="30"/>
      <c r="D559" s="736"/>
      <c r="E559" s="30"/>
      <c r="F559" s="30"/>
      <c r="G559" s="30"/>
      <c r="H559" s="30"/>
      <c r="I559" s="30"/>
      <c r="J559" s="30"/>
      <c r="K559" s="30"/>
      <c r="L559" s="30"/>
      <c r="M559" s="30"/>
      <c r="N559" s="37"/>
      <c r="O559" s="30"/>
      <c r="P559" s="30"/>
      <c r="Q559" s="30"/>
      <c r="R559" s="30"/>
      <c r="S559" s="736"/>
      <c r="T559" s="30"/>
      <c r="U559" s="30"/>
      <c r="V559" s="30"/>
      <c r="W559" s="30"/>
      <c r="X559" s="30"/>
      <c r="Y559" s="30"/>
      <c r="Z559" s="30"/>
      <c r="AA559" s="30"/>
      <c r="AB559" s="1005"/>
    </row>
    <row r="560" spans="1:28">
      <c r="A560" s="29"/>
      <c r="B560" s="30"/>
      <c r="C560" s="30"/>
      <c r="D560" s="736"/>
      <c r="E560" s="30"/>
      <c r="F560" s="30"/>
      <c r="G560" s="30"/>
      <c r="H560" s="30"/>
      <c r="I560" s="30"/>
      <c r="J560" s="30"/>
      <c r="K560" s="30"/>
      <c r="L560" s="30"/>
      <c r="M560" s="30"/>
      <c r="N560" s="37"/>
      <c r="O560" s="30"/>
      <c r="P560" s="30"/>
      <c r="Q560" s="30"/>
      <c r="R560" s="30"/>
      <c r="S560" s="736"/>
      <c r="T560" s="30"/>
      <c r="U560" s="30"/>
      <c r="V560" s="30"/>
      <c r="W560" s="30"/>
      <c r="X560" s="30"/>
      <c r="Y560" s="30"/>
      <c r="Z560" s="30"/>
      <c r="AA560" s="30"/>
      <c r="AB560" s="1005"/>
    </row>
    <row r="561" spans="1:28">
      <c r="A561" s="29"/>
      <c r="B561" s="30"/>
      <c r="C561" s="30"/>
      <c r="D561" s="736"/>
      <c r="E561" s="30"/>
      <c r="F561" s="30"/>
      <c r="G561" s="30"/>
      <c r="H561" s="30"/>
      <c r="I561" s="30"/>
      <c r="J561" s="30"/>
      <c r="K561" s="30"/>
      <c r="L561" s="30"/>
      <c r="M561" s="30"/>
      <c r="N561" s="37"/>
      <c r="O561" s="30"/>
      <c r="P561" s="30"/>
      <c r="Q561" s="30"/>
      <c r="R561" s="30"/>
      <c r="S561" s="736"/>
      <c r="T561" s="30"/>
      <c r="U561" s="30"/>
      <c r="V561" s="30"/>
      <c r="W561" s="30"/>
      <c r="X561" s="30"/>
      <c r="Y561" s="30"/>
      <c r="Z561" s="30"/>
      <c r="AA561" s="30"/>
      <c r="AB561" s="1005"/>
    </row>
    <row r="562" spans="1:28">
      <c r="A562" s="29"/>
      <c r="B562" s="30"/>
      <c r="C562" s="30"/>
      <c r="D562" s="736"/>
      <c r="E562" s="30"/>
      <c r="F562" s="30"/>
      <c r="G562" s="30"/>
      <c r="H562" s="30"/>
      <c r="I562" s="30"/>
      <c r="J562" s="30"/>
      <c r="K562" s="30"/>
      <c r="L562" s="30"/>
      <c r="M562" s="30"/>
      <c r="N562" s="37"/>
      <c r="O562" s="30"/>
      <c r="P562" s="30"/>
      <c r="Q562" s="30"/>
      <c r="R562" s="30"/>
      <c r="S562" s="736"/>
      <c r="T562" s="30"/>
      <c r="U562" s="30"/>
      <c r="V562" s="30"/>
      <c r="W562" s="30"/>
      <c r="X562" s="30"/>
      <c r="Y562" s="30"/>
      <c r="Z562" s="30"/>
      <c r="AA562" s="30"/>
      <c r="AB562" s="1005"/>
    </row>
    <row r="563" spans="1:28">
      <c r="A563" s="29"/>
      <c r="B563" s="30"/>
      <c r="C563" s="30"/>
      <c r="D563" s="736"/>
      <c r="E563" s="30"/>
      <c r="F563" s="30"/>
      <c r="G563" s="30"/>
      <c r="H563" s="30"/>
      <c r="I563" s="30"/>
      <c r="J563" s="30"/>
      <c r="K563" s="30"/>
      <c r="L563" s="30"/>
      <c r="M563" s="30"/>
      <c r="N563" s="37"/>
      <c r="O563" s="30"/>
      <c r="P563" s="30"/>
      <c r="Q563" s="30"/>
      <c r="R563" s="30"/>
      <c r="S563" s="736"/>
      <c r="T563" s="30"/>
      <c r="U563" s="30"/>
      <c r="V563" s="30"/>
      <c r="W563" s="30"/>
      <c r="X563" s="30"/>
      <c r="Y563" s="30"/>
      <c r="Z563" s="30"/>
      <c r="AA563" s="30"/>
      <c r="AB563" s="1005"/>
    </row>
    <row r="564" spans="1:28">
      <c r="A564" s="29"/>
      <c r="B564" s="30"/>
      <c r="C564" s="30"/>
      <c r="D564" s="736"/>
      <c r="E564" s="30"/>
      <c r="F564" s="30"/>
      <c r="G564" s="30"/>
      <c r="H564" s="30"/>
      <c r="I564" s="30"/>
      <c r="J564" s="30"/>
      <c r="K564" s="30"/>
      <c r="L564" s="30"/>
      <c r="M564" s="30"/>
      <c r="N564" s="37"/>
      <c r="O564" s="30"/>
      <c r="P564" s="30"/>
      <c r="Q564" s="30"/>
      <c r="R564" s="30"/>
      <c r="S564" s="736"/>
      <c r="T564" s="30"/>
      <c r="U564" s="30"/>
      <c r="V564" s="30"/>
      <c r="W564" s="30"/>
      <c r="X564" s="30"/>
      <c r="Y564" s="30"/>
      <c r="Z564" s="30"/>
      <c r="AA564" s="30"/>
      <c r="AB564" s="1005"/>
    </row>
    <row r="565" spans="1:28">
      <c r="A565" s="29"/>
      <c r="B565" s="30"/>
      <c r="C565" s="30"/>
      <c r="D565" s="736"/>
      <c r="E565" s="30"/>
      <c r="F565" s="30"/>
      <c r="G565" s="30"/>
      <c r="H565" s="30"/>
      <c r="I565" s="30"/>
      <c r="J565" s="30"/>
      <c r="K565" s="30"/>
      <c r="L565" s="30"/>
      <c r="M565" s="30"/>
      <c r="N565" s="37"/>
      <c r="O565" s="30"/>
      <c r="P565" s="30"/>
      <c r="Q565" s="30"/>
      <c r="R565" s="30"/>
      <c r="S565" s="736"/>
      <c r="T565" s="30"/>
      <c r="U565" s="30"/>
      <c r="V565" s="30"/>
      <c r="W565" s="30"/>
      <c r="X565" s="30"/>
      <c r="Y565" s="30"/>
      <c r="Z565" s="30"/>
      <c r="AA565" s="30"/>
      <c r="AB565" s="1005"/>
    </row>
    <row r="566" spans="1:28">
      <c r="A566" s="29"/>
      <c r="B566" s="30"/>
      <c r="C566" s="30"/>
      <c r="D566" s="736"/>
      <c r="E566" s="30"/>
      <c r="F566" s="30"/>
      <c r="G566" s="30"/>
      <c r="H566" s="30"/>
      <c r="I566" s="30"/>
      <c r="J566" s="30"/>
      <c r="K566" s="30"/>
      <c r="L566" s="30"/>
      <c r="M566" s="30"/>
      <c r="N566" s="37"/>
      <c r="O566" s="30"/>
      <c r="P566" s="30"/>
      <c r="Q566" s="30"/>
      <c r="R566" s="30"/>
      <c r="S566" s="736"/>
      <c r="T566" s="30"/>
      <c r="U566" s="30"/>
      <c r="V566" s="30"/>
      <c r="W566" s="30"/>
      <c r="X566" s="30"/>
      <c r="Y566" s="30"/>
      <c r="Z566" s="30"/>
      <c r="AA566" s="30"/>
      <c r="AB566" s="1005"/>
    </row>
    <row r="567" spans="1:28">
      <c r="A567" s="29"/>
      <c r="B567" s="30"/>
      <c r="C567" s="30"/>
      <c r="D567" s="736"/>
      <c r="E567" s="30"/>
      <c r="F567" s="30"/>
      <c r="G567" s="30"/>
      <c r="H567" s="30"/>
      <c r="I567" s="30"/>
      <c r="J567" s="30"/>
      <c r="K567" s="30"/>
      <c r="L567" s="30"/>
      <c r="M567" s="30"/>
      <c r="N567" s="37"/>
      <c r="O567" s="30"/>
      <c r="P567" s="30"/>
      <c r="Q567" s="30"/>
      <c r="R567" s="30"/>
      <c r="S567" s="736"/>
      <c r="T567" s="30"/>
      <c r="U567" s="30"/>
      <c r="V567" s="30"/>
      <c r="W567" s="30"/>
      <c r="X567" s="30"/>
      <c r="Y567" s="30"/>
      <c r="Z567" s="30"/>
      <c r="AA567" s="30"/>
      <c r="AB567" s="1005"/>
    </row>
    <row r="568" spans="1:28">
      <c r="A568" s="29"/>
      <c r="B568" s="30"/>
      <c r="C568" s="30"/>
      <c r="D568" s="736"/>
      <c r="E568" s="30"/>
      <c r="F568" s="30"/>
      <c r="G568" s="30"/>
      <c r="H568" s="30"/>
      <c r="I568" s="30"/>
      <c r="J568" s="30"/>
      <c r="K568" s="30"/>
      <c r="L568" s="30"/>
      <c r="M568" s="30"/>
      <c r="N568" s="37"/>
      <c r="O568" s="30"/>
      <c r="P568" s="30"/>
      <c r="Q568" s="30"/>
      <c r="R568" s="30"/>
      <c r="S568" s="736"/>
      <c r="T568" s="30"/>
      <c r="U568" s="30"/>
      <c r="V568" s="30"/>
      <c r="W568" s="30"/>
      <c r="X568" s="30"/>
      <c r="Y568" s="30"/>
      <c r="Z568" s="30"/>
      <c r="AA568" s="30"/>
      <c r="AB568" s="1005"/>
    </row>
    <row r="569" spans="1:28">
      <c r="A569" s="29"/>
      <c r="B569" s="30"/>
      <c r="C569" s="30"/>
      <c r="D569" s="736"/>
      <c r="E569" s="30"/>
      <c r="F569" s="30"/>
      <c r="G569" s="30"/>
      <c r="H569" s="30"/>
      <c r="I569" s="30"/>
      <c r="J569" s="30"/>
      <c r="K569" s="30"/>
      <c r="L569" s="30"/>
      <c r="M569" s="30"/>
      <c r="N569" s="37"/>
      <c r="O569" s="30"/>
      <c r="P569" s="30"/>
      <c r="Q569" s="30"/>
      <c r="R569" s="30"/>
      <c r="S569" s="736"/>
      <c r="T569" s="30"/>
      <c r="U569" s="30"/>
      <c r="V569" s="30"/>
      <c r="W569" s="30"/>
      <c r="X569" s="30"/>
      <c r="Y569" s="30"/>
      <c r="Z569" s="30"/>
      <c r="AA569" s="30"/>
      <c r="AB569" s="1005"/>
    </row>
    <row r="570" spans="1:28">
      <c r="A570" s="29"/>
      <c r="B570" s="30"/>
      <c r="C570" s="30"/>
      <c r="D570" s="736"/>
      <c r="E570" s="30"/>
      <c r="F570" s="30"/>
      <c r="G570" s="30"/>
      <c r="H570" s="30"/>
      <c r="I570" s="30"/>
      <c r="J570" s="30"/>
      <c r="K570" s="30"/>
      <c r="L570" s="30"/>
      <c r="M570" s="30"/>
      <c r="N570" s="37"/>
      <c r="O570" s="30"/>
      <c r="P570" s="30"/>
      <c r="Q570" s="30"/>
      <c r="R570" s="30"/>
      <c r="S570" s="736"/>
      <c r="T570" s="30"/>
      <c r="U570" s="30"/>
      <c r="V570" s="30"/>
      <c r="W570" s="30"/>
      <c r="X570" s="30"/>
      <c r="Y570" s="30"/>
      <c r="Z570" s="30"/>
      <c r="AA570" s="30"/>
      <c r="AB570" s="1005"/>
    </row>
    <row r="571" spans="1:28">
      <c r="A571" s="29"/>
      <c r="B571" s="30"/>
      <c r="C571" s="30"/>
      <c r="D571" s="736"/>
      <c r="E571" s="30"/>
      <c r="F571" s="30"/>
      <c r="G571" s="30"/>
      <c r="H571" s="30"/>
      <c r="I571" s="30"/>
      <c r="J571" s="30"/>
      <c r="K571" s="30"/>
      <c r="L571" s="30"/>
      <c r="M571" s="30"/>
      <c r="N571" s="37"/>
      <c r="O571" s="30"/>
      <c r="P571" s="30"/>
      <c r="Q571" s="30"/>
      <c r="R571" s="30"/>
      <c r="S571" s="736"/>
      <c r="T571" s="30"/>
      <c r="U571" s="30"/>
      <c r="V571" s="30"/>
      <c r="W571" s="30"/>
      <c r="X571" s="30"/>
      <c r="Y571" s="30"/>
      <c r="Z571" s="30"/>
      <c r="AA571" s="30"/>
      <c r="AB571" s="1005"/>
    </row>
    <row r="572" spans="1:28">
      <c r="A572" s="29"/>
      <c r="B572" s="30"/>
      <c r="C572" s="30"/>
      <c r="D572" s="736"/>
      <c r="E572" s="30"/>
      <c r="F572" s="30"/>
      <c r="G572" s="30"/>
      <c r="H572" s="30"/>
      <c r="I572" s="30"/>
      <c r="J572" s="30"/>
      <c r="K572" s="30"/>
      <c r="L572" s="30"/>
      <c r="M572" s="30"/>
      <c r="N572" s="37"/>
      <c r="O572" s="30"/>
      <c r="P572" s="30"/>
      <c r="Q572" s="30"/>
      <c r="R572" s="30"/>
      <c r="S572" s="736"/>
      <c r="T572" s="30"/>
      <c r="U572" s="30"/>
      <c r="V572" s="30"/>
      <c r="W572" s="30"/>
      <c r="X572" s="30"/>
      <c r="Y572" s="30"/>
      <c r="Z572" s="30"/>
      <c r="AA572" s="30"/>
      <c r="AB572" s="1005"/>
    </row>
    <row r="573" spans="1:28">
      <c r="A573" s="29"/>
      <c r="B573" s="30"/>
      <c r="C573" s="30"/>
      <c r="D573" s="736"/>
      <c r="E573" s="30"/>
      <c r="F573" s="30"/>
      <c r="G573" s="30"/>
      <c r="H573" s="30"/>
      <c r="I573" s="30"/>
      <c r="J573" s="30"/>
      <c r="K573" s="30"/>
      <c r="L573" s="30"/>
      <c r="M573" s="30"/>
      <c r="N573" s="37"/>
      <c r="O573" s="30"/>
      <c r="P573" s="30"/>
      <c r="Q573" s="30"/>
      <c r="R573" s="30"/>
      <c r="S573" s="736"/>
      <c r="T573" s="30"/>
      <c r="U573" s="30"/>
      <c r="V573" s="30"/>
      <c r="W573" s="30"/>
      <c r="X573" s="30"/>
      <c r="Y573" s="30"/>
      <c r="Z573" s="30"/>
      <c r="AA573" s="30"/>
      <c r="AB573" s="1005"/>
    </row>
    <row r="574" spans="1:28">
      <c r="A574" s="29"/>
      <c r="B574" s="30"/>
      <c r="C574" s="30"/>
      <c r="D574" s="736"/>
      <c r="E574" s="30"/>
      <c r="F574" s="30"/>
      <c r="G574" s="30"/>
      <c r="H574" s="30"/>
      <c r="I574" s="30"/>
      <c r="J574" s="30"/>
      <c r="K574" s="30"/>
      <c r="L574" s="30"/>
      <c r="M574" s="30"/>
      <c r="N574" s="37"/>
      <c r="O574" s="30"/>
      <c r="P574" s="30"/>
      <c r="Q574" s="30"/>
      <c r="R574" s="30"/>
      <c r="S574" s="736"/>
      <c r="T574" s="30"/>
      <c r="U574" s="30"/>
      <c r="V574" s="30"/>
      <c r="W574" s="30"/>
      <c r="X574" s="30"/>
      <c r="Y574" s="30"/>
      <c r="Z574" s="30"/>
      <c r="AA574" s="30"/>
      <c r="AB574" s="1005"/>
    </row>
    <row r="575" spans="1:28">
      <c r="A575" s="29"/>
      <c r="B575" s="30"/>
      <c r="C575" s="30"/>
      <c r="D575" s="736"/>
      <c r="E575" s="30"/>
      <c r="F575" s="30"/>
      <c r="G575" s="30"/>
      <c r="H575" s="30"/>
      <c r="I575" s="30"/>
      <c r="J575" s="30"/>
      <c r="K575" s="30"/>
      <c r="L575" s="30"/>
      <c r="M575" s="30"/>
      <c r="N575" s="37"/>
      <c r="O575" s="30"/>
      <c r="P575" s="30"/>
      <c r="Q575" s="30"/>
      <c r="R575" s="30"/>
      <c r="S575" s="736"/>
      <c r="T575" s="30"/>
      <c r="U575" s="30"/>
      <c r="V575" s="30"/>
      <c r="W575" s="30"/>
      <c r="X575" s="30"/>
      <c r="Y575" s="30"/>
      <c r="Z575" s="30"/>
      <c r="AA575" s="30"/>
      <c r="AB575" s="1005"/>
    </row>
    <row r="576" spans="1:28">
      <c r="A576" s="29"/>
      <c r="B576" s="30"/>
      <c r="C576" s="30"/>
      <c r="D576" s="736"/>
      <c r="E576" s="30"/>
      <c r="F576" s="30"/>
      <c r="G576" s="30"/>
      <c r="H576" s="30"/>
      <c r="I576" s="30"/>
      <c r="J576" s="30"/>
      <c r="K576" s="30"/>
      <c r="L576" s="30"/>
      <c r="M576" s="30"/>
      <c r="N576" s="37"/>
      <c r="O576" s="30"/>
      <c r="P576" s="30"/>
      <c r="Q576" s="30"/>
      <c r="R576" s="30"/>
      <c r="S576" s="736"/>
      <c r="T576" s="30"/>
      <c r="U576" s="30"/>
      <c r="V576" s="30"/>
      <c r="W576" s="30"/>
      <c r="X576" s="30"/>
      <c r="Y576" s="30"/>
      <c r="Z576" s="30"/>
      <c r="AA576" s="30"/>
      <c r="AB576" s="1005"/>
    </row>
    <row r="577" spans="1:28">
      <c r="A577" s="29"/>
      <c r="B577" s="30"/>
      <c r="C577" s="30"/>
      <c r="D577" s="736"/>
      <c r="E577" s="30"/>
      <c r="F577" s="30"/>
      <c r="G577" s="30"/>
      <c r="H577" s="30"/>
      <c r="I577" s="30"/>
      <c r="J577" s="30"/>
      <c r="K577" s="30"/>
      <c r="L577" s="30"/>
      <c r="M577" s="30"/>
      <c r="N577" s="37"/>
      <c r="O577" s="30"/>
      <c r="P577" s="30"/>
      <c r="Q577" s="30"/>
      <c r="R577" s="30"/>
      <c r="S577" s="736"/>
      <c r="T577" s="30"/>
      <c r="U577" s="30"/>
      <c r="V577" s="30"/>
      <c r="W577" s="30"/>
      <c r="X577" s="30"/>
      <c r="Y577" s="30"/>
      <c r="Z577" s="30"/>
      <c r="AA577" s="30"/>
      <c r="AB577" s="1005"/>
    </row>
    <row r="578" spans="1:28">
      <c r="A578" s="29"/>
      <c r="B578" s="30"/>
      <c r="C578" s="30"/>
      <c r="D578" s="736"/>
      <c r="E578" s="30"/>
      <c r="F578" s="30"/>
      <c r="G578" s="30"/>
      <c r="H578" s="30"/>
      <c r="I578" s="30"/>
      <c r="J578" s="30"/>
      <c r="K578" s="30"/>
      <c r="L578" s="30"/>
      <c r="M578" s="30"/>
      <c r="N578" s="37"/>
      <c r="O578" s="30"/>
      <c r="P578" s="30"/>
      <c r="Q578" s="30"/>
      <c r="R578" s="30"/>
      <c r="S578" s="736"/>
      <c r="T578" s="30"/>
      <c r="U578" s="30"/>
      <c r="V578" s="30"/>
      <c r="W578" s="30"/>
      <c r="X578" s="30"/>
      <c r="Y578" s="30"/>
      <c r="Z578" s="30"/>
      <c r="AA578" s="30"/>
      <c r="AB578" s="1005"/>
    </row>
    <row r="579" spans="1:28">
      <c r="A579" s="29"/>
      <c r="B579" s="30"/>
      <c r="C579" s="30"/>
      <c r="D579" s="736"/>
      <c r="E579" s="30"/>
      <c r="F579" s="30"/>
      <c r="G579" s="30"/>
      <c r="H579" s="30"/>
      <c r="I579" s="30"/>
      <c r="J579" s="30"/>
      <c r="K579" s="30"/>
      <c r="L579" s="30"/>
      <c r="M579" s="30"/>
      <c r="N579" s="37"/>
      <c r="O579" s="30"/>
      <c r="P579" s="30"/>
      <c r="Q579" s="30"/>
      <c r="R579" s="30"/>
      <c r="S579" s="736"/>
      <c r="T579" s="30"/>
      <c r="U579" s="30"/>
      <c r="V579" s="30"/>
      <c r="W579" s="30"/>
      <c r="X579" s="30"/>
      <c r="Y579" s="30"/>
      <c r="Z579" s="30"/>
      <c r="AA579" s="30"/>
      <c r="AB579" s="1005"/>
    </row>
    <row r="580" spans="1:28">
      <c r="A580" s="29"/>
      <c r="B580" s="30"/>
      <c r="C580" s="30"/>
      <c r="D580" s="736"/>
      <c r="E580" s="30"/>
      <c r="F580" s="30"/>
      <c r="G580" s="30"/>
      <c r="H580" s="30"/>
      <c r="I580" s="30"/>
      <c r="J580" s="30"/>
      <c r="K580" s="30"/>
      <c r="L580" s="30"/>
      <c r="M580" s="30"/>
      <c r="N580" s="37"/>
      <c r="O580" s="30"/>
      <c r="P580" s="30"/>
      <c r="Q580" s="30"/>
      <c r="R580" s="30"/>
      <c r="S580" s="736"/>
      <c r="T580" s="30"/>
      <c r="U580" s="30"/>
      <c r="V580" s="30"/>
      <c r="W580" s="30"/>
      <c r="X580" s="30"/>
      <c r="Y580" s="30"/>
      <c r="Z580" s="30"/>
      <c r="AA580" s="30"/>
      <c r="AB580" s="1005"/>
    </row>
    <row r="581" spans="1:28">
      <c r="A581" s="29"/>
      <c r="B581" s="30"/>
      <c r="C581" s="30"/>
      <c r="D581" s="736"/>
      <c r="E581" s="30"/>
      <c r="F581" s="30"/>
      <c r="G581" s="30"/>
      <c r="H581" s="30"/>
      <c r="I581" s="30"/>
      <c r="J581" s="30"/>
      <c r="K581" s="30"/>
      <c r="L581" s="30"/>
      <c r="M581" s="30"/>
      <c r="N581" s="37"/>
      <c r="O581" s="30"/>
      <c r="P581" s="30"/>
      <c r="Q581" s="30"/>
      <c r="R581" s="30"/>
      <c r="S581" s="736"/>
      <c r="T581" s="30"/>
      <c r="U581" s="30"/>
      <c r="V581" s="30"/>
      <c r="W581" s="30"/>
      <c r="X581" s="30"/>
      <c r="Y581" s="30"/>
      <c r="Z581" s="30"/>
      <c r="AA581" s="30"/>
      <c r="AB581" s="1005"/>
    </row>
    <row r="582" spans="1:28">
      <c r="A582" s="29"/>
      <c r="B582" s="30"/>
      <c r="C582" s="30"/>
      <c r="D582" s="736"/>
      <c r="E582" s="30"/>
      <c r="F582" s="30"/>
      <c r="G582" s="30"/>
      <c r="H582" s="30"/>
      <c r="I582" s="30"/>
      <c r="J582" s="30"/>
      <c r="K582" s="30"/>
      <c r="L582" s="30"/>
      <c r="M582" s="30"/>
      <c r="N582" s="37"/>
      <c r="O582" s="30"/>
      <c r="P582" s="30"/>
      <c r="Q582" s="30"/>
      <c r="R582" s="30"/>
      <c r="S582" s="736"/>
      <c r="T582" s="30"/>
      <c r="U582" s="30"/>
      <c r="V582" s="30"/>
      <c r="W582" s="30"/>
      <c r="X582" s="30"/>
      <c r="Y582" s="30"/>
      <c r="Z582" s="30"/>
      <c r="AA582" s="30"/>
      <c r="AB582" s="1005"/>
    </row>
    <row r="583" spans="1:28">
      <c r="A583" s="29"/>
      <c r="B583" s="30"/>
      <c r="C583" s="30"/>
      <c r="D583" s="736"/>
      <c r="E583" s="30"/>
      <c r="F583" s="30"/>
      <c r="G583" s="30"/>
      <c r="H583" s="30"/>
      <c r="I583" s="30"/>
      <c r="J583" s="30"/>
      <c r="K583" s="30"/>
      <c r="L583" s="30"/>
      <c r="M583" s="30"/>
      <c r="N583" s="37"/>
      <c r="O583" s="30"/>
      <c r="P583" s="30"/>
      <c r="Q583" s="30"/>
      <c r="R583" s="30"/>
      <c r="S583" s="736"/>
      <c r="T583" s="30"/>
      <c r="U583" s="30"/>
      <c r="V583" s="30"/>
      <c r="W583" s="30"/>
      <c r="X583" s="30"/>
      <c r="Y583" s="30"/>
      <c r="Z583" s="30"/>
      <c r="AA583" s="30"/>
      <c r="AB583" s="1005"/>
    </row>
    <row r="584" spans="1:28">
      <c r="A584" s="29"/>
      <c r="B584" s="30"/>
      <c r="C584" s="30"/>
      <c r="D584" s="736"/>
      <c r="E584" s="30"/>
      <c r="F584" s="30"/>
      <c r="G584" s="30"/>
      <c r="H584" s="30"/>
      <c r="I584" s="30"/>
      <c r="J584" s="30"/>
      <c r="K584" s="30"/>
      <c r="L584" s="30"/>
      <c r="M584" s="30"/>
      <c r="N584" s="37"/>
      <c r="O584" s="30"/>
      <c r="P584" s="30"/>
      <c r="Q584" s="30"/>
      <c r="R584" s="30"/>
      <c r="S584" s="736"/>
      <c r="T584" s="30"/>
      <c r="U584" s="30"/>
      <c r="V584" s="30"/>
      <c r="W584" s="30"/>
      <c r="X584" s="30"/>
      <c r="Y584" s="30"/>
      <c r="Z584" s="30"/>
      <c r="AA584" s="30"/>
      <c r="AB584" s="1005"/>
    </row>
    <row r="585" spans="1:28">
      <c r="A585" s="29"/>
      <c r="B585" s="30"/>
      <c r="C585" s="30"/>
      <c r="D585" s="736"/>
      <c r="E585" s="30"/>
      <c r="F585" s="30"/>
      <c r="G585" s="30"/>
      <c r="H585" s="30"/>
      <c r="I585" s="30"/>
      <c r="J585" s="30"/>
      <c r="K585" s="30"/>
      <c r="L585" s="30"/>
      <c r="M585" s="30"/>
      <c r="N585" s="37"/>
      <c r="O585" s="30"/>
      <c r="P585" s="30"/>
      <c r="Q585" s="30"/>
      <c r="R585" s="30"/>
      <c r="S585" s="736"/>
      <c r="T585" s="30"/>
      <c r="U585" s="30"/>
      <c r="V585" s="30"/>
      <c r="W585" s="30"/>
      <c r="X585" s="30"/>
      <c r="Y585" s="30"/>
      <c r="Z585" s="30"/>
      <c r="AA585" s="30"/>
      <c r="AB585" s="1005"/>
    </row>
    <row r="586" spans="1:28">
      <c r="A586" s="29"/>
      <c r="B586" s="30"/>
      <c r="C586" s="30"/>
      <c r="D586" s="736"/>
      <c r="E586" s="30"/>
      <c r="F586" s="30"/>
      <c r="G586" s="30"/>
      <c r="H586" s="30"/>
      <c r="I586" s="30"/>
      <c r="J586" s="30"/>
      <c r="K586" s="30"/>
      <c r="L586" s="30"/>
      <c r="M586" s="30"/>
      <c r="N586" s="37"/>
      <c r="O586" s="30"/>
      <c r="P586" s="30"/>
      <c r="Q586" s="30"/>
      <c r="R586" s="30"/>
      <c r="S586" s="736"/>
      <c r="T586" s="30"/>
      <c r="U586" s="30"/>
      <c r="V586" s="30"/>
      <c r="W586" s="30"/>
      <c r="X586" s="30"/>
      <c r="Y586" s="30"/>
      <c r="Z586" s="30"/>
      <c r="AA586" s="30"/>
      <c r="AB586" s="1005"/>
    </row>
    <row r="587" spans="1:28">
      <c r="A587" s="29"/>
      <c r="B587" s="30"/>
      <c r="C587" s="30"/>
      <c r="D587" s="736"/>
      <c r="E587" s="30"/>
      <c r="F587" s="30"/>
      <c r="G587" s="30"/>
      <c r="H587" s="30"/>
      <c r="I587" s="30"/>
      <c r="J587" s="30"/>
      <c r="K587" s="30"/>
      <c r="L587" s="30"/>
      <c r="M587" s="30"/>
      <c r="N587" s="37"/>
      <c r="O587" s="30"/>
      <c r="P587" s="30"/>
      <c r="Q587" s="30"/>
      <c r="R587" s="30"/>
      <c r="S587" s="736"/>
      <c r="T587" s="30"/>
      <c r="U587" s="30"/>
      <c r="V587" s="30"/>
      <c r="W587" s="30"/>
      <c r="X587" s="30"/>
      <c r="Y587" s="30"/>
      <c r="Z587" s="30"/>
      <c r="AA587" s="30"/>
      <c r="AB587" s="1005"/>
    </row>
    <row r="588" spans="1:28">
      <c r="A588" s="29"/>
      <c r="B588" s="30"/>
      <c r="C588" s="30"/>
      <c r="D588" s="736"/>
      <c r="E588" s="30"/>
      <c r="F588" s="30"/>
      <c r="G588" s="30"/>
      <c r="H588" s="30"/>
      <c r="I588" s="30"/>
      <c r="J588" s="30"/>
      <c r="K588" s="30"/>
      <c r="L588" s="30"/>
      <c r="M588" s="30"/>
      <c r="N588" s="37"/>
      <c r="O588" s="30"/>
      <c r="P588" s="30"/>
      <c r="Q588" s="30"/>
      <c r="R588" s="30"/>
      <c r="S588" s="736"/>
      <c r="T588" s="30"/>
      <c r="U588" s="30"/>
      <c r="V588" s="30"/>
      <c r="W588" s="30"/>
      <c r="X588" s="30"/>
      <c r="Y588" s="30"/>
      <c r="Z588" s="30"/>
      <c r="AA588" s="30"/>
      <c r="AB588" s="1005"/>
    </row>
    <row r="589" spans="1:28">
      <c r="A589" s="29"/>
      <c r="B589" s="30"/>
      <c r="C589" s="30"/>
      <c r="D589" s="736"/>
      <c r="E589" s="30"/>
      <c r="F589" s="30"/>
      <c r="G589" s="30"/>
      <c r="H589" s="30"/>
      <c r="I589" s="30"/>
      <c r="J589" s="30"/>
      <c r="K589" s="30"/>
      <c r="L589" s="30"/>
      <c r="M589" s="30"/>
      <c r="N589" s="37"/>
      <c r="O589" s="30"/>
      <c r="P589" s="30"/>
      <c r="Q589" s="30"/>
      <c r="R589" s="30"/>
      <c r="S589" s="736"/>
      <c r="T589" s="30"/>
      <c r="U589" s="30"/>
      <c r="V589" s="30"/>
      <c r="W589" s="30"/>
      <c r="X589" s="30"/>
      <c r="Y589" s="30"/>
      <c r="Z589" s="30"/>
      <c r="AA589" s="30"/>
      <c r="AB589" s="1005"/>
    </row>
    <row r="590" spans="1:28">
      <c r="A590" s="29"/>
      <c r="B590" s="30"/>
      <c r="C590" s="30"/>
      <c r="D590" s="736"/>
      <c r="E590" s="30"/>
      <c r="F590" s="30"/>
      <c r="G590" s="30"/>
      <c r="H590" s="30"/>
      <c r="I590" s="30"/>
      <c r="J590" s="30"/>
      <c r="K590" s="30"/>
      <c r="L590" s="30"/>
      <c r="M590" s="30"/>
      <c r="N590" s="37"/>
      <c r="O590" s="30"/>
      <c r="P590" s="30"/>
      <c r="Q590" s="30"/>
      <c r="R590" s="30"/>
      <c r="S590" s="736"/>
      <c r="T590" s="30"/>
      <c r="U590" s="30"/>
      <c r="V590" s="30"/>
      <c r="W590" s="30"/>
      <c r="X590" s="30"/>
      <c r="Y590" s="30"/>
      <c r="Z590" s="30"/>
      <c r="AA590" s="30"/>
      <c r="AB590" s="1005"/>
    </row>
    <row r="591" spans="1:28">
      <c r="A591" s="29"/>
      <c r="B591" s="30"/>
      <c r="C591" s="30"/>
      <c r="D591" s="736"/>
      <c r="E591" s="30"/>
      <c r="F591" s="30"/>
      <c r="G591" s="30"/>
      <c r="H591" s="30"/>
      <c r="I591" s="30"/>
      <c r="J591" s="30"/>
      <c r="K591" s="30"/>
      <c r="L591" s="30"/>
      <c r="M591" s="30"/>
      <c r="N591" s="37"/>
      <c r="O591" s="30"/>
      <c r="P591" s="30"/>
      <c r="Q591" s="30"/>
      <c r="R591" s="30"/>
      <c r="S591" s="736"/>
      <c r="T591" s="30"/>
      <c r="U591" s="30"/>
      <c r="V591" s="30"/>
      <c r="W591" s="30"/>
      <c r="X591" s="30"/>
      <c r="Y591" s="30"/>
      <c r="Z591" s="30"/>
      <c r="AA591" s="30"/>
      <c r="AB591" s="1005"/>
    </row>
    <row r="592" spans="1:28">
      <c r="A592" s="29"/>
      <c r="B592" s="30"/>
      <c r="C592" s="30"/>
      <c r="D592" s="736"/>
      <c r="E592" s="30"/>
      <c r="F592" s="30"/>
      <c r="G592" s="30"/>
      <c r="H592" s="30"/>
      <c r="I592" s="30"/>
      <c r="J592" s="30"/>
      <c r="K592" s="30"/>
      <c r="L592" s="30"/>
      <c r="M592" s="30"/>
      <c r="N592" s="37"/>
      <c r="O592" s="30"/>
      <c r="P592" s="30"/>
      <c r="Q592" s="30"/>
      <c r="R592" s="30"/>
      <c r="S592" s="736"/>
      <c r="T592" s="30"/>
      <c r="U592" s="30"/>
      <c r="V592" s="30"/>
      <c r="W592" s="30"/>
      <c r="X592" s="30"/>
      <c r="Y592" s="30"/>
      <c r="Z592" s="30"/>
      <c r="AA592" s="30"/>
      <c r="AB592" s="1005"/>
    </row>
    <row r="593" spans="1:28">
      <c r="A593" s="29"/>
      <c r="B593" s="30"/>
      <c r="C593" s="30"/>
      <c r="D593" s="736"/>
      <c r="E593" s="30"/>
      <c r="F593" s="30"/>
      <c r="G593" s="30"/>
      <c r="H593" s="30"/>
      <c r="I593" s="30"/>
      <c r="J593" s="30"/>
      <c r="K593" s="30"/>
      <c r="L593" s="30"/>
      <c r="M593" s="30"/>
      <c r="N593" s="37"/>
      <c r="O593" s="30"/>
      <c r="P593" s="30"/>
      <c r="Q593" s="30"/>
      <c r="R593" s="30"/>
      <c r="S593" s="736"/>
      <c r="T593" s="30"/>
      <c r="U593" s="30"/>
      <c r="V593" s="30"/>
      <c r="W593" s="30"/>
      <c r="X593" s="30"/>
      <c r="Y593" s="30"/>
      <c r="Z593" s="30"/>
      <c r="AA593" s="30"/>
      <c r="AB593" s="1005"/>
    </row>
    <row r="594" spans="1:28">
      <c r="A594" s="29"/>
      <c r="B594" s="30"/>
      <c r="C594" s="30"/>
      <c r="D594" s="736"/>
      <c r="E594" s="30"/>
      <c r="F594" s="30"/>
      <c r="G594" s="30"/>
      <c r="H594" s="30"/>
      <c r="I594" s="30"/>
      <c r="J594" s="30"/>
      <c r="K594" s="30"/>
      <c r="L594" s="30"/>
      <c r="M594" s="30"/>
      <c r="N594" s="37"/>
      <c r="O594" s="30"/>
      <c r="P594" s="30"/>
      <c r="Q594" s="30"/>
      <c r="R594" s="30"/>
      <c r="S594" s="736"/>
      <c r="T594" s="30"/>
      <c r="U594" s="30"/>
      <c r="V594" s="30"/>
      <c r="W594" s="30"/>
      <c r="X594" s="30"/>
      <c r="Y594" s="30"/>
      <c r="Z594" s="30"/>
      <c r="AA594" s="30"/>
      <c r="AB594" s="1005"/>
    </row>
    <row r="595" spans="1:28">
      <c r="A595" s="29"/>
      <c r="B595" s="30"/>
      <c r="C595" s="30"/>
      <c r="D595" s="736"/>
      <c r="E595" s="30"/>
      <c r="F595" s="30"/>
      <c r="G595" s="30"/>
      <c r="H595" s="30"/>
      <c r="I595" s="30"/>
      <c r="J595" s="30"/>
      <c r="K595" s="30"/>
      <c r="L595" s="30"/>
      <c r="M595" s="30"/>
      <c r="N595" s="37"/>
      <c r="O595" s="30"/>
      <c r="P595" s="30"/>
      <c r="Q595" s="30"/>
      <c r="R595" s="30"/>
      <c r="S595" s="736"/>
      <c r="T595" s="30"/>
      <c r="U595" s="30"/>
      <c r="V595" s="30"/>
      <c r="W595" s="30"/>
      <c r="X595" s="30"/>
      <c r="Y595" s="30"/>
      <c r="Z595" s="30"/>
      <c r="AA595" s="30"/>
      <c r="AB595" s="1005"/>
    </row>
    <row r="596" spans="1:28">
      <c r="A596" s="29"/>
      <c r="B596" s="30"/>
      <c r="C596" s="30"/>
      <c r="D596" s="736"/>
      <c r="E596" s="30"/>
      <c r="F596" s="30"/>
      <c r="G596" s="30"/>
      <c r="H596" s="30"/>
      <c r="I596" s="30"/>
      <c r="J596" s="30"/>
      <c r="K596" s="30"/>
      <c r="L596" s="30"/>
      <c r="M596" s="30"/>
      <c r="N596" s="37"/>
      <c r="O596" s="30"/>
      <c r="P596" s="30"/>
      <c r="Q596" s="30"/>
      <c r="R596" s="30"/>
      <c r="S596" s="736"/>
      <c r="T596" s="30"/>
      <c r="U596" s="30"/>
      <c r="V596" s="30"/>
      <c r="W596" s="30"/>
      <c r="X596" s="30"/>
      <c r="Y596" s="30"/>
      <c r="Z596" s="30"/>
      <c r="AA596" s="30"/>
      <c r="AB596" s="1005"/>
    </row>
    <row r="597" spans="1:28">
      <c r="A597" s="29"/>
      <c r="B597" s="30"/>
      <c r="C597" s="30"/>
      <c r="D597" s="736"/>
      <c r="E597" s="30"/>
      <c r="F597" s="30"/>
      <c r="G597" s="30"/>
      <c r="H597" s="30"/>
      <c r="I597" s="30"/>
      <c r="J597" s="30"/>
      <c r="K597" s="30"/>
      <c r="L597" s="30"/>
      <c r="M597" s="30"/>
      <c r="N597" s="37"/>
      <c r="O597" s="30"/>
      <c r="P597" s="30"/>
      <c r="Q597" s="30"/>
      <c r="R597" s="30"/>
      <c r="S597" s="736"/>
      <c r="T597" s="30"/>
      <c r="U597" s="30"/>
      <c r="V597" s="30"/>
      <c r="W597" s="30"/>
      <c r="X597" s="30"/>
      <c r="Y597" s="30"/>
      <c r="Z597" s="30"/>
      <c r="AA597" s="30"/>
      <c r="AB597" s="1005"/>
    </row>
    <row r="598" spans="1:28">
      <c r="A598" s="29"/>
      <c r="B598" s="30"/>
      <c r="C598" s="30"/>
      <c r="D598" s="736"/>
      <c r="E598" s="30"/>
      <c r="F598" s="30"/>
      <c r="G598" s="30"/>
      <c r="H598" s="30"/>
      <c r="I598" s="30"/>
      <c r="J598" s="30"/>
      <c r="K598" s="30"/>
      <c r="L598" s="30"/>
      <c r="M598" s="30"/>
      <c r="N598" s="37"/>
      <c r="O598" s="30"/>
      <c r="P598" s="30"/>
      <c r="Q598" s="30"/>
      <c r="R598" s="30"/>
      <c r="S598" s="736"/>
      <c r="T598" s="30"/>
      <c r="U598" s="30"/>
      <c r="V598" s="30"/>
      <c r="W598" s="30"/>
      <c r="X598" s="30"/>
      <c r="Y598" s="30"/>
      <c r="Z598" s="30"/>
      <c r="AA598" s="30"/>
      <c r="AB598" s="1005"/>
    </row>
    <row r="599" spans="1:28">
      <c r="A599" s="29"/>
      <c r="B599" s="30"/>
      <c r="C599" s="30"/>
      <c r="D599" s="736"/>
      <c r="E599" s="30"/>
      <c r="F599" s="30"/>
      <c r="G599" s="30"/>
      <c r="H599" s="30"/>
      <c r="I599" s="30"/>
      <c r="J599" s="30"/>
      <c r="K599" s="30"/>
      <c r="L599" s="30"/>
      <c r="M599" s="30"/>
      <c r="N599" s="37"/>
      <c r="O599" s="30"/>
      <c r="P599" s="30"/>
      <c r="Q599" s="30"/>
      <c r="R599" s="30"/>
      <c r="S599" s="736"/>
      <c r="T599" s="30"/>
      <c r="U599" s="30"/>
      <c r="V599" s="30"/>
      <c r="W599" s="30"/>
      <c r="X599" s="30"/>
      <c r="Y599" s="30"/>
      <c r="Z599" s="30"/>
      <c r="AA599" s="30"/>
      <c r="AB599" s="1005"/>
    </row>
    <row r="600" spans="1:28">
      <c r="A600" s="29"/>
      <c r="B600" s="30"/>
      <c r="C600" s="30"/>
      <c r="D600" s="736"/>
      <c r="E600" s="30"/>
      <c r="F600" s="30"/>
      <c r="G600" s="30"/>
      <c r="H600" s="30"/>
      <c r="I600" s="30"/>
      <c r="J600" s="30"/>
      <c r="K600" s="30"/>
      <c r="L600" s="30"/>
      <c r="M600" s="30"/>
      <c r="N600" s="37"/>
      <c r="O600" s="30"/>
      <c r="P600" s="30"/>
      <c r="Q600" s="30"/>
      <c r="R600" s="30"/>
      <c r="S600" s="736"/>
      <c r="T600" s="30"/>
      <c r="U600" s="30"/>
      <c r="V600" s="30"/>
      <c r="W600" s="30"/>
      <c r="X600" s="30"/>
      <c r="Y600" s="30"/>
      <c r="Z600" s="30"/>
      <c r="AA600" s="30"/>
      <c r="AB600" s="1005"/>
    </row>
    <row r="601" spans="1:28">
      <c r="A601" s="29"/>
      <c r="B601" s="30"/>
      <c r="C601" s="30"/>
      <c r="D601" s="736"/>
      <c r="E601" s="30"/>
      <c r="F601" s="30"/>
      <c r="G601" s="30"/>
      <c r="H601" s="30"/>
      <c r="I601" s="30"/>
      <c r="J601" s="30"/>
      <c r="K601" s="30"/>
      <c r="L601" s="30"/>
      <c r="M601" s="30"/>
      <c r="N601" s="37"/>
      <c r="O601" s="30"/>
      <c r="P601" s="30"/>
      <c r="Q601" s="30"/>
      <c r="R601" s="30"/>
      <c r="S601" s="736"/>
      <c r="T601" s="30"/>
      <c r="U601" s="30"/>
      <c r="V601" s="30"/>
      <c r="W601" s="30"/>
      <c r="X601" s="30"/>
      <c r="Y601" s="30"/>
      <c r="Z601" s="30"/>
      <c r="AA601" s="30"/>
      <c r="AB601" s="1005"/>
    </row>
    <row r="602" spans="1:28">
      <c r="A602" s="29"/>
      <c r="B602" s="30"/>
      <c r="C602" s="30"/>
      <c r="D602" s="736"/>
      <c r="E602" s="30"/>
      <c r="F602" s="30"/>
      <c r="G602" s="30"/>
      <c r="H602" s="30"/>
      <c r="I602" s="30"/>
      <c r="J602" s="30"/>
      <c r="K602" s="30"/>
      <c r="L602" s="30"/>
      <c r="M602" s="30"/>
      <c r="N602" s="37"/>
      <c r="O602" s="30"/>
      <c r="P602" s="30"/>
      <c r="Q602" s="30"/>
      <c r="R602" s="30"/>
      <c r="S602" s="736"/>
      <c r="T602" s="30"/>
      <c r="U602" s="30"/>
      <c r="V602" s="30"/>
      <c r="W602" s="30"/>
      <c r="X602" s="30"/>
      <c r="Y602" s="30"/>
      <c r="Z602" s="30"/>
      <c r="AA602" s="30"/>
      <c r="AB602" s="1005"/>
    </row>
    <row r="603" spans="1:28">
      <c r="A603" s="29"/>
      <c r="B603" s="30"/>
      <c r="C603" s="30"/>
      <c r="D603" s="736"/>
      <c r="E603" s="30"/>
      <c r="F603" s="30"/>
      <c r="G603" s="30"/>
      <c r="H603" s="30"/>
      <c r="I603" s="30"/>
      <c r="J603" s="30"/>
      <c r="K603" s="30"/>
      <c r="L603" s="30"/>
      <c r="M603" s="30"/>
      <c r="N603" s="37"/>
      <c r="O603" s="30"/>
      <c r="P603" s="30"/>
      <c r="Q603" s="30"/>
      <c r="R603" s="30"/>
      <c r="S603" s="736"/>
      <c r="T603" s="30"/>
      <c r="U603" s="30"/>
      <c r="V603" s="30"/>
      <c r="W603" s="30"/>
      <c r="X603" s="30"/>
      <c r="Y603" s="30"/>
      <c r="Z603" s="30"/>
      <c r="AA603" s="30"/>
      <c r="AB603" s="1005"/>
    </row>
    <row r="604" spans="1:28">
      <c r="A604" s="29"/>
      <c r="B604" s="30"/>
      <c r="C604" s="30"/>
      <c r="D604" s="736"/>
      <c r="E604" s="30"/>
      <c r="F604" s="30"/>
      <c r="G604" s="30"/>
      <c r="H604" s="30"/>
      <c r="I604" s="30"/>
      <c r="J604" s="30"/>
      <c r="K604" s="30"/>
      <c r="L604" s="30"/>
      <c r="M604" s="30"/>
      <c r="N604" s="37"/>
      <c r="O604" s="30"/>
      <c r="P604" s="30"/>
      <c r="Q604" s="30"/>
      <c r="R604" s="30"/>
      <c r="S604" s="736"/>
      <c r="T604" s="30"/>
      <c r="U604" s="30"/>
      <c r="V604" s="30"/>
      <c r="W604" s="30"/>
      <c r="X604" s="30"/>
      <c r="Y604" s="30"/>
      <c r="Z604" s="30"/>
      <c r="AA604" s="30"/>
      <c r="AB604" s="1005"/>
    </row>
    <row r="605" spans="1:28">
      <c r="A605" s="29"/>
      <c r="B605" s="30"/>
      <c r="C605" s="30"/>
      <c r="D605" s="736"/>
      <c r="E605" s="30"/>
      <c r="F605" s="30"/>
      <c r="G605" s="30"/>
      <c r="H605" s="30"/>
      <c r="I605" s="30"/>
      <c r="J605" s="30"/>
      <c r="K605" s="30"/>
      <c r="L605" s="30"/>
      <c r="M605" s="30"/>
      <c r="N605" s="37"/>
      <c r="O605" s="30"/>
      <c r="P605" s="30"/>
      <c r="Q605" s="30"/>
      <c r="R605" s="30"/>
      <c r="S605" s="736"/>
      <c r="T605" s="30"/>
      <c r="U605" s="30"/>
      <c r="V605" s="30"/>
      <c r="W605" s="30"/>
      <c r="X605" s="30"/>
      <c r="Y605" s="30"/>
      <c r="Z605" s="30"/>
      <c r="AA605" s="30"/>
      <c r="AB605" s="1005"/>
    </row>
    <row r="606" spans="1:28">
      <c r="A606" s="29"/>
      <c r="B606" s="30"/>
      <c r="C606" s="30"/>
      <c r="D606" s="736"/>
      <c r="E606" s="30"/>
      <c r="F606" s="30"/>
      <c r="G606" s="30"/>
      <c r="H606" s="30"/>
      <c r="I606" s="30"/>
      <c r="J606" s="30"/>
      <c r="K606" s="30"/>
      <c r="L606" s="30"/>
      <c r="M606" s="30"/>
      <c r="N606" s="37"/>
      <c r="O606" s="30"/>
      <c r="P606" s="30"/>
      <c r="Q606" s="30"/>
      <c r="R606" s="30"/>
      <c r="S606" s="736"/>
      <c r="T606" s="30"/>
      <c r="U606" s="30"/>
      <c r="V606" s="30"/>
      <c r="W606" s="30"/>
      <c r="X606" s="30"/>
      <c r="Y606" s="30"/>
      <c r="Z606" s="30"/>
      <c r="AA606" s="30"/>
      <c r="AB606" s="1005"/>
    </row>
    <row r="607" spans="1:28">
      <c r="A607" s="29"/>
      <c r="B607" s="30"/>
      <c r="C607" s="30"/>
      <c r="D607" s="736"/>
      <c r="E607" s="30"/>
      <c r="F607" s="30"/>
      <c r="G607" s="30"/>
      <c r="H607" s="30"/>
      <c r="I607" s="30"/>
      <c r="J607" s="30"/>
      <c r="K607" s="30"/>
      <c r="L607" s="30"/>
      <c r="M607" s="30"/>
      <c r="N607" s="37"/>
      <c r="O607" s="30"/>
      <c r="P607" s="30"/>
      <c r="Q607" s="30"/>
      <c r="R607" s="30"/>
      <c r="S607" s="736"/>
      <c r="T607" s="30"/>
      <c r="U607" s="30"/>
      <c r="V607" s="30"/>
      <c r="W607" s="30"/>
      <c r="X607" s="30"/>
      <c r="Y607" s="30"/>
      <c r="Z607" s="30"/>
      <c r="AA607" s="30"/>
      <c r="AB607" s="1005"/>
    </row>
    <row r="608" spans="1:28">
      <c r="A608" s="29"/>
      <c r="B608" s="30"/>
      <c r="C608" s="30"/>
      <c r="D608" s="736"/>
      <c r="E608" s="30"/>
      <c r="F608" s="30"/>
      <c r="G608" s="30"/>
      <c r="H608" s="30"/>
      <c r="I608" s="30"/>
      <c r="J608" s="30"/>
      <c r="K608" s="30"/>
      <c r="L608" s="30"/>
      <c r="M608" s="30"/>
      <c r="N608" s="37"/>
      <c r="O608" s="30"/>
      <c r="P608" s="30"/>
      <c r="Q608" s="30"/>
      <c r="R608" s="30"/>
      <c r="S608" s="736"/>
      <c r="T608" s="30"/>
      <c r="U608" s="30"/>
      <c r="V608" s="30"/>
      <c r="W608" s="30"/>
      <c r="X608" s="30"/>
      <c r="Y608" s="30"/>
      <c r="Z608" s="30"/>
      <c r="AA608" s="30"/>
      <c r="AB608" s="1005"/>
    </row>
    <row r="609" spans="1:28">
      <c r="A609" s="29"/>
      <c r="B609" s="30"/>
      <c r="C609" s="30"/>
      <c r="D609" s="736"/>
      <c r="E609" s="30"/>
      <c r="F609" s="30"/>
      <c r="G609" s="30"/>
      <c r="H609" s="30"/>
      <c r="I609" s="30"/>
      <c r="J609" s="30"/>
      <c r="K609" s="30"/>
      <c r="L609" s="30"/>
      <c r="M609" s="30"/>
      <c r="N609" s="37"/>
      <c r="O609" s="30"/>
      <c r="P609" s="30"/>
      <c r="Q609" s="30"/>
      <c r="R609" s="30"/>
      <c r="S609" s="736"/>
      <c r="T609" s="30"/>
      <c r="U609" s="30"/>
      <c r="V609" s="30"/>
      <c r="W609" s="30"/>
      <c r="X609" s="30"/>
      <c r="Y609" s="30"/>
      <c r="Z609" s="30"/>
      <c r="AA609" s="30"/>
      <c r="AB609" s="1005"/>
    </row>
    <row r="610" spans="1:28">
      <c r="A610" s="29"/>
      <c r="B610" s="30"/>
      <c r="C610" s="30"/>
      <c r="D610" s="736"/>
      <c r="E610" s="30"/>
      <c r="F610" s="30"/>
      <c r="G610" s="30"/>
      <c r="H610" s="30"/>
      <c r="I610" s="30"/>
      <c r="J610" s="30"/>
      <c r="K610" s="30"/>
      <c r="L610" s="30"/>
      <c r="M610" s="30"/>
      <c r="N610" s="37"/>
      <c r="O610" s="30"/>
      <c r="P610" s="30"/>
      <c r="Q610" s="30"/>
      <c r="R610" s="30"/>
      <c r="S610" s="736"/>
      <c r="T610" s="30"/>
      <c r="U610" s="30"/>
      <c r="V610" s="30"/>
      <c r="W610" s="30"/>
      <c r="X610" s="30"/>
      <c r="Y610" s="30"/>
      <c r="Z610" s="30"/>
      <c r="AA610" s="30"/>
      <c r="AB610" s="1005"/>
    </row>
    <row r="611" spans="1:28">
      <c r="A611" s="29"/>
      <c r="B611" s="30"/>
      <c r="C611" s="30"/>
      <c r="D611" s="736"/>
      <c r="E611" s="30"/>
      <c r="F611" s="30"/>
      <c r="G611" s="30"/>
      <c r="H611" s="30"/>
      <c r="I611" s="30"/>
      <c r="J611" s="30"/>
      <c r="K611" s="30"/>
      <c r="L611" s="30"/>
      <c r="M611" s="30"/>
      <c r="N611" s="37"/>
      <c r="O611" s="30"/>
      <c r="P611" s="30"/>
      <c r="Q611" s="30"/>
      <c r="R611" s="30"/>
      <c r="S611" s="736"/>
      <c r="T611" s="30"/>
      <c r="U611" s="30"/>
      <c r="V611" s="30"/>
      <c r="W611" s="30"/>
      <c r="X611" s="30"/>
      <c r="Y611" s="30"/>
      <c r="Z611" s="30"/>
      <c r="AA611" s="30"/>
      <c r="AB611" s="1005"/>
    </row>
    <row r="612" spans="1:28">
      <c r="A612" s="29"/>
      <c r="B612" s="30"/>
      <c r="C612" s="30"/>
      <c r="D612" s="736"/>
      <c r="E612" s="30"/>
      <c r="F612" s="30"/>
      <c r="G612" s="30"/>
      <c r="H612" s="30"/>
      <c r="I612" s="30"/>
      <c r="J612" s="30"/>
      <c r="K612" s="30"/>
      <c r="L612" s="30"/>
      <c r="M612" s="30"/>
      <c r="N612" s="37"/>
      <c r="O612" s="30"/>
      <c r="P612" s="30"/>
      <c r="Q612" s="30"/>
      <c r="R612" s="30"/>
      <c r="S612" s="736"/>
      <c r="T612" s="30"/>
      <c r="U612" s="30"/>
      <c r="V612" s="30"/>
      <c r="W612" s="30"/>
      <c r="X612" s="30"/>
      <c r="Y612" s="30"/>
      <c r="Z612" s="30"/>
      <c r="AA612" s="30"/>
      <c r="AB612" s="1005"/>
    </row>
    <row r="613" spans="1:28">
      <c r="A613" s="29"/>
      <c r="B613" s="30"/>
      <c r="C613" s="30"/>
      <c r="D613" s="736"/>
      <c r="E613" s="30"/>
      <c r="F613" s="30"/>
      <c r="G613" s="30"/>
      <c r="H613" s="30"/>
      <c r="I613" s="30"/>
      <c r="J613" s="30"/>
      <c r="K613" s="30"/>
      <c r="L613" s="30"/>
      <c r="M613" s="30"/>
      <c r="N613" s="37"/>
      <c r="O613" s="30"/>
      <c r="P613" s="30"/>
      <c r="Q613" s="30"/>
      <c r="R613" s="30"/>
      <c r="S613" s="736"/>
      <c r="T613" s="30"/>
      <c r="U613" s="30"/>
      <c r="V613" s="30"/>
      <c r="W613" s="30"/>
      <c r="X613" s="30"/>
      <c r="Y613" s="30"/>
      <c r="Z613" s="30"/>
      <c r="AA613" s="30"/>
      <c r="AB613" s="1005"/>
    </row>
    <row r="614" spans="1:28">
      <c r="A614" s="29"/>
      <c r="B614" s="30"/>
      <c r="C614" s="30"/>
      <c r="D614" s="736"/>
      <c r="E614" s="30"/>
      <c r="F614" s="30"/>
      <c r="G614" s="30"/>
      <c r="H614" s="30"/>
      <c r="I614" s="30"/>
      <c r="J614" s="30"/>
      <c r="K614" s="30"/>
      <c r="L614" s="30"/>
      <c r="M614" s="30"/>
      <c r="N614" s="37"/>
      <c r="O614" s="30"/>
      <c r="P614" s="30"/>
      <c r="Q614" s="30"/>
      <c r="R614" s="30"/>
      <c r="S614" s="736"/>
      <c r="T614" s="30"/>
      <c r="U614" s="30"/>
      <c r="V614" s="30"/>
      <c r="W614" s="30"/>
      <c r="X614" s="30"/>
      <c r="Y614" s="30"/>
      <c r="Z614" s="30"/>
      <c r="AA614" s="30"/>
      <c r="AB614" s="1005"/>
    </row>
    <row r="615" spans="1:28">
      <c r="A615" s="29"/>
      <c r="B615" s="30"/>
      <c r="C615" s="30"/>
      <c r="D615" s="736"/>
      <c r="E615" s="30"/>
      <c r="F615" s="30"/>
      <c r="G615" s="30"/>
      <c r="H615" s="30"/>
      <c r="I615" s="30"/>
      <c r="J615" s="30"/>
      <c r="K615" s="30"/>
      <c r="L615" s="30"/>
      <c r="M615" s="30"/>
      <c r="N615" s="37"/>
      <c r="O615" s="30"/>
      <c r="P615" s="30"/>
      <c r="Q615" s="30"/>
      <c r="R615" s="30"/>
      <c r="S615" s="736"/>
      <c r="T615" s="30"/>
      <c r="U615" s="30"/>
      <c r="V615" s="30"/>
      <c r="W615" s="30"/>
      <c r="X615" s="30"/>
      <c r="Y615" s="30"/>
      <c r="Z615" s="30"/>
      <c r="AA615" s="30"/>
      <c r="AB615" s="1005"/>
    </row>
    <row r="616" spans="1:28">
      <c r="A616" s="29"/>
      <c r="B616" s="30"/>
      <c r="C616" s="30"/>
      <c r="D616" s="736"/>
      <c r="E616" s="30"/>
      <c r="F616" s="30"/>
      <c r="G616" s="30"/>
      <c r="H616" s="30"/>
      <c r="I616" s="30"/>
      <c r="J616" s="30"/>
      <c r="K616" s="30"/>
      <c r="L616" s="30"/>
      <c r="M616" s="30"/>
      <c r="N616" s="37"/>
      <c r="O616" s="30"/>
      <c r="P616" s="30"/>
      <c r="Q616" s="30"/>
      <c r="R616" s="30"/>
      <c r="S616" s="736"/>
      <c r="T616" s="30"/>
      <c r="U616" s="30"/>
      <c r="V616" s="30"/>
      <c r="W616" s="30"/>
      <c r="X616" s="30"/>
      <c r="Y616" s="30"/>
      <c r="Z616" s="30"/>
      <c r="AA616" s="30"/>
      <c r="AB616" s="1005"/>
    </row>
    <row r="617" spans="1:28">
      <c r="A617" s="29"/>
      <c r="B617" s="30"/>
      <c r="C617" s="30"/>
      <c r="D617" s="736"/>
      <c r="E617" s="30"/>
      <c r="F617" s="30"/>
      <c r="G617" s="30"/>
      <c r="H617" s="30"/>
      <c r="I617" s="30"/>
      <c r="J617" s="30"/>
      <c r="K617" s="30"/>
      <c r="L617" s="30"/>
      <c r="M617" s="30"/>
      <c r="N617" s="37"/>
      <c r="O617" s="30"/>
      <c r="P617" s="30"/>
      <c r="Q617" s="30"/>
      <c r="R617" s="30"/>
      <c r="S617" s="736"/>
      <c r="T617" s="30"/>
      <c r="U617" s="30"/>
      <c r="V617" s="30"/>
      <c r="W617" s="30"/>
      <c r="X617" s="30"/>
      <c r="Y617" s="30"/>
      <c r="Z617" s="30"/>
      <c r="AA617" s="30"/>
      <c r="AB617" s="1005"/>
    </row>
    <row r="618" spans="1:28">
      <c r="A618" s="29"/>
      <c r="B618" s="30"/>
      <c r="C618" s="30"/>
      <c r="D618" s="736"/>
      <c r="E618" s="30"/>
      <c r="F618" s="30"/>
      <c r="G618" s="30"/>
      <c r="H618" s="30"/>
      <c r="I618" s="30"/>
      <c r="J618" s="30"/>
      <c r="K618" s="30"/>
      <c r="L618" s="30"/>
      <c r="M618" s="30"/>
      <c r="N618" s="37"/>
      <c r="O618" s="30"/>
      <c r="P618" s="30"/>
      <c r="Q618" s="30"/>
      <c r="R618" s="30"/>
      <c r="S618" s="736"/>
      <c r="T618" s="30"/>
      <c r="U618" s="30"/>
      <c r="V618" s="30"/>
      <c r="W618" s="30"/>
      <c r="X618" s="30"/>
      <c r="Y618" s="30"/>
      <c r="Z618" s="30"/>
      <c r="AA618" s="30"/>
      <c r="AB618" s="1005"/>
    </row>
    <row r="619" spans="1:28">
      <c r="A619" s="29"/>
      <c r="B619" s="30"/>
      <c r="C619" s="30"/>
      <c r="D619" s="736"/>
      <c r="E619" s="30"/>
      <c r="F619" s="30"/>
      <c r="G619" s="30"/>
      <c r="H619" s="30"/>
      <c r="I619" s="30"/>
      <c r="J619" s="30"/>
      <c r="K619" s="30"/>
      <c r="L619" s="30"/>
      <c r="M619" s="30"/>
      <c r="N619" s="37"/>
      <c r="O619" s="30"/>
      <c r="P619" s="30"/>
      <c r="Q619" s="30"/>
      <c r="R619" s="30"/>
      <c r="S619" s="736"/>
      <c r="T619" s="30"/>
      <c r="U619" s="30"/>
      <c r="V619" s="30"/>
      <c r="W619" s="30"/>
      <c r="X619" s="30"/>
      <c r="Y619" s="30"/>
      <c r="Z619" s="30"/>
      <c r="AA619" s="30"/>
      <c r="AB619" s="1005"/>
    </row>
    <row r="620" spans="1:28">
      <c r="A620" s="29"/>
      <c r="B620" s="30"/>
      <c r="C620" s="30"/>
      <c r="D620" s="736"/>
      <c r="E620" s="30"/>
      <c r="F620" s="30"/>
      <c r="G620" s="30"/>
      <c r="H620" s="30"/>
      <c r="I620" s="30"/>
      <c r="J620" s="30"/>
      <c r="K620" s="30"/>
      <c r="L620" s="30"/>
      <c r="M620" s="30"/>
      <c r="N620" s="37"/>
      <c r="O620" s="30"/>
      <c r="P620" s="30"/>
      <c r="Q620" s="30"/>
      <c r="R620" s="30"/>
      <c r="S620" s="736"/>
      <c r="T620" s="30"/>
      <c r="U620" s="30"/>
      <c r="V620" s="30"/>
      <c r="W620" s="30"/>
      <c r="X620" s="30"/>
      <c r="Y620" s="30"/>
      <c r="Z620" s="30"/>
      <c r="AA620" s="30"/>
      <c r="AB620" s="1005"/>
    </row>
    <row r="621" spans="1:28">
      <c r="A621" s="29"/>
      <c r="B621" s="30"/>
      <c r="C621" s="30"/>
      <c r="D621" s="736"/>
      <c r="E621" s="30"/>
      <c r="F621" s="30"/>
      <c r="G621" s="30"/>
      <c r="H621" s="30"/>
      <c r="I621" s="30"/>
      <c r="J621" s="30"/>
      <c r="K621" s="30"/>
      <c r="L621" s="30"/>
      <c r="M621" s="30"/>
      <c r="N621" s="37"/>
      <c r="O621" s="30"/>
      <c r="P621" s="30"/>
      <c r="Q621" s="30"/>
      <c r="R621" s="30"/>
      <c r="S621" s="736"/>
      <c r="T621" s="30"/>
      <c r="U621" s="30"/>
      <c r="V621" s="30"/>
      <c r="W621" s="30"/>
      <c r="X621" s="30"/>
      <c r="Y621" s="30"/>
      <c r="Z621" s="30"/>
      <c r="AA621" s="30"/>
      <c r="AB621" s="1005"/>
    </row>
    <row r="622" spans="1:28">
      <c r="A622" s="29"/>
      <c r="B622" s="30"/>
      <c r="C622" s="30"/>
      <c r="D622" s="736"/>
      <c r="E622" s="30"/>
      <c r="F622" s="30"/>
      <c r="G622" s="30"/>
      <c r="H622" s="30"/>
      <c r="I622" s="30"/>
      <c r="J622" s="30"/>
      <c r="K622" s="30"/>
      <c r="L622" s="30"/>
      <c r="M622" s="30"/>
      <c r="N622" s="37"/>
      <c r="O622" s="30"/>
      <c r="P622" s="30"/>
      <c r="Q622" s="30"/>
      <c r="R622" s="30"/>
      <c r="S622" s="736"/>
      <c r="T622" s="30"/>
      <c r="U622" s="30"/>
      <c r="V622" s="30"/>
      <c r="W622" s="30"/>
      <c r="X622" s="30"/>
      <c r="Y622" s="30"/>
      <c r="Z622" s="30"/>
      <c r="AA622" s="30"/>
      <c r="AB622" s="1005"/>
    </row>
    <row r="623" spans="1:28">
      <c r="A623" s="29"/>
      <c r="B623" s="30"/>
      <c r="C623" s="30"/>
      <c r="D623" s="736"/>
      <c r="E623" s="30"/>
      <c r="F623" s="30"/>
      <c r="G623" s="30"/>
      <c r="H623" s="30"/>
      <c r="I623" s="30"/>
      <c r="J623" s="30"/>
      <c r="K623" s="30"/>
      <c r="L623" s="30"/>
      <c r="M623" s="30"/>
      <c r="N623" s="37"/>
      <c r="O623" s="30"/>
      <c r="P623" s="30"/>
      <c r="Q623" s="30"/>
      <c r="R623" s="30"/>
      <c r="S623" s="736"/>
      <c r="T623" s="30"/>
      <c r="U623" s="30"/>
      <c r="V623" s="30"/>
      <c r="W623" s="30"/>
      <c r="X623" s="30"/>
      <c r="Y623" s="30"/>
      <c r="Z623" s="30"/>
      <c r="AA623" s="30"/>
      <c r="AB623" s="1005"/>
    </row>
    <row r="624" spans="1:28">
      <c r="A624" s="29"/>
      <c r="B624" s="30"/>
      <c r="C624" s="30"/>
      <c r="D624" s="736"/>
      <c r="E624" s="30"/>
      <c r="F624" s="30"/>
      <c r="G624" s="30"/>
      <c r="H624" s="30"/>
      <c r="I624" s="30"/>
      <c r="J624" s="30"/>
      <c r="K624" s="30"/>
      <c r="L624" s="30"/>
      <c r="M624" s="30"/>
      <c r="N624" s="37"/>
      <c r="O624" s="30"/>
      <c r="P624" s="30"/>
      <c r="Q624" s="30"/>
      <c r="R624" s="30"/>
      <c r="S624" s="736"/>
      <c r="T624" s="30"/>
      <c r="U624" s="30"/>
      <c r="V624" s="30"/>
      <c r="W624" s="30"/>
      <c r="X624" s="30"/>
      <c r="Y624" s="30"/>
      <c r="Z624" s="30"/>
      <c r="AA624" s="30"/>
      <c r="AB624" s="1005"/>
    </row>
    <row r="625" spans="1:28">
      <c r="A625" s="29"/>
      <c r="B625" s="30"/>
      <c r="C625" s="30"/>
      <c r="D625" s="736"/>
      <c r="E625" s="30"/>
      <c r="F625" s="30"/>
      <c r="G625" s="30"/>
      <c r="H625" s="30"/>
      <c r="I625" s="30"/>
      <c r="J625" s="30"/>
      <c r="K625" s="30"/>
      <c r="L625" s="30"/>
      <c r="M625" s="30"/>
      <c r="N625" s="37"/>
      <c r="O625" s="30"/>
      <c r="P625" s="30"/>
      <c r="Q625" s="30"/>
      <c r="R625" s="30"/>
      <c r="S625" s="736"/>
      <c r="T625" s="30"/>
      <c r="U625" s="30"/>
      <c r="V625" s="30"/>
      <c r="W625" s="30"/>
      <c r="X625" s="30"/>
      <c r="Y625" s="30"/>
      <c r="Z625" s="30"/>
      <c r="AA625" s="30"/>
      <c r="AB625" s="1005"/>
    </row>
    <row r="626" spans="1:28">
      <c r="A626" s="29"/>
      <c r="B626" s="30"/>
      <c r="C626" s="30"/>
      <c r="D626" s="736"/>
      <c r="E626" s="30"/>
      <c r="F626" s="30"/>
      <c r="G626" s="30"/>
      <c r="H626" s="30"/>
      <c r="I626" s="30"/>
      <c r="J626" s="30"/>
      <c r="K626" s="30"/>
      <c r="L626" s="30"/>
      <c r="M626" s="30"/>
      <c r="N626" s="37"/>
      <c r="O626" s="30"/>
      <c r="P626" s="30"/>
      <c r="Q626" s="30"/>
      <c r="R626" s="30"/>
      <c r="S626" s="736"/>
      <c r="T626" s="30"/>
      <c r="U626" s="30"/>
      <c r="V626" s="30"/>
      <c r="W626" s="30"/>
      <c r="X626" s="30"/>
      <c r="Y626" s="30"/>
      <c r="Z626" s="30"/>
      <c r="AA626" s="30"/>
      <c r="AB626" s="1005"/>
    </row>
    <row r="627" spans="1:28">
      <c r="A627" s="29"/>
      <c r="B627" s="30"/>
      <c r="C627" s="30"/>
      <c r="D627" s="736"/>
      <c r="E627" s="30"/>
      <c r="F627" s="30"/>
      <c r="G627" s="30"/>
      <c r="H627" s="30"/>
      <c r="I627" s="30"/>
      <c r="J627" s="30"/>
      <c r="K627" s="30"/>
      <c r="L627" s="30"/>
      <c r="M627" s="30"/>
      <c r="N627" s="37"/>
      <c r="O627" s="30"/>
      <c r="P627" s="30"/>
      <c r="Q627" s="30"/>
      <c r="R627" s="30"/>
      <c r="S627" s="736"/>
      <c r="T627" s="30"/>
      <c r="U627" s="30"/>
      <c r="V627" s="30"/>
      <c r="W627" s="30"/>
      <c r="X627" s="30"/>
      <c r="Y627" s="30"/>
      <c r="Z627" s="30"/>
      <c r="AA627" s="30"/>
      <c r="AB627" s="1005"/>
    </row>
    <row r="628" spans="1:28">
      <c r="A628" s="29"/>
      <c r="B628" s="30"/>
      <c r="C628" s="30"/>
      <c r="D628" s="736"/>
      <c r="E628" s="30"/>
      <c r="F628" s="30"/>
      <c r="G628" s="30"/>
      <c r="H628" s="30"/>
      <c r="I628" s="30"/>
      <c r="J628" s="30"/>
      <c r="K628" s="30"/>
      <c r="L628" s="30"/>
      <c r="M628" s="30"/>
      <c r="N628" s="37"/>
      <c r="O628" s="30"/>
      <c r="P628" s="30"/>
      <c r="Q628" s="30"/>
      <c r="R628" s="30"/>
      <c r="S628" s="736"/>
      <c r="T628" s="30"/>
      <c r="U628" s="30"/>
      <c r="V628" s="30"/>
      <c r="W628" s="30"/>
      <c r="X628" s="30"/>
      <c r="Y628" s="30"/>
      <c r="Z628" s="30"/>
      <c r="AA628" s="30"/>
      <c r="AB628" s="1005"/>
    </row>
    <row r="629" spans="1:28">
      <c r="A629" s="29"/>
      <c r="B629" s="30"/>
      <c r="C629" s="30"/>
      <c r="D629" s="736"/>
      <c r="E629" s="30"/>
      <c r="F629" s="30"/>
      <c r="G629" s="30"/>
      <c r="H629" s="30"/>
      <c r="I629" s="30"/>
      <c r="J629" s="30"/>
      <c r="K629" s="30"/>
      <c r="L629" s="30"/>
      <c r="M629" s="30"/>
      <c r="N629" s="37"/>
      <c r="O629" s="30"/>
      <c r="P629" s="30"/>
      <c r="Q629" s="30"/>
      <c r="R629" s="30"/>
      <c r="S629" s="736"/>
      <c r="T629" s="30"/>
      <c r="U629" s="30"/>
      <c r="V629" s="30"/>
      <c r="W629" s="30"/>
      <c r="X629" s="30"/>
      <c r="Y629" s="30"/>
      <c r="Z629" s="30"/>
      <c r="AA629" s="30"/>
      <c r="AB629" s="1005"/>
    </row>
    <row r="630" spans="1:28">
      <c r="A630" s="29"/>
      <c r="B630" s="30"/>
      <c r="C630" s="30"/>
      <c r="D630" s="736"/>
      <c r="E630" s="30"/>
      <c r="F630" s="30"/>
      <c r="G630" s="30"/>
      <c r="H630" s="30"/>
      <c r="I630" s="30"/>
      <c r="J630" s="30"/>
      <c r="K630" s="30"/>
      <c r="L630" s="30"/>
      <c r="M630" s="30"/>
      <c r="N630" s="37"/>
      <c r="O630" s="30"/>
      <c r="P630" s="30"/>
      <c r="Q630" s="30"/>
      <c r="R630" s="30"/>
      <c r="S630" s="736"/>
      <c r="T630" s="30"/>
      <c r="U630" s="30"/>
      <c r="V630" s="30"/>
      <c r="W630" s="30"/>
      <c r="X630" s="30"/>
      <c r="Y630" s="30"/>
      <c r="Z630" s="30"/>
      <c r="AA630" s="30"/>
      <c r="AB630" s="1005"/>
    </row>
    <row r="631" spans="1:28">
      <c r="A631" s="29"/>
      <c r="B631" s="30"/>
      <c r="C631" s="30"/>
      <c r="D631" s="736"/>
      <c r="E631" s="30"/>
      <c r="F631" s="30"/>
      <c r="G631" s="30"/>
      <c r="H631" s="30"/>
      <c r="I631" s="30"/>
      <c r="J631" s="30"/>
      <c r="K631" s="30"/>
      <c r="L631" s="30"/>
      <c r="M631" s="30"/>
      <c r="N631" s="37"/>
      <c r="O631" s="30"/>
      <c r="P631" s="30"/>
      <c r="Q631" s="30"/>
      <c r="R631" s="30"/>
      <c r="S631" s="736"/>
      <c r="T631" s="30"/>
      <c r="U631" s="30"/>
      <c r="V631" s="30"/>
      <c r="W631" s="30"/>
      <c r="X631" s="30"/>
      <c r="Y631" s="30"/>
      <c r="Z631" s="30"/>
      <c r="AA631" s="30"/>
      <c r="AB631" s="1005"/>
    </row>
    <row r="632" spans="1:28">
      <c r="A632" s="29"/>
      <c r="B632" s="30"/>
      <c r="C632" s="30"/>
      <c r="D632" s="736"/>
      <c r="E632" s="30"/>
      <c r="F632" s="30"/>
      <c r="G632" s="30"/>
      <c r="H632" s="30"/>
      <c r="I632" s="30"/>
      <c r="J632" s="30"/>
      <c r="K632" s="30"/>
      <c r="L632" s="30"/>
      <c r="M632" s="30"/>
      <c r="N632" s="37"/>
      <c r="O632" s="30"/>
      <c r="P632" s="30"/>
      <c r="Q632" s="30"/>
      <c r="R632" s="30"/>
      <c r="S632" s="736"/>
      <c r="T632" s="30"/>
      <c r="U632" s="30"/>
      <c r="V632" s="30"/>
      <c r="W632" s="30"/>
      <c r="X632" s="30"/>
      <c r="Y632" s="30"/>
      <c r="Z632" s="30"/>
      <c r="AA632" s="30"/>
      <c r="AB632" s="1005"/>
    </row>
    <row r="633" spans="1:28">
      <c r="A633" s="29"/>
      <c r="B633" s="30"/>
      <c r="C633" s="30"/>
      <c r="D633" s="736"/>
      <c r="E633" s="30"/>
      <c r="F633" s="30"/>
      <c r="G633" s="30"/>
      <c r="H633" s="30"/>
      <c r="I633" s="30"/>
      <c r="J633" s="30"/>
      <c r="K633" s="30"/>
      <c r="L633" s="30"/>
      <c r="M633" s="30"/>
      <c r="N633" s="37"/>
      <c r="O633" s="30"/>
      <c r="P633" s="30"/>
      <c r="Q633" s="30"/>
      <c r="R633" s="30"/>
      <c r="S633" s="736"/>
      <c r="T633" s="30"/>
      <c r="U633" s="30"/>
      <c r="V633" s="30"/>
      <c r="W633" s="30"/>
      <c r="X633" s="30"/>
      <c r="Y633" s="30"/>
      <c r="Z633" s="30"/>
      <c r="AA633" s="30"/>
      <c r="AB633" s="1005"/>
    </row>
    <row r="634" spans="1:28">
      <c r="A634" s="29"/>
      <c r="B634" s="30"/>
      <c r="C634" s="30"/>
      <c r="D634" s="736"/>
      <c r="E634" s="30"/>
      <c r="F634" s="30"/>
      <c r="G634" s="30"/>
      <c r="H634" s="30"/>
      <c r="I634" s="30"/>
      <c r="J634" s="30"/>
      <c r="K634" s="30"/>
      <c r="L634" s="30"/>
      <c r="M634" s="30"/>
      <c r="N634" s="37"/>
      <c r="O634" s="30"/>
      <c r="P634" s="30"/>
      <c r="Q634" s="30"/>
      <c r="R634" s="30"/>
      <c r="S634" s="736"/>
      <c r="T634" s="30"/>
      <c r="U634" s="30"/>
      <c r="V634" s="30"/>
      <c r="W634" s="30"/>
      <c r="X634" s="30"/>
      <c r="Y634" s="30"/>
      <c r="Z634" s="30"/>
      <c r="AA634" s="30"/>
      <c r="AB634" s="1005"/>
    </row>
    <row r="635" spans="1:28">
      <c r="A635" s="29"/>
      <c r="B635" s="30"/>
      <c r="C635" s="30"/>
      <c r="D635" s="736"/>
      <c r="E635" s="30"/>
      <c r="F635" s="30"/>
      <c r="G635" s="30"/>
      <c r="H635" s="30"/>
      <c r="I635" s="30"/>
      <c r="J635" s="30"/>
      <c r="K635" s="30"/>
      <c r="L635" s="30"/>
      <c r="M635" s="30"/>
      <c r="N635" s="37"/>
      <c r="O635" s="30"/>
      <c r="P635" s="30"/>
      <c r="Q635" s="30"/>
      <c r="R635" s="30"/>
      <c r="S635" s="736"/>
      <c r="T635" s="30"/>
      <c r="U635" s="30"/>
      <c r="V635" s="30"/>
      <c r="W635" s="30"/>
      <c r="X635" s="30"/>
      <c r="Y635" s="30"/>
      <c r="Z635" s="30"/>
      <c r="AA635" s="30"/>
      <c r="AB635" s="1005"/>
    </row>
    <row r="636" spans="1:28">
      <c r="A636" s="29"/>
      <c r="B636" s="30"/>
      <c r="C636" s="30"/>
      <c r="D636" s="736"/>
      <c r="E636" s="30"/>
      <c r="F636" s="30"/>
      <c r="G636" s="30"/>
      <c r="H636" s="30"/>
      <c r="I636" s="30"/>
      <c r="J636" s="30"/>
      <c r="K636" s="30"/>
      <c r="L636" s="30"/>
      <c r="M636" s="30"/>
      <c r="N636" s="37"/>
      <c r="O636" s="30"/>
      <c r="P636" s="30"/>
      <c r="Q636" s="30"/>
      <c r="R636" s="30"/>
      <c r="S636" s="736"/>
      <c r="T636" s="30"/>
      <c r="U636" s="30"/>
      <c r="V636" s="30"/>
      <c r="W636" s="30"/>
      <c r="X636" s="30"/>
      <c r="Y636" s="30"/>
      <c r="Z636" s="30"/>
      <c r="AA636" s="30"/>
      <c r="AB636" s="1005"/>
    </row>
    <row r="637" spans="1:28">
      <c r="A637" s="29"/>
      <c r="B637" s="30"/>
      <c r="C637" s="30"/>
      <c r="D637" s="736"/>
      <c r="E637" s="30"/>
      <c r="F637" s="30"/>
      <c r="G637" s="30"/>
      <c r="H637" s="30"/>
      <c r="I637" s="30"/>
      <c r="J637" s="30"/>
      <c r="K637" s="30"/>
      <c r="L637" s="30"/>
      <c r="M637" s="30"/>
      <c r="N637" s="37"/>
      <c r="O637" s="30"/>
      <c r="P637" s="30"/>
      <c r="Q637" s="30"/>
      <c r="R637" s="30"/>
      <c r="S637" s="736"/>
      <c r="T637" s="30"/>
      <c r="U637" s="30"/>
      <c r="V637" s="30"/>
      <c r="W637" s="30"/>
      <c r="X637" s="30"/>
      <c r="Y637" s="30"/>
      <c r="Z637" s="30"/>
      <c r="AA637" s="30"/>
      <c r="AB637" s="1005"/>
    </row>
    <row r="638" spans="1:28">
      <c r="A638" s="29"/>
      <c r="B638" s="30"/>
      <c r="C638" s="30"/>
      <c r="D638" s="736"/>
      <c r="E638" s="30"/>
      <c r="F638" s="30"/>
      <c r="G638" s="30"/>
      <c r="H638" s="30"/>
      <c r="I638" s="30"/>
      <c r="J638" s="30"/>
      <c r="K638" s="30"/>
      <c r="L638" s="30"/>
      <c r="M638" s="30"/>
      <c r="N638" s="37"/>
      <c r="O638" s="30"/>
      <c r="P638" s="30"/>
      <c r="Q638" s="30"/>
      <c r="R638" s="30"/>
      <c r="S638" s="736"/>
      <c r="T638" s="30"/>
      <c r="U638" s="30"/>
      <c r="V638" s="30"/>
      <c r="W638" s="30"/>
      <c r="X638" s="30"/>
      <c r="Y638" s="30"/>
      <c r="Z638" s="30"/>
      <c r="AA638" s="30"/>
      <c r="AB638" s="1005"/>
    </row>
    <row r="639" spans="1:28">
      <c r="A639" s="29"/>
      <c r="B639" s="30"/>
      <c r="C639" s="30"/>
      <c r="D639" s="736"/>
      <c r="E639" s="30"/>
      <c r="F639" s="30"/>
      <c r="G639" s="30"/>
      <c r="H639" s="30"/>
      <c r="I639" s="30"/>
      <c r="J639" s="30"/>
      <c r="K639" s="30"/>
      <c r="L639" s="30"/>
      <c r="M639" s="30"/>
      <c r="N639" s="37"/>
      <c r="O639" s="30"/>
      <c r="P639" s="30"/>
      <c r="Q639" s="30"/>
      <c r="R639" s="30"/>
      <c r="S639" s="736"/>
      <c r="T639" s="30"/>
      <c r="U639" s="30"/>
      <c r="V639" s="30"/>
      <c r="W639" s="30"/>
      <c r="X639" s="30"/>
      <c r="Y639" s="30"/>
      <c r="Z639" s="30"/>
      <c r="AA639" s="30"/>
      <c r="AB639" s="1005"/>
    </row>
    <row r="640" spans="1:28">
      <c r="A640" s="29"/>
      <c r="B640" s="30"/>
      <c r="C640" s="30"/>
      <c r="D640" s="736"/>
      <c r="E640" s="30"/>
      <c r="F640" s="30"/>
      <c r="G640" s="30"/>
      <c r="H640" s="30"/>
      <c r="I640" s="30"/>
      <c r="J640" s="30"/>
      <c r="K640" s="30"/>
      <c r="L640" s="30"/>
      <c r="M640" s="30"/>
      <c r="N640" s="37"/>
      <c r="O640" s="30"/>
      <c r="P640" s="30"/>
      <c r="Q640" s="30"/>
      <c r="R640" s="30"/>
      <c r="S640" s="736"/>
      <c r="T640" s="30"/>
      <c r="U640" s="30"/>
      <c r="V640" s="30"/>
      <c r="W640" s="30"/>
      <c r="X640" s="30"/>
      <c r="Y640" s="30"/>
      <c r="Z640" s="30"/>
      <c r="AA640" s="30"/>
      <c r="AB640" s="1005"/>
    </row>
    <row r="641" spans="1:28">
      <c r="A641" s="29"/>
      <c r="B641" s="30"/>
      <c r="C641" s="30"/>
      <c r="D641" s="736"/>
      <c r="E641" s="30"/>
      <c r="F641" s="30"/>
      <c r="G641" s="30"/>
      <c r="H641" s="30"/>
      <c r="I641" s="30"/>
      <c r="J641" s="30"/>
      <c r="K641" s="30"/>
      <c r="L641" s="30"/>
      <c r="M641" s="30"/>
      <c r="N641" s="37"/>
      <c r="O641" s="30"/>
      <c r="P641" s="30"/>
      <c r="Q641" s="30"/>
      <c r="R641" s="30"/>
      <c r="S641" s="736"/>
      <c r="T641" s="30"/>
      <c r="U641" s="30"/>
      <c r="V641" s="30"/>
      <c r="W641" s="30"/>
      <c r="X641" s="30"/>
      <c r="Y641" s="30"/>
      <c r="Z641" s="30"/>
      <c r="AA641" s="30"/>
      <c r="AB641" s="1005"/>
    </row>
    <row r="642" spans="1:28">
      <c r="A642" s="29"/>
      <c r="B642" s="30"/>
      <c r="C642" s="30"/>
      <c r="D642" s="736"/>
      <c r="E642" s="30"/>
      <c r="F642" s="30"/>
      <c r="G642" s="30"/>
      <c r="H642" s="30"/>
      <c r="I642" s="30"/>
      <c r="J642" s="30"/>
      <c r="K642" s="30"/>
      <c r="L642" s="30"/>
      <c r="M642" s="30"/>
      <c r="N642" s="37"/>
      <c r="O642" s="30"/>
      <c r="P642" s="30"/>
      <c r="Q642" s="30"/>
      <c r="R642" s="30"/>
      <c r="S642" s="736"/>
      <c r="T642" s="30"/>
      <c r="U642" s="30"/>
      <c r="V642" s="30"/>
      <c r="W642" s="30"/>
      <c r="X642" s="30"/>
      <c r="Y642" s="30"/>
      <c r="Z642" s="30"/>
      <c r="AA642" s="30"/>
      <c r="AB642" s="1005"/>
    </row>
    <row r="643" spans="1:28">
      <c r="A643" s="29"/>
      <c r="B643" s="30"/>
      <c r="C643" s="30"/>
      <c r="D643" s="736"/>
      <c r="E643" s="30"/>
      <c r="F643" s="30"/>
      <c r="G643" s="30"/>
      <c r="H643" s="30"/>
      <c r="I643" s="30"/>
      <c r="J643" s="30"/>
      <c r="K643" s="30"/>
      <c r="L643" s="30"/>
      <c r="M643" s="30"/>
      <c r="N643" s="37"/>
      <c r="O643" s="30"/>
      <c r="P643" s="30"/>
      <c r="Q643" s="30"/>
      <c r="R643" s="30"/>
      <c r="S643" s="736"/>
      <c r="T643" s="30"/>
      <c r="U643" s="30"/>
      <c r="V643" s="30"/>
      <c r="W643" s="30"/>
      <c r="X643" s="30"/>
      <c r="Y643" s="30"/>
      <c r="Z643" s="30"/>
      <c r="AA643" s="30"/>
      <c r="AB643" s="1005"/>
    </row>
    <row r="644" spans="1:28">
      <c r="A644" s="29"/>
      <c r="B644" s="30"/>
      <c r="C644" s="30"/>
      <c r="D644" s="736"/>
      <c r="E644" s="30"/>
      <c r="F644" s="30"/>
      <c r="G644" s="30"/>
      <c r="H644" s="30"/>
      <c r="I644" s="30"/>
      <c r="J644" s="30"/>
      <c r="K644" s="30"/>
      <c r="L644" s="30"/>
      <c r="M644" s="30"/>
      <c r="N644" s="37"/>
      <c r="O644" s="30"/>
      <c r="P644" s="30"/>
      <c r="Q644" s="30"/>
      <c r="R644" s="30"/>
      <c r="S644" s="736"/>
      <c r="T644" s="30"/>
      <c r="U644" s="30"/>
      <c r="V644" s="30"/>
      <c r="W644" s="30"/>
      <c r="X644" s="30"/>
      <c r="Y644" s="30"/>
      <c r="Z644" s="30"/>
      <c r="AA644" s="30"/>
      <c r="AB644" s="1005"/>
    </row>
    <row r="645" spans="1:28">
      <c r="A645" s="29"/>
      <c r="B645" s="30"/>
      <c r="C645" s="30"/>
      <c r="D645" s="736"/>
      <c r="E645" s="30"/>
      <c r="F645" s="30"/>
      <c r="G645" s="30"/>
      <c r="H645" s="30"/>
      <c r="I645" s="30"/>
      <c r="J645" s="30"/>
      <c r="K645" s="30"/>
      <c r="L645" s="30"/>
      <c r="M645" s="30"/>
      <c r="N645" s="37"/>
      <c r="O645" s="30"/>
      <c r="P645" s="30"/>
      <c r="Q645" s="30"/>
      <c r="R645" s="30"/>
      <c r="S645" s="736"/>
      <c r="T645" s="30"/>
      <c r="U645" s="30"/>
      <c r="V645" s="30"/>
      <c r="W645" s="30"/>
      <c r="X645" s="30"/>
      <c r="Y645" s="30"/>
      <c r="Z645" s="30"/>
      <c r="AA645" s="30"/>
      <c r="AB645" s="1005"/>
    </row>
    <row r="646" spans="1:28">
      <c r="A646" s="29"/>
      <c r="B646" s="30"/>
      <c r="C646" s="30"/>
      <c r="D646" s="736"/>
      <c r="E646" s="30"/>
      <c r="F646" s="30"/>
      <c r="G646" s="30"/>
      <c r="H646" s="30"/>
      <c r="I646" s="30"/>
      <c r="J646" s="30"/>
      <c r="K646" s="30"/>
      <c r="L646" s="30"/>
      <c r="M646" s="30"/>
      <c r="N646" s="37"/>
      <c r="O646" s="30"/>
      <c r="P646" s="30"/>
      <c r="Q646" s="30"/>
      <c r="R646" s="30"/>
      <c r="S646" s="736"/>
      <c r="T646" s="30"/>
      <c r="U646" s="30"/>
      <c r="V646" s="30"/>
      <c r="W646" s="30"/>
      <c r="X646" s="30"/>
      <c r="Y646" s="30"/>
      <c r="Z646" s="30"/>
      <c r="AA646" s="30"/>
      <c r="AB646" s="1005"/>
    </row>
    <row r="647" spans="1:28">
      <c r="A647" s="29"/>
      <c r="B647" s="30"/>
      <c r="C647" s="30"/>
      <c r="D647" s="736"/>
      <c r="E647" s="30"/>
      <c r="F647" s="30"/>
      <c r="G647" s="30"/>
      <c r="H647" s="30"/>
      <c r="I647" s="30"/>
      <c r="J647" s="30"/>
      <c r="K647" s="30"/>
      <c r="L647" s="30"/>
      <c r="M647" s="30"/>
      <c r="N647" s="37"/>
      <c r="O647" s="30"/>
      <c r="P647" s="30"/>
      <c r="Q647" s="30"/>
      <c r="R647" s="30"/>
      <c r="S647" s="736"/>
      <c r="T647" s="30"/>
      <c r="U647" s="30"/>
      <c r="V647" s="30"/>
      <c r="W647" s="30"/>
      <c r="X647" s="30"/>
      <c r="Y647" s="30"/>
      <c r="Z647" s="30"/>
      <c r="AA647" s="30"/>
      <c r="AB647" s="1005"/>
    </row>
    <row r="648" spans="1:28">
      <c r="A648" s="29"/>
      <c r="B648" s="30"/>
      <c r="C648" s="30"/>
      <c r="D648" s="736"/>
      <c r="E648" s="30"/>
      <c r="F648" s="30"/>
      <c r="G648" s="30"/>
      <c r="H648" s="30"/>
      <c r="I648" s="30"/>
      <c r="J648" s="30"/>
      <c r="K648" s="30"/>
      <c r="L648" s="30"/>
      <c r="M648" s="30"/>
      <c r="N648" s="37"/>
      <c r="O648" s="30"/>
      <c r="P648" s="30"/>
      <c r="Q648" s="30"/>
      <c r="R648" s="30"/>
      <c r="S648" s="736"/>
      <c r="T648" s="30"/>
      <c r="U648" s="30"/>
      <c r="V648" s="30"/>
      <c r="W648" s="30"/>
      <c r="X648" s="30"/>
      <c r="Y648" s="30"/>
      <c r="Z648" s="30"/>
      <c r="AA648" s="30"/>
      <c r="AB648" s="1005"/>
    </row>
    <row r="649" spans="1:28">
      <c r="A649" s="29"/>
      <c r="B649" s="30"/>
      <c r="C649" s="30"/>
      <c r="D649" s="736"/>
      <c r="E649" s="30"/>
      <c r="F649" s="30"/>
      <c r="G649" s="30"/>
      <c r="H649" s="30"/>
      <c r="I649" s="30"/>
      <c r="J649" s="30"/>
      <c r="K649" s="30"/>
      <c r="L649" s="30"/>
      <c r="M649" s="30"/>
      <c r="N649" s="37"/>
      <c r="O649" s="30"/>
      <c r="P649" s="30"/>
      <c r="Q649" s="30"/>
      <c r="R649" s="30"/>
      <c r="S649" s="736"/>
      <c r="T649" s="30"/>
      <c r="U649" s="30"/>
      <c r="V649" s="30"/>
      <c r="W649" s="30"/>
      <c r="X649" s="30"/>
      <c r="Y649" s="30"/>
      <c r="Z649" s="30"/>
      <c r="AA649" s="30"/>
      <c r="AB649" s="1005"/>
    </row>
    <row r="650" spans="1:28">
      <c r="A650" s="29"/>
      <c r="B650" s="30"/>
      <c r="C650" s="30"/>
      <c r="D650" s="736"/>
      <c r="E650" s="30"/>
      <c r="F650" s="30"/>
      <c r="G650" s="30"/>
      <c r="H650" s="30"/>
      <c r="I650" s="30"/>
      <c r="J650" s="30"/>
      <c r="K650" s="30"/>
      <c r="L650" s="30"/>
      <c r="M650" s="30"/>
      <c r="N650" s="37"/>
      <c r="O650" s="30"/>
      <c r="P650" s="30"/>
      <c r="Q650" s="30"/>
      <c r="R650" s="30"/>
      <c r="S650" s="736"/>
      <c r="T650" s="30"/>
      <c r="U650" s="30"/>
      <c r="V650" s="30"/>
      <c r="W650" s="30"/>
      <c r="X650" s="30"/>
      <c r="Y650" s="30"/>
      <c r="Z650" s="30"/>
      <c r="AA650" s="30"/>
      <c r="AB650" s="1005"/>
    </row>
    <row r="651" spans="1:28">
      <c r="A651" s="29"/>
      <c r="B651" s="30"/>
      <c r="C651" s="30"/>
      <c r="D651" s="736"/>
      <c r="E651" s="30"/>
      <c r="F651" s="30"/>
      <c r="G651" s="30"/>
      <c r="H651" s="30"/>
      <c r="I651" s="30"/>
      <c r="J651" s="30"/>
      <c r="K651" s="30"/>
      <c r="L651" s="30"/>
      <c r="M651" s="30"/>
      <c r="N651" s="37"/>
      <c r="O651" s="30"/>
      <c r="P651" s="30"/>
      <c r="Q651" s="30"/>
      <c r="R651" s="30"/>
      <c r="S651" s="736"/>
      <c r="T651" s="30"/>
      <c r="U651" s="30"/>
      <c r="V651" s="30"/>
      <c r="W651" s="30"/>
      <c r="X651" s="30"/>
      <c r="Y651" s="30"/>
      <c r="Z651" s="30"/>
      <c r="AA651" s="30"/>
      <c r="AB651" s="1005"/>
    </row>
    <row r="652" spans="1:28">
      <c r="A652" s="29"/>
      <c r="B652" s="30"/>
      <c r="C652" s="30"/>
      <c r="D652" s="736"/>
      <c r="E652" s="30"/>
      <c r="F652" s="30"/>
      <c r="G652" s="30"/>
      <c r="H652" s="30"/>
      <c r="I652" s="30"/>
      <c r="J652" s="30"/>
      <c r="K652" s="30"/>
      <c r="L652" s="30"/>
      <c r="M652" s="30"/>
      <c r="N652" s="37"/>
      <c r="O652" s="30"/>
      <c r="P652" s="30"/>
      <c r="Q652" s="30"/>
      <c r="R652" s="30"/>
      <c r="S652" s="736"/>
      <c r="T652" s="30"/>
      <c r="U652" s="30"/>
      <c r="V652" s="30"/>
      <c r="W652" s="30"/>
      <c r="X652" s="30"/>
      <c r="Y652" s="30"/>
      <c r="Z652" s="30"/>
      <c r="AA652" s="30"/>
      <c r="AB652" s="1005"/>
    </row>
    <row r="653" spans="1:28">
      <c r="A653" s="29"/>
      <c r="B653" s="30"/>
      <c r="C653" s="30"/>
      <c r="D653" s="736"/>
      <c r="E653" s="30"/>
      <c r="F653" s="30"/>
      <c r="G653" s="30"/>
      <c r="H653" s="30"/>
      <c r="I653" s="30"/>
      <c r="J653" s="30"/>
      <c r="K653" s="30"/>
      <c r="L653" s="30"/>
      <c r="M653" s="30"/>
      <c r="N653" s="37"/>
      <c r="O653" s="30"/>
      <c r="P653" s="30"/>
      <c r="Q653" s="30"/>
      <c r="R653" s="30"/>
      <c r="S653" s="736"/>
      <c r="T653" s="30"/>
      <c r="U653" s="30"/>
      <c r="V653" s="30"/>
      <c r="W653" s="30"/>
      <c r="X653" s="30"/>
      <c r="Y653" s="30"/>
      <c r="Z653" s="30"/>
      <c r="AA653" s="30"/>
      <c r="AB653" s="1005"/>
    </row>
    <row r="654" spans="1:28">
      <c r="A654" s="29"/>
      <c r="B654" s="30"/>
      <c r="C654" s="30"/>
      <c r="D654" s="736"/>
      <c r="E654" s="30"/>
      <c r="F654" s="30"/>
      <c r="G654" s="30"/>
      <c r="H654" s="30"/>
      <c r="I654" s="30"/>
      <c r="J654" s="30"/>
      <c r="K654" s="30"/>
      <c r="L654" s="30"/>
      <c r="M654" s="30"/>
      <c r="N654" s="37"/>
      <c r="O654" s="30"/>
      <c r="P654" s="30"/>
      <c r="Q654" s="30"/>
      <c r="R654" s="30"/>
      <c r="S654" s="736"/>
      <c r="T654" s="30"/>
      <c r="U654" s="30"/>
      <c r="V654" s="30"/>
      <c r="W654" s="30"/>
      <c r="X654" s="30"/>
      <c r="Y654" s="30"/>
      <c r="Z654" s="30"/>
      <c r="AA654" s="30"/>
      <c r="AB654" s="1005"/>
    </row>
    <row r="655" spans="1:28">
      <c r="A655" s="29"/>
      <c r="B655" s="30"/>
      <c r="C655" s="30"/>
      <c r="D655" s="736"/>
      <c r="E655" s="30"/>
      <c r="F655" s="30"/>
      <c r="G655" s="30"/>
      <c r="H655" s="30"/>
      <c r="I655" s="30"/>
      <c r="J655" s="30"/>
      <c r="K655" s="30"/>
      <c r="L655" s="30"/>
      <c r="M655" s="30"/>
      <c r="N655" s="37"/>
      <c r="O655" s="30"/>
      <c r="P655" s="30"/>
      <c r="Q655" s="30"/>
      <c r="R655" s="30"/>
      <c r="S655" s="736"/>
      <c r="T655" s="30"/>
      <c r="U655" s="30"/>
      <c r="V655" s="30"/>
      <c r="W655" s="30"/>
      <c r="X655" s="30"/>
      <c r="Y655" s="30"/>
      <c r="Z655" s="30"/>
      <c r="AA655" s="30"/>
      <c r="AB655" s="1005"/>
    </row>
    <row r="656" spans="1:28">
      <c r="A656" s="29"/>
      <c r="B656" s="30"/>
      <c r="C656" s="30"/>
      <c r="D656" s="736"/>
      <c r="E656" s="30"/>
      <c r="F656" s="30"/>
      <c r="G656" s="30"/>
      <c r="H656" s="30"/>
      <c r="I656" s="30"/>
      <c r="J656" s="30"/>
      <c r="K656" s="30"/>
      <c r="L656" s="30"/>
      <c r="M656" s="30"/>
      <c r="N656" s="37"/>
      <c r="O656" s="30"/>
      <c r="P656" s="30"/>
      <c r="Q656" s="30"/>
      <c r="R656" s="30"/>
      <c r="S656" s="736"/>
      <c r="T656" s="30"/>
      <c r="U656" s="30"/>
      <c r="V656" s="30"/>
      <c r="W656" s="30"/>
      <c r="X656" s="30"/>
      <c r="Y656" s="30"/>
      <c r="Z656" s="30"/>
      <c r="AA656" s="30"/>
      <c r="AB656" s="1005"/>
    </row>
    <row r="657" spans="1:28">
      <c r="A657" s="29"/>
      <c r="B657" s="30"/>
      <c r="C657" s="30"/>
      <c r="D657" s="736"/>
      <c r="E657" s="30"/>
      <c r="F657" s="30"/>
      <c r="G657" s="30"/>
      <c r="H657" s="30"/>
      <c r="I657" s="30"/>
      <c r="J657" s="30"/>
      <c r="K657" s="30"/>
      <c r="L657" s="30"/>
      <c r="M657" s="30"/>
      <c r="N657" s="37"/>
      <c r="O657" s="30"/>
      <c r="P657" s="30"/>
      <c r="Q657" s="30"/>
      <c r="R657" s="30"/>
      <c r="S657" s="736"/>
      <c r="T657" s="30"/>
      <c r="U657" s="30"/>
      <c r="V657" s="30"/>
      <c r="W657" s="30"/>
      <c r="X657" s="30"/>
      <c r="Y657" s="30"/>
      <c r="Z657" s="30"/>
      <c r="AA657" s="30"/>
      <c r="AB657" s="1005"/>
    </row>
    <row r="658" spans="1:28">
      <c r="A658" s="29"/>
      <c r="B658" s="30"/>
      <c r="C658" s="30"/>
      <c r="D658" s="736"/>
      <c r="E658" s="30"/>
      <c r="F658" s="30"/>
      <c r="G658" s="30"/>
      <c r="H658" s="30"/>
      <c r="I658" s="30"/>
      <c r="J658" s="30"/>
      <c r="K658" s="30"/>
      <c r="L658" s="30"/>
      <c r="M658" s="30"/>
      <c r="N658" s="37"/>
      <c r="O658" s="30"/>
      <c r="P658" s="30"/>
      <c r="Q658" s="30"/>
      <c r="R658" s="30"/>
      <c r="S658" s="736"/>
      <c r="T658" s="30"/>
      <c r="U658" s="30"/>
      <c r="V658" s="30"/>
      <c r="W658" s="30"/>
      <c r="X658" s="30"/>
      <c r="Y658" s="30"/>
      <c r="Z658" s="30"/>
      <c r="AA658" s="30"/>
      <c r="AB658" s="1005"/>
    </row>
    <row r="659" spans="1:28">
      <c r="A659" s="29"/>
      <c r="B659" s="30"/>
      <c r="C659" s="30"/>
      <c r="D659" s="736"/>
      <c r="E659" s="30"/>
      <c r="F659" s="30"/>
      <c r="G659" s="30"/>
      <c r="H659" s="30"/>
      <c r="I659" s="30"/>
      <c r="J659" s="30"/>
      <c r="K659" s="30"/>
      <c r="L659" s="30"/>
      <c r="M659" s="30"/>
      <c r="N659" s="37"/>
      <c r="O659" s="30"/>
      <c r="P659" s="30"/>
      <c r="Q659" s="30"/>
      <c r="R659" s="30"/>
      <c r="S659" s="736"/>
      <c r="T659" s="30"/>
      <c r="U659" s="30"/>
      <c r="V659" s="30"/>
      <c r="W659" s="30"/>
      <c r="X659" s="30"/>
      <c r="Y659" s="30"/>
      <c r="Z659" s="30"/>
      <c r="AA659" s="30"/>
      <c r="AB659" s="1005"/>
    </row>
    <row r="660" spans="1:28">
      <c r="A660" s="29"/>
      <c r="B660" s="30"/>
      <c r="C660" s="30"/>
      <c r="D660" s="736"/>
      <c r="E660" s="30"/>
      <c r="F660" s="30"/>
      <c r="G660" s="30"/>
      <c r="H660" s="30"/>
      <c r="I660" s="30"/>
      <c r="J660" s="30"/>
      <c r="K660" s="30"/>
      <c r="L660" s="30"/>
      <c r="M660" s="30"/>
      <c r="N660" s="37"/>
      <c r="O660" s="30"/>
      <c r="P660" s="30"/>
      <c r="Q660" s="30"/>
      <c r="R660" s="30"/>
      <c r="S660" s="736"/>
      <c r="T660" s="30"/>
      <c r="U660" s="30"/>
      <c r="V660" s="30"/>
      <c r="W660" s="30"/>
      <c r="X660" s="30"/>
      <c r="Y660" s="30"/>
      <c r="Z660" s="30"/>
      <c r="AA660" s="30"/>
      <c r="AB660" s="1005"/>
    </row>
    <row r="661" spans="1:28">
      <c r="A661" s="29"/>
      <c r="B661" s="30"/>
      <c r="C661" s="30"/>
      <c r="D661" s="736"/>
      <c r="E661" s="30"/>
      <c r="F661" s="30"/>
      <c r="G661" s="30"/>
      <c r="H661" s="30"/>
      <c r="I661" s="30"/>
      <c r="J661" s="30"/>
      <c r="K661" s="30"/>
      <c r="L661" s="30"/>
      <c r="M661" s="30"/>
      <c r="N661" s="37"/>
      <c r="O661" s="30"/>
      <c r="P661" s="30"/>
      <c r="Q661" s="30"/>
      <c r="R661" s="30"/>
      <c r="S661" s="736"/>
      <c r="T661" s="30"/>
      <c r="U661" s="30"/>
      <c r="V661" s="30"/>
      <c r="W661" s="30"/>
      <c r="X661" s="30"/>
      <c r="Y661" s="30"/>
      <c r="Z661" s="30"/>
      <c r="AA661" s="30"/>
      <c r="AB661" s="1005"/>
    </row>
    <row r="662" spans="1:28">
      <c r="A662" s="29"/>
      <c r="B662" s="30"/>
      <c r="C662" s="30"/>
      <c r="D662" s="736"/>
      <c r="E662" s="30"/>
      <c r="F662" s="30"/>
      <c r="G662" s="30"/>
      <c r="H662" s="30"/>
      <c r="I662" s="30"/>
      <c r="J662" s="30"/>
      <c r="K662" s="30"/>
      <c r="L662" s="30"/>
      <c r="M662" s="30"/>
      <c r="N662" s="37"/>
      <c r="O662" s="30"/>
      <c r="P662" s="30"/>
      <c r="Q662" s="30"/>
      <c r="R662" s="30"/>
      <c r="S662" s="736"/>
      <c r="T662" s="30"/>
      <c r="U662" s="30"/>
      <c r="V662" s="30"/>
      <c r="W662" s="30"/>
      <c r="X662" s="30"/>
      <c r="Y662" s="30"/>
      <c r="Z662" s="30"/>
      <c r="AA662" s="30"/>
      <c r="AB662" s="1005"/>
    </row>
    <row r="663" spans="1:28">
      <c r="A663" s="29"/>
      <c r="B663" s="30"/>
      <c r="C663" s="30"/>
      <c r="D663" s="736"/>
      <c r="E663" s="30"/>
      <c r="F663" s="30"/>
      <c r="G663" s="30"/>
      <c r="H663" s="30"/>
      <c r="I663" s="30"/>
      <c r="J663" s="30"/>
      <c r="K663" s="30"/>
      <c r="L663" s="30"/>
      <c r="M663" s="30"/>
      <c r="N663" s="37"/>
      <c r="O663" s="30"/>
      <c r="P663" s="30"/>
      <c r="Q663" s="30"/>
      <c r="R663" s="30"/>
      <c r="S663" s="736"/>
      <c r="T663" s="30"/>
      <c r="U663" s="30"/>
      <c r="V663" s="30"/>
      <c r="W663" s="30"/>
      <c r="X663" s="30"/>
      <c r="Y663" s="30"/>
      <c r="Z663" s="30"/>
      <c r="AA663" s="30"/>
      <c r="AB663" s="1005"/>
    </row>
    <row r="664" spans="1:28">
      <c r="A664" s="29"/>
      <c r="B664" s="30"/>
      <c r="C664" s="30"/>
      <c r="D664" s="736"/>
      <c r="E664" s="30"/>
      <c r="F664" s="30"/>
      <c r="G664" s="30"/>
      <c r="H664" s="30"/>
      <c r="I664" s="30"/>
      <c r="J664" s="30"/>
      <c r="K664" s="30"/>
      <c r="L664" s="30"/>
      <c r="M664" s="30"/>
      <c r="N664" s="37"/>
      <c r="O664" s="30"/>
      <c r="P664" s="30"/>
      <c r="Q664" s="30"/>
      <c r="R664" s="30"/>
      <c r="S664" s="736"/>
      <c r="T664" s="30"/>
      <c r="U664" s="30"/>
      <c r="V664" s="30"/>
      <c r="W664" s="30"/>
      <c r="X664" s="30"/>
      <c r="Y664" s="30"/>
      <c r="Z664" s="30"/>
      <c r="AA664" s="30"/>
      <c r="AB664" s="1005"/>
    </row>
    <row r="665" spans="1:28">
      <c r="A665" s="29"/>
      <c r="B665" s="30"/>
      <c r="C665" s="30"/>
      <c r="D665" s="736"/>
      <c r="E665" s="30"/>
      <c r="F665" s="30"/>
      <c r="G665" s="30"/>
      <c r="H665" s="30"/>
      <c r="I665" s="30"/>
      <c r="J665" s="30"/>
      <c r="K665" s="30"/>
      <c r="L665" s="30"/>
      <c r="M665" s="30"/>
      <c r="N665" s="37"/>
      <c r="O665" s="30"/>
      <c r="P665" s="30"/>
      <c r="Q665" s="30"/>
      <c r="R665" s="30"/>
      <c r="S665" s="736"/>
      <c r="T665" s="30"/>
      <c r="U665" s="30"/>
      <c r="V665" s="30"/>
      <c r="W665" s="30"/>
      <c r="X665" s="30"/>
      <c r="Y665" s="30"/>
      <c r="Z665" s="30"/>
      <c r="AA665" s="30"/>
      <c r="AB665" s="1005"/>
    </row>
    <row r="666" spans="1:28">
      <c r="A666" s="29"/>
      <c r="B666" s="30"/>
      <c r="C666" s="30"/>
      <c r="D666" s="736"/>
      <c r="E666" s="30"/>
      <c r="F666" s="30"/>
      <c r="G666" s="30"/>
      <c r="H666" s="30"/>
      <c r="I666" s="30"/>
      <c r="J666" s="30"/>
      <c r="K666" s="30"/>
      <c r="L666" s="30"/>
      <c r="M666" s="30"/>
      <c r="N666" s="37"/>
      <c r="O666" s="30"/>
      <c r="P666" s="30"/>
      <c r="Q666" s="30"/>
      <c r="R666" s="30"/>
      <c r="S666" s="736"/>
      <c r="T666" s="30"/>
      <c r="U666" s="30"/>
      <c r="V666" s="30"/>
      <c r="W666" s="30"/>
      <c r="X666" s="30"/>
      <c r="Y666" s="30"/>
      <c r="Z666" s="30"/>
      <c r="AA666" s="30"/>
      <c r="AB666" s="1005"/>
    </row>
    <row r="667" spans="1:28">
      <c r="A667" s="29"/>
      <c r="B667" s="30"/>
      <c r="C667" s="30"/>
      <c r="D667" s="736"/>
      <c r="E667" s="30"/>
      <c r="F667" s="30"/>
      <c r="G667" s="30"/>
      <c r="H667" s="30"/>
      <c r="I667" s="30"/>
      <c r="J667" s="30"/>
      <c r="K667" s="30"/>
      <c r="L667" s="30"/>
      <c r="M667" s="30"/>
      <c r="N667" s="37"/>
      <c r="O667" s="30"/>
      <c r="P667" s="30"/>
      <c r="Q667" s="30"/>
      <c r="R667" s="30"/>
      <c r="S667" s="736"/>
      <c r="T667" s="30"/>
      <c r="U667" s="30"/>
      <c r="V667" s="30"/>
      <c r="W667" s="30"/>
      <c r="X667" s="30"/>
      <c r="Y667" s="30"/>
      <c r="Z667" s="30"/>
      <c r="AA667" s="30"/>
      <c r="AB667" s="1005"/>
    </row>
    <row r="668" spans="1:28">
      <c r="A668" s="29"/>
      <c r="B668" s="30"/>
      <c r="C668" s="30"/>
      <c r="D668" s="736"/>
      <c r="E668" s="30"/>
      <c r="F668" s="30"/>
      <c r="G668" s="30"/>
      <c r="H668" s="30"/>
      <c r="I668" s="30"/>
      <c r="J668" s="30"/>
      <c r="K668" s="30"/>
      <c r="L668" s="30"/>
      <c r="M668" s="30"/>
      <c r="N668" s="37"/>
      <c r="O668" s="30"/>
      <c r="P668" s="30"/>
      <c r="Q668" s="30"/>
      <c r="R668" s="30"/>
      <c r="S668" s="736"/>
      <c r="T668" s="30"/>
      <c r="U668" s="30"/>
      <c r="V668" s="30"/>
      <c r="W668" s="30"/>
      <c r="X668" s="30"/>
      <c r="Y668" s="30"/>
      <c r="Z668" s="30"/>
      <c r="AA668" s="30"/>
      <c r="AB668" s="1005"/>
    </row>
    <row r="669" spans="1:28">
      <c r="A669" s="29"/>
      <c r="B669" s="30"/>
      <c r="C669" s="30"/>
      <c r="D669" s="736"/>
      <c r="E669" s="30"/>
      <c r="F669" s="30"/>
      <c r="G669" s="30"/>
      <c r="H669" s="30"/>
      <c r="I669" s="30"/>
      <c r="J669" s="30"/>
      <c r="K669" s="30"/>
      <c r="L669" s="30"/>
      <c r="M669" s="30"/>
      <c r="N669" s="37"/>
      <c r="O669" s="30"/>
      <c r="P669" s="30"/>
      <c r="Q669" s="30"/>
      <c r="R669" s="30"/>
      <c r="S669" s="736"/>
      <c r="T669" s="30"/>
      <c r="U669" s="30"/>
      <c r="V669" s="30"/>
      <c r="W669" s="30"/>
      <c r="X669" s="30"/>
      <c r="Y669" s="30"/>
      <c r="Z669" s="30"/>
      <c r="AA669" s="30"/>
      <c r="AB669" s="1005"/>
    </row>
    <row r="670" spans="1:28">
      <c r="A670" s="29"/>
      <c r="B670" s="30"/>
      <c r="C670" s="30"/>
      <c r="D670" s="736"/>
      <c r="E670" s="30"/>
      <c r="F670" s="30"/>
      <c r="G670" s="30"/>
      <c r="H670" s="30"/>
      <c r="I670" s="30"/>
      <c r="J670" s="30"/>
      <c r="K670" s="30"/>
      <c r="L670" s="30"/>
      <c r="M670" s="30"/>
      <c r="N670" s="37"/>
      <c r="O670" s="30"/>
      <c r="P670" s="30"/>
      <c r="Q670" s="30"/>
      <c r="R670" s="30"/>
      <c r="S670" s="736"/>
      <c r="T670" s="30"/>
      <c r="U670" s="30"/>
      <c r="V670" s="30"/>
      <c r="W670" s="30"/>
      <c r="X670" s="30"/>
      <c r="Y670" s="30"/>
      <c r="Z670" s="30"/>
      <c r="AA670" s="30"/>
      <c r="AB670" s="1005"/>
    </row>
    <row r="671" spans="1:28">
      <c r="A671" s="29"/>
      <c r="B671" s="30"/>
      <c r="C671" s="30"/>
      <c r="D671" s="736"/>
      <c r="E671" s="30"/>
      <c r="F671" s="30"/>
      <c r="G671" s="30"/>
      <c r="H671" s="30"/>
      <c r="I671" s="30"/>
      <c r="J671" s="30"/>
      <c r="K671" s="30"/>
      <c r="L671" s="30"/>
      <c r="M671" s="30"/>
      <c r="N671" s="37"/>
      <c r="O671" s="30"/>
      <c r="P671" s="30"/>
      <c r="Q671" s="30"/>
      <c r="R671" s="30"/>
      <c r="S671" s="736"/>
      <c r="T671" s="30"/>
      <c r="U671" s="30"/>
      <c r="V671" s="30"/>
      <c r="W671" s="30"/>
      <c r="X671" s="30"/>
      <c r="Y671" s="30"/>
      <c r="Z671" s="30"/>
      <c r="AA671" s="30"/>
      <c r="AB671" s="1005"/>
    </row>
    <row r="672" spans="1:28">
      <c r="A672" s="29"/>
      <c r="B672" s="30"/>
      <c r="C672" s="30"/>
      <c r="D672" s="736"/>
      <c r="E672" s="30"/>
      <c r="F672" s="30"/>
      <c r="G672" s="30"/>
      <c r="H672" s="30"/>
      <c r="I672" s="30"/>
      <c r="J672" s="30"/>
      <c r="K672" s="30"/>
      <c r="L672" s="30"/>
      <c r="M672" s="30"/>
      <c r="N672" s="37"/>
      <c r="O672" s="30"/>
      <c r="P672" s="30"/>
      <c r="Q672" s="30"/>
      <c r="R672" s="30"/>
      <c r="S672" s="736"/>
      <c r="T672" s="30"/>
      <c r="U672" s="30"/>
      <c r="V672" s="30"/>
      <c r="W672" s="30"/>
      <c r="X672" s="30"/>
      <c r="Y672" s="30"/>
      <c r="Z672" s="30"/>
      <c r="AA672" s="30"/>
      <c r="AB672" s="1005"/>
    </row>
    <row r="673" spans="1:28">
      <c r="A673" s="29"/>
      <c r="B673" s="30"/>
      <c r="C673" s="30"/>
      <c r="D673" s="736"/>
      <c r="E673" s="30"/>
      <c r="F673" s="30"/>
      <c r="G673" s="30"/>
      <c r="H673" s="30"/>
      <c r="I673" s="30"/>
      <c r="J673" s="30"/>
      <c r="K673" s="30"/>
      <c r="L673" s="30"/>
      <c r="M673" s="30"/>
      <c r="N673" s="37"/>
      <c r="O673" s="30"/>
      <c r="P673" s="30"/>
      <c r="Q673" s="30"/>
      <c r="R673" s="30"/>
      <c r="S673" s="736"/>
      <c r="T673" s="30"/>
      <c r="U673" s="30"/>
      <c r="V673" s="30"/>
      <c r="W673" s="30"/>
      <c r="X673" s="30"/>
      <c r="Y673" s="30"/>
      <c r="Z673" s="30"/>
      <c r="AA673" s="30"/>
      <c r="AB673" s="1005"/>
    </row>
    <row r="674" spans="1:28">
      <c r="A674" s="29"/>
      <c r="B674" s="30"/>
      <c r="C674" s="30"/>
      <c r="D674" s="736"/>
      <c r="E674" s="30"/>
      <c r="F674" s="30"/>
      <c r="G674" s="30"/>
      <c r="H674" s="30"/>
      <c r="I674" s="30"/>
      <c r="J674" s="30"/>
      <c r="K674" s="30"/>
      <c r="L674" s="30"/>
      <c r="M674" s="30"/>
      <c r="N674" s="37"/>
      <c r="O674" s="30"/>
      <c r="P674" s="30"/>
      <c r="Q674" s="30"/>
      <c r="R674" s="30"/>
      <c r="S674" s="736"/>
      <c r="T674" s="30"/>
      <c r="U674" s="30"/>
      <c r="V674" s="30"/>
      <c r="W674" s="30"/>
      <c r="X674" s="30"/>
      <c r="Y674" s="30"/>
      <c r="Z674" s="30"/>
      <c r="AA674" s="30"/>
      <c r="AB674" s="1005"/>
    </row>
    <row r="675" spans="1:28">
      <c r="A675" s="29"/>
      <c r="B675" s="30"/>
      <c r="C675" s="30"/>
      <c r="D675" s="736"/>
      <c r="E675" s="30"/>
      <c r="F675" s="30"/>
      <c r="G675" s="30"/>
      <c r="H675" s="30"/>
      <c r="I675" s="30"/>
      <c r="J675" s="30"/>
      <c r="K675" s="30"/>
      <c r="L675" s="30"/>
      <c r="M675" s="30"/>
      <c r="N675" s="37"/>
      <c r="O675" s="30"/>
      <c r="P675" s="30"/>
      <c r="Q675" s="30"/>
      <c r="R675" s="30"/>
      <c r="S675" s="736"/>
      <c r="T675" s="30"/>
      <c r="U675" s="30"/>
      <c r="V675" s="30"/>
      <c r="W675" s="30"/>
      <c r="X675" s="30"/>
      <c r="Y675" s="30"/>
      <c r="Z675" s="30"/>
      <c r="AA675" s="30"/>
      <c r="AB675" s="1005"/>
    </row>
    <row r="676" spans="1:28">
      <c r="A676" s="29"/>
      <c r="B676" s="30"/>
      <c r="C676" s="30"/>
      <c r="D676" s="736"/>
      <c r="E676" s="30"/>
      <c r="F676" s="30"/>
      <c r="G676" s="30"/>
      <c r="H676" s="30"/>
      <c r="I676" s="30"/>
      <c r="J676" s="30"/>
      <c r="K676" s="30"/>
      <c r="L676" s="30"/>
      <c r="M676" s="30"/>
      <c r="N676" s="37"/>
      <c r="O676" s="30"/>
      <c r="P676" s="30"/>
      <c r="Q676" s="30"/>
      <c r="R676" s="30"/>
      <c r="S676" s="736"/>
      <c r="T676" s="30"/>
      <c r="U676" s="30"/>
      <c r="V676" s="30"/>
      <c r="W676" s="30"/>
      <c r="X676" s="30"/>
      <c r="Y676" s="30"/>
      <c r="Z676" s="30"/>
      <c r="AA676" s="30"/>
      <c r="AB676" s="1005"/>
    </row>
    <row r="677" spans="1:28">
      <c r="A677" s="29"/>
      <c r="B677" s="30"/>
      <c r="C677" s="30"/>
      <c r="D677" s="736"/>
      <c r="E677" s="30"/>
      <c r="F677" s="30"/>
      <c r="G677" s="30"/>
      <c r="H677" s="30"/>
      <c r="I677" s="30"/>
      <c r="J677" s="30"/>
      <c r="K677" s="30"/>
      <c r="L677" s="30"/>
      <c r="M677" s="30"/>
      <c r="N677" s="37"/>
      <c r="O677" s="30"/>
      <c r="P677" s="30"/>
      <c r="Q677" s="30"/>
      <c r="R677" s="30"/>
      <c r="S677" s="736"/>
      <c r="T677" s="30"/>
      <c r="U677" s="30"/>
      <c r="V677" s="30"/>
      <c r="W677" s="30"/>
      <c r="X677" s="30"/>
      <c r="Y677" s="30"/>
      <c r="Z677" s="30"/>
      <c r="AA677" s="30"/>
      <c r="AB677" s="1005"/>
    </row>
    <row r="678" spans="1:28">
      <c r="A678" s="29"/>
      <c r="B678" s="30"/>
      <c r="C678" s="30"/>
      <c r="D678" s="736"/>
      <c r="E678" s="30"/>
      <c r="F678" s="30"/>
      <c r="G678" s="30"/>
      <c r="H678" s="30"/>
      <c r="I678" s="30"/>
      <c r="J678" s="30"/>
      <c r="K678" s="30"/>
      <c r="L678" s="30"/>
      <c r="M678" s="30"/>
      <c r="N678" s="37"/>
      <c r="O678" s="30"/>
      <c r="P678" s="30"/>
      <c r="Q678" s="30"/>
      <c r="R678" s="30"/>
      <c r="S678" s="736"/>
      <c r="T678" s="30"/>
      <c r="U678" s="30"/>
      <c r="V678" s="30"/>
      <c r="W678" s="30"/>
      <c r="X678" s="30"/>
      <c r="Y678" s="30"/>
      <c r="Z678" s="30"/>
      <c r="AA678" s="30"/>
      <c r="AB678" s="1005"/>
    </row>
    <row r="679" spans="1:28">
      <c r="A679" s="29"/>
      <c r="B679" s="30"/>
      <c r="C679" s="30"/>
      <c r="D679" s="736"/>
      <c r="E679" s="30"/>
      <c r="F679" s="30"/>
      <c r="G679" s="30"/>
      <c r="H679" s="30"/>
      <c r="I679" s="30"/>
      <c r="J679" s="30"/>
      <c r="K679" s="30"/>
      <c r="L679" s="30"/>
      <c r="M679" s="30"/>
      <c r="N679" s="37"/>
      <c r="O679" s="30"/>
      <c r="P679" s="30"/>
      <c r="Q679" s="30"/>
      <c r="R679" s="30"/>
      <c r="S679" s="736"/>
      <c r="T679" s="30"/>
      <c r="U679" s="30"/>
      <c r="V679" s="30"/>
      <c r="W679" s="30"/>
      <c r="X679" s="30"/>
      <c r="Y679" s="30"/>
      <c r="Z679" s="30"/>
      <c r="AA679" s="30"/>
      <c r="AB679" s="1005"/>
    </row>
    <row r="680" spans="1:28">
      <c r="A680" s="29"/>
      <c r="B680" s="30"/>
      <c r="C680" s="30"/>
      <c r="D680" s="736"/>
      <c r="E680" s="30"/>
      <c r="F680" s="30"/>
      <c r="G680" s="30"/>
      <c r="H680" s="30"/>
      <c r="I680" s="30"/>
      <c r="J680" s="30"/>
      <c r="K680" s="30"/>
      <c r="L680" s="30"/>
      <c r="M680" s="30"/>
      <c r="N680" s="37"/>
      <c r="O680" s="30"/>
      <c r="P680" s="30"/>
      <c r="Q680" s="30"/>
      <c r="R680" s="30"/>
      <c r="S680" s="736"/>
      <c r="T680" s="30"/>
      <c r="U680" s="30"/>
      <c r="V680" s="30"/>
      <c r="W680" s="30"/>
      <c r="X680" s="30"/>
      <c r="Y680" s="30"/>
      <c r="Z680" s="30"/>
      <c r="AA680" s="30"/>
      <c r="AB680" s="1005"/>
    </row>
    <row r="681" spans="1:28">
      <c r="A681" s="29"/>
      <c r="B681" s="30"/>
      <c r="C681" s="30"/>
      <c r="D681" s="736"/>
      <c r="E681" s="30"/>
      <c r="F681" s="30"/>
      <c r="G681" s="30"/>
      <c r="H681" s="30"/>
      <c r="I681" s="30"/>
      <c r="J681" s="30"/>
      <c r="K681" s="30"/>
      <c r="L681" s="30"/>
      <c r="M681" s="30"/>
      <c r="N681" s="37"/>
      <c r="O681" s="30"/>
      <c r="P681" s="30"/>
      <c r="Q681" s="30"/>
      <c r="R681" s="30"/>
      <c r="S681" s="736"/>
      <c r="T681" s="30"/>
      <c r="U681" s="30"/>
      <c r="V681" s="30"/>
      <c r="W681" s="30"/>
      <c r="X681" s="30"/>
      <c r="Y681" s="30"/>
      <c r="Z681" s="30"/>
      <c r="AA681" s="30"/>
      <c r="AB681" s="1005"/>
    </row>
    <row r="682" spans="1:28">
      <c r="A682" s="29"/>
      <c r="B682" s="30"/>
      <c r="C682" s="30"/>
      <c r="D682" s="736"/>
      <c r="E682" s="30"/>
      <c r="F682" s="30"/>
      <c r="G682" s="30"/>
      <c r="H682" s="30"/>
      <c r="I682" s="30"/>
      <c r="J682" s="30"/>
      <c r="K682" s="30"/>
      <c r="L682" s="30"/>
      <c r="M682" s="30"/>
      <c r="N682" s="37"/>
      <c r="O682" s="30"/>
      <c r="P682" s="30"/>
      <c r="Q682" s="30"/>
      <c r="R682" s="30"/>
      <c r="S682" s="736"/>
      <c r="T682" s="30"/>
      <c r="U682" s="30"/>
      <c r="V682" s="30"/>
      <c r="W682" s="30"/>
      <c r="X682" s="30"/>
      <c r="Y682" s="30"/>
      <c r="Z682" s="30"/>
      <c r="AA682" s="30"/>
      <c r="AB682" s="1005"/>
    </row>
    <row r="683" spans="1:28">
      <c r="A683" s="29"/>
      <c r="B683" s="30"/>
      <c r="C683" s="30"/>
      <c r="D683" s="736"/>
      <c r="E683" s="30"/>
      <c r="F683" s="30"/>
      <c r="G683" s="30"/>
      <c r="H683" s="30"/>
      <c r="I683" s="30"/>
      <c r="J683" s="30"/>
      <c r="K683" s="30"/>
      <c r="L683" s="30"/>
      <c r="M683" s="30"/>
      <c r="N683" s="37"/>
      <c r="O683" s="30"/>
      <c r="P683" s="30"/>
      <c r="Q683" s="30"/>
      <c r="R683" s="30"/>
      <c r="S683" s="736"/>
      <c r="T683" s="30"/>
      <c r="U683" s="30"/>
      <c r="V683" s="30"/>
      <c r="W683" s="30"/>
      <c r="X683" s="30"/>
      <c r="Y683" s="30"/>
      <c r="Z683" s="30"/>
      <c r="AA683" s="30"/>
      <c r="AB683" s="1005"/>
    </row>
    <row r="684" spans="1:28">
      <c r="A684" s="29"/>
      <c r="B684" s="30"/>
      <c r="C684" s="30"/>
      <c r="D684" s="736"/>
      <c r="E684" s="30"/>
      <c r="F684" s="30"/>
      <c r="G684" s="30"/>
      <c r="H684" s="30"/>
      <c r="I684" s="30"/>
      <c r="J684" s="30"/>
      <c r="K684" s="30"/>
      <c r="L684" s="30"/>
      <c r="M684" s="30"/>
      <c r="N684" s="37"/>
      <c r="O684" s="30"/>
      <c r="P684" s="30"/>
      <c r="Q684" s="30"/>
      <c r="R684" s="30"/>
      <c r="S684" s="736"/>
      <c r="T684" s="30"/>
      <c r="U684" s="30"/>
      <c r="V684" s="30"/>
      <c r="W684" s="30"/>
      <c r="X684" s="30"/>
      <c r="Y684" s="30"/>
      <c r="Z684" s="30"/>
      <c r="AA684" s="30"/>
      <c r="AB684" s="1005"/>
    </row>
    <row r="685" spans="1:28">
      <c r="A685" s="29"/>
      <c r="B685" s="30"/>
      <c r="C685" s="30"/>
      <c r="D685" s="736"/>
      <c r="E685" s="30"/>
      <c r="F685" s="30"/>
      <c r="G685" s="30"/>
      <c r="H685" s="30"/>
      <c r="I685" s="30"/>
      <c r="J685" s="30"/>
      <c r="K685" s="30"/>
      <c r="L685" s="30"/>
      <c r="M685" s="30"/>
      <c r="N685" s="37"/>
      <c r="O685" s="30"/>
      <c r="P685" s="30"/>
      <c r="Q685" s="30"/>
      <c r="R685" s="30"/>
      <c r="S685" s="736"/>
      <c r="T685" s="30"/>
      <c r="U685" s="30"/>
      <c r="V685" s="30"/>
      <c r="W685" s="30"/>
      <c r="X685" s="30"/>
      <c r="Y685" s="30"/>
      <c r="Z685" s="30"/>
      <c r="AA685" s="30"/>
      <c r="AB685" s="1005"/>
    </row>
    <row r="686" spans="1:28">
      <c r="A686" s="29"/>
      <c r="B686" s="30"/>
      <c r="C686" s="30"/>
      <c r="D686" s="736"/>
      <c r="E686" s="30"/>
      <c r="F686" s="30"/>
      <c r="G686" s="30"/>
      <c r="H686" s="30"/>
      <c r="I686" s="30"/>
      <c r="J686" s="30"/>
      <c r="K686" s="30"/>
      <c r="L686" s="30"/>
      <c r="M686" s="30"/>
      <c r="N686" s="37"/>
      <c r="O686" s="30"/>
      <c r="P686" s="30"/>
      <c r="Q686" s="30"/>
      <c r="R686" s="30"/>
      <c r="S686" s="736"/>
      <c r="T686" s="30"/>
      <c r="U686" s="30"/>
      <c r="V686" s="30"/>
      <c r="W686" s="30"/>
      <c r="X686" s="30"/>
      <c r="Y686" s="30"/>
      <c r="Z686" s="30"/>
      <c r="AA686" s="30"/>
      <c r="AB686" s="1005"/>
    </row>
    <row r="687" spans="1:28">
      <c r="A687" s="29"/>
      <c r="B687" s="30"/>
      <c r="C687" s="30"/>
      <c r="D687" s="736"/>
      <c r="E687" s="30"/>
      <c r="F687" s="30"/>
      <c r="G687" s="30"/>
      <c r="H687" s="30"/>
      <c r="I687" s="30"/>
      <c r="J687" s="30"/>
      <c r="K687" s="30"/>
      <c r="L687" s="30"/>
      <c r="M687" s="30"/>
      <c r="N687" s="37"/>
      <c r="O687" s="30"/>
      <c r="P687" s="30"/>
      <c r="Q687" s="30"/>
      <c r="R687" s="30"/>
      <c r="S687" s="736"/>
      <c r="T687" s="30"/>
      <c r="U687" s="30"/>
      <c r="V687" s="30"/>
      <c r="W687" s="30"/>
      <c r="X687" s="30"/>
      <c r="Y687" s="30"/>
      <c r="Z687" s="30"/>
      <c r="AA687" s="30"/>
      <c r="AB687" s="1005"/>
    </row>
    <row r="688" spans="1:28">
      <c r="A688" s="29"/>
      <c r="B688" s="30"/>
      <c r="C688" s="30"/>
      <c r="D688" s="736"/>
      <c r="E688" s="30"/>
      <c r="F688" s="30"/>
      <c r="G688" s="30"/>
      <c r="H688" s="30"/>
      <c r="I688" s="30"/>
      <c r="J688" s="30"/>
      <c r="K688" s="30"/>
      <c r="L688" s="30"/>
      <c r="M688" s="30"/>
      <c r="N688" s="37"/>
      <c r="O688" s="30"/>
      <c r="P688" s="30"/>
      <c r="Q688" s="30"/>
      <c r="R688" s="30"/>
      <c r="S688" s="736"/>
      <c r="T688" s="30"/>
      <c r="U688" s="30"/>
      <c r="V688" s="30"/>
      <c r="W688" s="30"/>
      <c r="X688" s="30"/>
      <c r="Y688" s="30"/>
      <c r="Z688" s="30"/>
      <c r="AA688" s="30"/>
      <c r="AB688" s="1005"/>
    </row>
    <row r="689" spans="1:28">
      <c r="A689" s="29"/>
      <c r="B689" s="30"/>
      <c r="C689" s="30"/>
      <c r="D689" s="736"/>
      <c r="E689" s="30"/>
      <c r="F689" s="30"/>
      <c r="G689" s="30"/>
      <c r="H689" s="30"/>
      <c r="I689" s="30"/>
      <c r="J689" s="30"/>
      <c r="K689" s="30"/>
      <c r="L689" s="30"/>
      <c r="M689" s="30"/>
      <c r="N689" s="37"/>
      <c r="O689" s="30"/>
      <c r="P689" s="30"/>
      <c r="Q689" s="30"/>
      <c r="R689" s="30"/>
      <c r="S689" s="736"/>
      <c r="T689" s="30"/>
      <c r="U689" s="30"/>
      <c r="V689" s="30"/>
      <c r="W689" s="30"/>
      <c r="X689" s="30"/>
      <c r="Y689" s="30"/>
      <c r="Z689" s="30"/>
      <c r="AA689" s="30"/>
      <c r="AB689" s="1005"/>
    </row>
    <row r="690" spans="1:28">
      <c r="A690" s="29"/>
      <c r="B690" s="30"/>
      <c r="C690" s="30"/>
      <c r="D690" s="736"/>
      <c r="E690" s="30"/>
      <c r="F690" s="30"/>
      <c r="G690" s="30"/>
      <c r="H690" s="30"/>
      <c r="I690" s="30"/>
      <c r="J690" s="30"/>
      <c r="K690" s="30"/>
      <c r="L690" s="30"/>
      <c r="M690" s="30"/>
      <c r="N690" s="37"/>
      <c r="O690" s="30"/>
      <c r="P690" s="30"/>
      <c r="Q690" s="30"/>
      <c r="R690" s="30"/>
      <c r="S690" s="736"/>
      <c r="T690" s="30"/>
      <c r="U690" s="30"/>
      <c r="V690" s="30"/>
      <c r="W690" s="30"/>
      <c r="X690" s="30"/>
      <c r="Y690" s="30"/>
      <c r="Z690" s="30"/>
      <c r="AA690" s="30"/>
      <c r="AB690" s="1005"/>
    </row>
    <row r="691" spans="1:28">
      <c r="A691" s="29"/>
      <c r="B691" s="30"/>
      <c r="C691" s="30"/>
      <c r="D691" s="736"/>
      <c r="E691" s="30"/>
      <c r="F691" s="30"/>
      <c r="G691" s="30"/>
      <c r="H691" s="30"/>
      <c r="I691" s="30"/>
      <c r="J691" s="30"/>
      <c r="K691" s="30"/>
      <c r="L691" s="30"/>
      <c r="M691" s="30"/>
      <c r="N691" s="37"/>
      <c r="O691" s="30"/>
      <c r="P691" s="30"/>
      <c r="Q691" s="30"/>
      <c r="R691" s="30"/>
      <c r="S691" s="736"/>
      <c r="T691" s="30"/>
      <c r="U691" s="30"/>
      <c r="V691" s="30"/>
      <c r="W691" s="30"/>
      <c r="X691" s="30"/>
      <c r="Y691" s="30"/>
      <c r="Z691" s="30"/>
      <c r="AA691" s="30"/>
      <c r="AB691" s="1005"/>
    </row>
    <row r="692" spans="1:28">
      <c r="A692" s="29"/>
      <c r="B692" s="30"/>
      <c r="C692" s="30"/>
      <c r="D692" s="736"/>
      <c r="E692" s="30"/>
      <c r="F692" s="30"/>
      <c r="G692" s="30"/>
      <c r="H692" s="30"/>
      <c r="I692" s="30"/>
      <c r="J692" s="30"/>
      <c r="K692" s="30"/>
      <c r="L692" s="30"/>
      <c r="M692" s="30"/>
      <c r="N692" s="37"/>
      <c r="O692" s="30"/>
      <c r="P692" s="30"/>
      <c r="Q692" s="30"/>
      <c r="R692" s="30"/>
      <c r="S692" s="736"/>
      <c r="T692" s="30"/>
      <c r="U692" s="30"/>
      <c r="V692" s="30"/>
      <c r="W692" s="30"/>
      <c r="X692" s="30"/>
      <c r="Y692" s="30"/>
      <c r="Z692" s="30"/>
      <c r="AA692" s="30"/>
      <c r="AB692" s="1005"/>
    </row>
    <row r="693" spans="1:28">
      <c r="A693" s="29"/>
      <c r="B693" s="30"/>
      <c r="C693" s="30"/>
      <c r="D693" s="736"/>
      <c r="E693" s="30"/>
      <c r="F693" s="30"/>
      <c r="G693" s="30"/>
      <c r="H693" s="30"/>
      <c r="I693" s="30"/>
      <c r="J693" s="30"/>
      <c r="K693" s="30"/>
      <c r="L693" s="30"/>
      <c r="M693" s="30"/>
      <c r="N693" s="37"/>
      <c r="O693" s="30"/>
      <c r="P693" s="30"/>
      <c r="Q693" s="30"/>
      <c r="R693" s="30"/>
      <c r="S693" s="736"/>
      <c r="T693" s="30"/>
      <c r="U693" s="30"/>
      <c r="V693" s="30"/>
      <c r="W693" s="30"/>
      <c r="X693" s="30"/>
      <c r="Y693" s="30"/>
      <c r="Z693" s="30"/>
      <c r="AA693" s="30"/>
      <c r="AB693" s="1005"/>
    </row>
    <row r="694" spans="1:28">
      <c r="A694" s="29"/>
      <c r="B694" s="30"/>
      <c r="C694" s="30"/>
      <c r="D694" s="736"/>
      <c r="E694" s="30"/>
      <c r="F694" s="30"/>
      <c r="G694" s="30"/>
      <c r="H694" s="30"/>
      <c r="I694" s="30"/>
      <c r="J694" s="30"/>
      <c r="K694" s="30"/>
      <c r="L694" s="30"/>
      <c r="M694" s="30"/>
      <c r="N694" s="37"/>
      <c r="O694" s="30"/>
      <c r="P694" s="30"/>
      <c r="Q694" s="30"/>
      <c r="R694" s="30"/>
      <c r="S694" s="736"/>
      <c r="T694" s="30"/>
      <c r="U694" s="30"/>
      <c r="V694" s="30"/>
      <c r="W694" s="30"/>
      <c r="X694" s="30"/>
      <c r="Y694" s="30"/>
      <c r="Z694" s="30"/>
      <c r="AA694" s="30"/>
      <c r="AB694" s="1005"/>
    </row>
    <row r="695" spans="1:28">
      <c r="A695" s="29"/>
      <c r="B695" s="30"/>
      <c r="C695" s="30"/>
      <c r="D695" s="736"/>
      <c r="E695" s="30"/>
      <c r="F695" s="30"/>
      <c r="G695" s="30"/>
      <c r="H695" s="30"/>
      <c r="I695" s="30"/>
      <c r="J695" s="30"/>
      <c r="K695" s="30"/>
      <c r="L695" s="30"/>
      <c r="M695" s="30"/>
      <c r="N695" s="37"/>
      <c r="O695" s="30"/>
      <c r="P695" s="30"/>
      <c r="Q695" s="30"/>
      <c r="R695" s="30"/>
      <c r="S695" s="736"/>
      <c r="T695" s="30"/>
      <c r="U695" s="30"/>
      <c r="V695" s="30"/>
      <c r="W695" s="30"/>
      <c r="X695" s="30"/>
      <c r="Y695" s="30"/>
      <c r="Z695" s="30"/>
      <c r="AA695" s="30"/>
      <c r="AB695" s="1005"/>
    </row>
    <row r="696" spans="1:28">
      <c r="A696" s="29"/>
      <c r="B696" s="30"/>
      <c r="C696" s="30"/>
      <c r="D696" s="736"/>
      <c r="E696" s="30"/>
      <c r="F696" s="30"/>
      <c r="G696" s="30"/>
      <c r="H696" s="30"/>
      <c r="I696" s="30"/>
      <c r="J696" s="30"/>
      <c r="K696" s="30"/>
      <c r="L696" s="30"/>
      <c r="M696" s="30"/>
      <c r="N696" s="37"/>
      <c r="O696" s="30"/>
      <c r="P696" s="30"/>
      <c r="Q696" s="30"/>
      <c r="R696" s="30"/>
      <c r="S696" s="736"/>
      <c r="T696" s="30"/>
      <c r="U696" s="30"/>
      <c r="V696" s="30"/>
      <c r="W696" s="30"/>
      <c r="X696" s="30"/>
      <c r="Y696" s="30"/>
      <c r="Z696" s="30"/>
      <c r="AA696" s="30"/>
      <c r="AB696" s="1005"/>
    </row>
    <row r="697" spans="1:28">
      <c r="A697" s="29"/>
      <c r="B697" s="30"/>
      <c r="C697" s="30"/>
      <c r="D697" s="736"/>
      <c r="E697" s="30"/>
      <c r="F697" s="30"/>
      <c r="G697" s="30"/>
      <c r="H697" s="30"/>
      <c r="I697" s="30"/>
      <c r="J697" s="30"/>
      <c r="K697" s="30"/>
      <c r="L697" s="30"/>
      <c r="M697" s="30"/>
      <c r="N697" s="37"/>
      <c r="O697" s="30"/>
      <c r="P697" s="30"/>
      <c r="Q697" s="30"/>
      <c r="R697" s="30"/>
      <c r="S697" s="736"/>
      <c r="T697" s="30"/>
      <c r="U697" s="30"/>
      <c r="V697" s="30"/>
      <c r="W697" s="30"/>
      <c r="X697" s="30"/>
      <c r="Y697" s="30"/>
      <c r="Z697" s="30"/>
      <c r="AA697" s="30"/>
      <c r="AB697" s="1005"/>
    </row>
    <row r="698" spans="1:28">
      <c r="A698" s="29"/>
      <c r="B698" s="30"/>
      <c r="C698" s="30"/>
      <c r="D698" s="736"/>
      <c r="E698" s="30"/>
      <c r="F698" s="30"/>
      <c r="G698" s="30"/>
      <c r="H698" s="30"/>
      <c r="I698" s="30"/>
      <c r="J698" s="30"/>
      <c r="K698" s="30"/>
      <c r="L698" s="30"/>
      <c r="M698" s="30"/>
      <c r="N698" s="37"/>
      <c r="O698" s="30"/>
      <c r="P698" s="30"/>
      <c r="Q698" s="30"/>
      <c r="R698" s="30"/>
      <c r="S698" s="736"/>
      <c r="T698" s="30"/>
      <c r="U698" s="30"/>
      <c r="V698" s="30"/>
      <c r="W698" s="30"/>
      <c r="X698" s="30"/>
      <c r="Y698" s="30"/>
      <c r="Z698" s="30"/>
      <c r="AA698" s="30"/>
      <c r="AB698" s="1005"/>
    </row>
    <row r="699" spans="1:28">
      <c r="A699" s="29"/>
      <c r="B699" s="30"/>
      <c r="C699" s="30"/>
      <c r="D699" s="736"/>
      <c r="E699" s="30"/>
      <c r="F699" s="30"/>
      <c r="G699" s="30"/>
      <c r="H699" s="30"/>
      <c r="I699" s="30"/>
      <c r="J699" s="30"/>
      <c r="K699" s="30"/>
      <c r="L699" s="30"/>
      <c r="M699" s="30"/>
      <c r="N699" s="37"/>
      <c r="O699" s="30"/>
      <c r="P699" s="30"/>
      <c r="Q699" s="30"/>
      <c r="R699" s="30"/>
      <c r="S699" s="736"/>
      <c r="T699" s="30"/>
      <c r="U699" s="30"/>
      <c r="V699" s="30"/>
      <c r="W699" s="30"/>
      <c r="X699" s="30"/>
      <c r="Y699" s="30"/>
      <c r="Z699" s="30"/>
      <c r="AA699" s="30"/>
      <c r="AB699" s="1005"/>
    </row>
    <row r="700" spans="1:28">
      <c r="A700" s="29"/>
      <c r="B700" s="30"/>
      <c r="C700" s="30"/>
      <c r="D700" s="736"/>
      <c r="E700" s="30"/>
      <c r="F700" s="30"/>
      <c r="G700" s="30"/>
      <c r="H700" s="30"/>
      <c r="I700" s="30"/>
      <c r="J700" s="30"/>
      <c r="K700" s="30"/>
      <c r="L700" s="30"/>
      <c r="M700" s="30"/>
      <c r="N700" s="37"/>
      <c r="O700" s="30"/>
      <c r="P700" s="30"/>
      <c r="Q700" s="30"/>
      <c r="R700" s="30"/>
      <c r="S700" s="736"/>
      <c r="T700" s="30"/>
      <c r="U700" s="30"/>
      <c r="V700" s="30"/>
      <c r="W700" s="30"/>
      <c r="X700" s="30"/>
      <c r="Y700" s="30"/>
      <c r="Z700" s="30"/>
      <c r="AA700" s="30"/>
      <c r="AB700" s="1005"/>
    </row>
    <row r="701" spans="1:28">
      <c r="A701" s="29"/>
      <c r="B701" s="30"/>
      <c r="C701" s="30"/>
      <c r="D701" s="736"/>
      <c r="E701" s="30"/>
      <c r="F701" s="30"/>
      <c r="G701" s="30"/>
      <c r="H701" s="30"/>
      <c r="I701" s="30"/>
      <c r="J701" s="30"/>
      <c r="K701" s="30"/>
      <c r="L701" s="30"/>
      <c r="M701" s="30"/>
      <c r="N701" s="37"/>
      <c r="O701" s="30"/>
      <c r="P701" s="30"/>
      <c r="Q701" s="30"/>
      <c r="R701" s="30"/>
      <c r="S701" s="736"/>
      <c r="T701" s="30"/>
      <c r="U701" s="30"/>
      <c r="V701" s="30"/>
      <c r="W701" s="30"/>
      <c r="X701" s="30"/>
      <c r="Y701" s="30"/>
      <c r="Z701" s="30"/>
      <c r="AA701" s="30"/>
      <c r="AB701" s="1005"/>
    </row>
    <row r="702" spans="1:28">
      <c r="A702" s="29"/>
      <c r="B702" s="30"/>
      <c r="C702" s="30"/>
      <c r="D702" s="736"/>
      <c r="E702" s="30"/>
      <c r="F702" s="30"/>
      <c r="G702" s="30"/>
      <c r="H702" s="30"/>
      <c r="I702" s="30"/>
      <c r="J702" s="30"/>
      <c r="K702" s="30"/>
      <c r="L702" s="30"/>
      <c r="M702" s="30"/>
      <c r="N702" s="37"/>
      <c r="O702" s="30"/>
      <c r="P702" s="30"/>
      <c r="Q702" s="30"/>
      <c r="R702" s="30"/>
      <c r="S702" s="736"/>
      <c r="T702" s="30"/>
      <c r="U702" s="30"/>
      <c r="V702" s="30"/>
      <c r="W702" s="30"/>
      <c r="X702" s="30"/>
      <c r="Y702" s="30"/>
      <c r="Z702" s="30"/>
      <c r="AA702" s="30"/>
      <c r="AB702" s="1005"/>
    </row>
    <row r="703" spans="1:28">
      <c r="A703" s="29"/>
      <c r="B703" s="30"/>
      <c r="C703" s="30"/>
      <c r="D703" s="736"/>
      <c r="E703" s="30"/>
      <c r="F703" s="30"/>
      <c r="G703" s="30"/>
      <c r="H703" s="30"/>
      <c r="I703" s="30"/>
      <c r="J703" s="30"/>
      <c r="K703" s="30"/>
      <c r="L703" s="30"/>
      <c r="M703" s="30"/>
      <c r="N703" s="37"/>
      <c r="O703" s="30"/>
      <c r="P703" s="30"/>
      <c r="Q703" s="30"/>
      <c r="R703" s="30"/>
      <c r="S703" s="736"/>
      <c r="T703" s="30"/>
      <c r="U703" s="30"/>
      <c r="V703" s="30"/>
      <c r="W703" s="30"/>
      <c r="X703" s="30"/>
      <c r="Y703" s="30"/>
      <c r="Z703" s="30"/>
      <c r="AA703" s="30"/>
      <c r="AB703" s="1005"/>
    </row>
    <row r="704" spans="1:28">
      <c r="A704" s="29"/>
      <c r="B704" s="30"/>
      <c r="C704" s="30"/>
      <c r="D704" s="736"/>
      <c r="E704" s="30"/>
      <c r="F704" s="30"/>
      <c r="G704" s="30"/>
      <c r="H704" s="30"/>
      <c r="I704" s="30"/>
      <c r="J704" s="30"/>
      <c r="K704" s="30"/>
      <c r="L704" s="30"/>
      <c r="M704" s="30"/>
      <c r="N704" s="37"/>
      <c r="O704" s="30"/>
      <c r="P704" s="30"/>
      <c r="Q704" s="30"/>
      <c r="R704" s="30"/>
      <c r="S704" s="736"/>
      <c r="T704" s="30"/>
      <c r="U704" s="30"/>
      <c r="V704" s="30"/>
      <c r="W704" s="30"/>
      <c r="X704" s="30"/>
      <c r="Y704" s="30"/>
      <c r="Z704" s="30"/>
      <c r="AA704" s="30"/>
      <c r="AB704" s="1005"/>
    </row>
    <row r="705" spans="1:28">
      <c r="A705" s="29"/>
      <c r="B705" s="30"/>
      <c r="C705" s="30"/>
      <c r="D705" s="736"/>
      <c r="E705" s="30"/>
      <c r="F705" s="30"/>
      <c r="G705" s="30"/>
      <c r="H705" s="30"/>
      <c r="I705" s="30"/>
      <c r="J705" s="30"/>
      <c r="K705" s="30"/>
      <c r="L705" s="30"/>
      <c r="M705" s="30"/>
      <c r="N705" s="37"/>
      <c r="O705" s="30"/>
      <c r="P705" s="30"/>
      <c r="Q705" s="30"/>
      <c r="R705" s="30"/>
      <c r="S705" s="736"/>
      <c r="T705" s="30"/>
      <c r="U705" s="30"/>
      <c r="V705" s="30"/>
      <c r="W705" s="30"/>
      <c r="X705" s="30"/>
      <c r="Y705" s="30"/>
      <c r="Z705" s="30"/>
      <c r="AA705" s="30"/>
      <c r="AB705" s="1005"/>
    </row>
    <row r="706" spans="1:28">
      <c r="A706" s="29"/>
      <c r="B706" s="30"/>
      <c r="C706" s="30"/>
      <c r="D706" s="736"/>
      <c r="E706" s="30"/>
      <c r="F706" s="30"/>
      <c r="G706" s="30"/>
      <c r="H706" s="30"/>
      <c r="I706" s="30"/>
      <c r="J706" s="30"/>
      <c r="K706" s="30"/>
      <c r="L706" s="30"/>
      <c r="M706" s="30"/>
      <c r="N706" s="37"/>
      <c r="O706" s="30"/>
      <c r="P706" s="30"/>
      <c r="Q706" s="30"/>
      <c r="R706" s="30"/>
      <c r="S706" s="736"/>
      <c r="T706" s="30"/>
      <c r="U706" s="30"/>
      <c r="V706" s="30"/>
      <c r="W706" s="30"/>
      <c r="X706" s="30"/>
      <c r="Y706" s="30"/>
      <c r="Z706" s="30"/>
      <c r="AA706" s="30"/>
      <c r="AB706" s="1005"/>
    </row>
    <row r="707" spans="1:28">
      <c r="A707" s="29"/>
      <c r="B707" s="30"/>
      <c r="C707" s="30"/>
      <c r="D707" s="736"/>
      <c r="E707" s="30"/>
      <c r="F707" s="30"/>
      <c r="G707" s="30"/>
      <c r="H707" s="30"/>
      <c r="I707" s="30"/>
      <c r="J707" s="30"/>
      <c r="K707" s="30"/>
      <c r="L707" s="30"/>
      <c r="M707" s="30"/>
      <c r="N707" s="37"/>
      <c r="O707" s="30"/>
      <c r="P707" s="30"/>
      <c r="Q707" s="30"/>
      <c r="R707" s="30"/>
      <c r="S707" s="736"/>
      <c r="T707" s="30"/>
      <c r="U707" s="30"/>
      <c r="V707" s="30"/>
      <c r="W707" s="30"/>
      <c r="X707" s="30"/>
      <c r="Y707" s="30"/>
      <c r="Z707" s="30"/>
      <c r="AA707" s="30"/>
      <c r="AB707" s="1005"/>
    </row>
    <row r="708" spans="1:28">
      <c r="A708" s="29"/>
      <c r="B708" s="30"/>
      <c r="C708" s="30"/>
      <c r="D708" s="736"/>
      <c r="E708" s="30"/>
      <c r="F708" s="30"/>
      <c r="G708" s="30"/>
      <c r="H708" s="30"/>
      <c r="I708" s="30"/>
      <c r="J708" s="30"/>
      <c r="K708" s="30"/>
      <c r="L708" s="30"/>
      <c r="M708" s="30"/>
      <c r="N708" s="37"/>
      <c r="O708" s="30"/>
      <c r="P708" s="30"/>
      <c r="Q708" s="30"/>
      <c r="R708" s="30"/>
      <c r="S708" s="736"/>
      <c r="T708" s="30"/>
      <c r="U708" s="30"/>
      <c r="V708" s="30"/>
      <c r="W708" s="30"/>
      <c r="X708" s="30"/>
      <c r="Y708" s="30"/>
      <c r="Z708" s="30"/>
      <c r="AA708" s="30"/>
      <c r="AB708" s="1005"/>
    </row>
    <row r="709" spans="1:28">
      <c r="A709" s="29"/>
      <c r="B709" s="30"/>
      <c r="C709" s="30"/>
      <c r="D709" s="736"/>
      <c r="E709" s="30"/>
      <c r="F709" s="30"/>
      <c r="G709" s="30"/>
      <c r="H709" s="30"/>
      <c r="I709" s="30"/>
      <c r="J709" s="30"/>
      <c r="K709" s="30"/>
      <c r="L709" s="30"/>
      <c r="M709" s="30"/>
      <c r="N709" s="37"/>
      <c r="O709" s="30"/>
      <c r="P709" s="30"/>
      <c r="Q709" s="30"/>
      <c r="R709" s="30"/>
      <c r="S709" s="736"/>
      <c r="T709" s="30"/>
      <c r="U709" s="30"/>
      <c r="V709" s="30"/>
      <c r="W709" s="30"/>
      <c r="X709" s="30"/>
      <c r="Y709" s="30"/>
      <c r="Z709" s="30"/>
      <c r="AA709" s="30"/>
      <c r="AB709" s="1005"/>
    </row>
    <row r="710" spans="1:28">
      <c r="A710" s="29"/>
      <c r="B710" s="30"/>
      <c r="C710" s="30"/>
      <c r="D710" s="736"/>
      <c r="E710" s="30"/>
      <c r="F710" s="30"/>
      <c r="G710" s="30"/>
      <c r="H710" s="30"/>
      <c r="I710" s="30"/>
      <c r="J710" s="30"/>
      <c r="K710" s="30"/>
      <c r="L710" s="30"/>
      <c r="M710" s="30"/>
      <c r="N710" s="37"/>
      <c r="O710" s="30"/>
      <c r="P710" s="30"/>
      <c r="Q710" s="30"/>
      <c r="R710" s="30"/>
      <c r="S710" s="736"/>
      <c r="T710" s="30"/>
      <c r="U710" s="30"/>
      <c r="V710" s="30"/>
      <c r="W710" s="30"/>
      <c r="X710" s="30"/>
      <c r="Y710" s="30"/>
      <c r="Z710" s="30"/>
      <c r="AA710" s="30"/>
      <c r="AB710" s="1005"/>
    </row>
    <row r="711" spans="1:28">
      <c r="A711" s="29"/>
      <c r="B711" s="30"/>
      <c r="C711" s="30"/>
      <c r="D711" s="736"/>
      <c r="E711" s="30"/>
      <c r="F711" s="30"/>
      <c r="G711" s="30"/>
      <c r="H711" s="30"/>
      <c r="I711" s="30"/>
      <c r="J711" s="30"/>
      <c r="K711" s="30"/>
      <c r="L711" s="30"/>
      <c r="M711" s="30"/>
      <c r="N711" s="37"/>
      <c r="O711" s="30"/>
      <c r="P711" s="30"/>
      <c r="Q711" s="30"/>
      <c r="R711" s="30"/>
      <c r="S711" s="736"/>
      <c r="T711" s="30"/>
      <c r="U711" s="30"/>
      <c r="V711" s="30"/>
      <c r="W711" s="30"/>
      <c r="X711" s="30"/>
      <c r="Y711" s="30"/>
      <c r="Z711" s="30"/>
      <c r="AA711" s="30"/>
      <c r="AB711" s="1005"/>
    </row>
    <row r="712" spans="1:28">
      <c r="A712" s="29"/>
      <c r="B712" s="30"/>
      <c r="C712" s="30"/>
      <c r="D712" s="736"/>
      <c r="E712" s="30"/>
      <c r="F712" s="30"/>
      <c r="G712" s="30"/>
      <c r="H712" s="30"/>
      <c r="I712" s="30"/>
      <c r="J712" s="30"/>
      <c r="K712" s="30"/>
      <c r="L712" s="30"/>
      <c r="M712" s="30"/>
      <c r="N712" s="37"/>
      <c r="O712" s="30"/>
      <c r="P712" s="30"/>
      <c r="Q712" s="30"/>
      <c r="R712" s="30"/>
      <c r="S712" s="736"/>
      <c r="T712" s="30"/>
      <c r="U712" s="30"/>
      <c r="V712" s="30"/>
      <c r="W712" s="30"/>
      <c r="X712" s="30"/>
      <c r="Y712" s="30"/>
      <c r="Z712" s="30"/>
      <c r="AA712" s="30"/>
      <c r="AB712" s="1005"/>
    </row>
    <row r="713" spans="1:28">
      <c r="A713" s="29"/>
      <c r="B713" s="30"/>
      <c r="C713" s="30"/>
      <c r="D713" s="736"/>
      <c r="E713" s="30"/>
      <c r="F713" s="30"/>
      <c r="G713" s="30"/>
      <c r="H713" s="30"/>
      <c r="I713" s="30"/>
      <c r="J713" s="30"/>
      <c r="K713" s="30"/>
      <c r="L713" s="30"/>
      <c r="M713" s="30"/>
      <c r="N713" s="37"/>
      <c r="O713" s="30"/>
      <c r="P713" s="30"/>
      <c r="Q713" s="30"/>
      <c r="R713" s="30"/>
      <c r="S713" s="736"/>
      <c r="T713" s="30"/>
      <c r="U713" s="30"/>
      <c r="V713" s="30"/>
      <c r="W713" s="30"/>
      <c r="X713" s="30"/>
      <c r="Y713" s="30"/>
      <c r="Z713" s="30"/>
      <c r="AA713" s="30"/>
      <c r="AB713" s="1005"/>
    </row>
    <row r="714" spans="1:28">
      <c r="A714" s="29"/>
      <c r="B714" s="30"/>
      <c r="C714" s="30"/>
      <c r="D714" s="736"/>
      <c r="E714" s="30"/>
      <c r="F714" s="30"/>
      <c r="G714" s="30"/>
      <c r="H714" s="30"/>
      <c r="I714" s="30"/>
      <c r="J714" s="30"/>
      <c r="K714" s="30"/>
      <c r="L714" s="30"/>
      <c r="M714" s="30"/>
      <c r="N714" s="37"/>
      <c r="O714" s="30"/>
      <c r="P714" s="30"/>
      <c r="Q714" s="30"/>
      <c r="R714" s="30"/>
      <c r="S714" s="736"/>
      <c r="T714" s="30"/>
      <c r="U714" s="30"/>
      <c r="V714" s="30"/>
      <c r="W714" s="30"/>
      <c r="X714" s="30"/>
      <c r="Y714" s="30"/>
      <c r="Z714" s="30"/>
      <c r="AA714" s="30"/>
      <c r="AB714" s="1005"/>
    </row>
    <row r="715" spans="1:28">
      <c r="A715" s="29"/>
      <c r="B715" s="30"/>
      <c r="C715" s="30"/>
      <c r="D715" s="736"/>
      <c r="E715" s="30"/>
      <c r="F715" s="30"/>
      <c r="G715" s="30"/>
      <c r="H715" s="30"/>
      <c r="I715" s="30"/>
      <c r="J715" s="30"/>
      <c r="K715" s="30"/>
      <c r="L715" s="30"/>
      <c r="M715" s="30"/>
      <c r="N715" s="37"/>
      <c r="O715" s="30"/>
      <c r="P715" s="30"/>
      <c r="Q715" s="30"/>
      <c r="R715" s="30"/>
      <c r="S715" s="736"/>
      <c r="T715" s="30"/>
      <c r="U715" s="30"/>
      <c r="V715" s="30"/>
      <c r="W715" s="30"/>
      <c r="X715" s="30"/>
      <c r="Y715" s="30"/>
      <c r="Z715" s="30"/>
      <c r="AA715" s="30"/>
      <c r="AB715" s="1005"/>
    </row>
    <row r="716" spans="1:28">
      <c r="A716" s="29"/>
      <c r="B716" s="30"/>
      <c r="C716" s="30"/>
      <c r="D716" s="736"/>
      <c r="E716" s="30"/>
      <c r="F716" s="30"/>
      <c r="G716" s="30"/>
      <c r="H716" s="30"/>
      <c r="I716" s="30"/>
      <c r="J716" s="30"/>
      <c r="K716" s="30"/>
      <c r="L716" s="30"/>
      <c r="M716" s="30"/>
      <c r="N716" s="37"/>
      <c r="O716" s="30"/>
      <c r="P716" s="30"/>
      <c r="Q716" s="30"/>
      <c r="R716" s="30"/>
      <c r="S716" s="736"/>
      <c r="T716" s="30"/>
      <c r="U716" s="30"/>
      <c r="V716" s="30"/>
      <c r="W716" s="30"/>
      <c r="X716" s="30"/>
      <c r="Y716" s="30"/>
      <c r="Z716" s="30"/>
      <c r="AA716" s="30"/>
      <c r="AB716" s="1005"/>
    </row>
    <row r="717" spans="1:28">
      <c r="A717" s="29"/>
      <c r="B717" s="30"/>
      <c r="C717" s="30"/>
      <c r="D717" s="736"/>
      <c r="E717" s="30"/>
      <c r="F717" s="30"/>
      <c r="G717" s="30"/>
      <c r="H717" s="30"/>
      <c r="I717" s="30"/>
      <c r="J717" s="30"/>
      <c r="K717" s="30"/>
      <c r="L717" s="30"/>
      <c r="M717" s="30"/>
      <c r="N717" s="37"/>
      <c r="O717" s="30"/>
      <c r="P717" s="30"/>
      <c r="Q717" s="30"/>
      <c r="R717" s="30"/>
      <c r="S717" s="736"/>
      <c r="T717" s="30"/>
      <c r="U717" s="30"/>
      <c r="V717" s="30"/>
      <c r="W717" s="30"/>
      <c r="X717" s="30"/>
      <c r="Y717" s="30"/>
      <c r="Z717" s="30"/>
      <c r="AA717" s="30"/>
      <c r="AB717" s="1005"/>
    </row>
    <row r="718" spans="1:28">
      <c r="A718" s="29"/>
      <c r="B718" s="30"/>
      <c r="C718" s="30"/>
      <c r="D718" s="736"/>
      <c r="E718" s="30"/>
      <c r="F718" s="30"/>
      <c r="G718" s="30"/>
      <c r="H718" s="30"/>
      <c r="I718" s="30"/>
      <c r="J718" s="30"/>
      <c r="K718" s="30"/>
      <c r="L718" s="30"/>
      <c r="M718" s="30"/>
      <c r="N718" s="37"/>
      <c r="O718" s="30"/>
      <c r="P718" s="30"/>
      <c r="Q718" s="30"/>
      <c r="R718" s="30"/>
      <c r="S718" s="736"/>
      <c r="T718" s="30"/>
      <c r="U718" s="30"/>
      <c r="V718" s="30"/>
      <c r="W718" s="30"/>
      <c r="X718" s="30"/>
      <c r="Y718" s="30"/>
      <c r="Z718" s="30"/>
      <c r="AA718" s="30"/>
      <c r="AB718" s="1005"/>
    </row>
    <row r="719" spans="1:28">
      <c r="A719" s="29"/>
      <c r="B719" s="30"/>
      <c r="C719" s="30"/>
      <c r="D719" s="736"/>
      <c r="E719" s="30"/>
      <c r="F719" s="30"/>
      <c r="G719" s="30"/>
      <c r="H719" s="30"/>
      <c r="I719" s="30"/>
      <c r="J719" s="30"/>
      <c r="K719" s="30"/>
      <c r="L719" s="30"/>
      <c r="M719" s="30"/>
      <c r="N719" s="37"/>
      <c r="O719" s="30"/>
      <c r="P719" s="30"/>
      <c r="Q719" s="30"/>
      <c r="R719" s="30"/>
      <c r="S719" s="736"/>
      <c r="T719" s="30"/>
      <c r="U719" s="30"/>
      <c r="V719" s="30"/>
      <c r="W719" s="30"/>
      <c r="X719" s="30"/>
      <c r="Y719" s="30"/>
      <c r="Z719" s="30"/>
      <c r="AA719" s="30"/>
      <c r="AB719" s="1005"/>
    </row>
    <row r="720" spans="1:28">
      <c r="A720" s="29"/>
      <c r="B720" s="30"/>
      <c r="C720" s="30"/>
      <c r="D720" s="736"/>
      <c r="E720" s="30"/>
      <c r="F720" s="30"/>
      <c r="G720" s="30"/>
      <c r="H720" s="30"/>
      <c r="I720" s="30"/>
      <c r="J720" s="30"/>
      <c r="K720" s="30"/>
      <c r="L720" s="30"/>
      <c r="M720" s="30"/>
      <c r="N720" s="37"/>
      <c r="O720" s="30"/>
      <c r="P720" s="30"/>
      <c r="Q720" s="30"/>
      <c r="R720" s="30"/>
      <c r="S720" s="736"/>
      <c r="T720" s="30"/>
      <c r="U720" s="30"/>
      <c r="V720" s="30"/>
      <c r="W720" s="30"/>
      <c r="X720" s="30"/>
      <c r="Y720" s="30"/>
      <c r="Z720" s="30"/>
      <c r="AA720" s="30"/>
      <c r="AB720" s="1005"/>
    </row>
    <row r="721" spans="1:28">
      <c r="A721" s="29"/>
      <c r="B721" s="30"/>
      <c r="C721" s="30"/>
      <c r="D721" s="736"/>
      <c r="E721" s="30"/>
      <c r="F721" s="30"/>
      <c r="G721" s="30"/>
      <c r="H721" s="30"/>
      <c r="I721" s="30"/>
      <c r="J721" s="30"/>
      <c r="K721" s="30"/>
      <c r="L721" s="30"/>
      <c r="M721" s="30"/>
      <c r="N721" s="37"/>
      <c r="O721" s="30"/>
      <c r="P721" s="30"/>
      <c r="Q721" s="30"/>
      <c r="R721" s="30"/>
      <c r="S721" s="736"/>
      <c r="T721" s="30"/>
      <c r="U721" s="30"/>
      <c r="V721" s="30"/>
      <c r="W721" s="30"/>
      <c r="X721" s="30"/>
      <c r="Y721" s="30"/>
      <c r="Z721" s="30"/>
      <c r="AA721" s="30"/>
      <c r="AB721" s="1005"/>
    </row>
    <row r="722" spans="1:28">
      <c r="A722" s="29"/>
      <c r="B722" s="30"/>
      <c r="C722" s="30"/>
      <c r="D722" s="736"/>
      <c r="E722" s="30"/>
      <c r="F722" s="30"/>
      <c r="G722" s="30"/>
      <c r="H722" s="30"/>
      <c r="I722" s="30"/>
      <c r="J722" s="30"/>
      <c r="K722" s="30"/>
      <c r="L722" s="30"/>
      <c r="M722" s="30"/>
      <c r="N722" s="37"/>
      <c r="O722" s="30"/>
      <c r="P722" s="30"/>
      <c r="Q722" s="30"/>
      <c r="R722" s="30"/>
      <c r="S722" s="736"/>
      <c r="T722" s="30"/>
      <c r="U722" s="30"/>
      <c r="V722" s="30"/>
      <c r="W722" s="30"/>
      <c r="X722" s="30"/>
      <c r="Y722" s="30"/>
      <c r="Z722" s="30"/>
      <c r="AA722" s="30"/>
      <c r="AB722" s="1005"/>
    </row>
    <row r="723" spans="1:28">
      <c r="A723" s="29"/>
      <c r="B723" s="30"/>
      <c r="C723" s="30"/>
      <c r="D723" s="736"/>
      <c r="E723" s="30"/>
      <c r="F723" s="30"/>
      <c r="G723" s="30"/>
      <c r="H723" s="30"/>
      <c r="I723" s="30"/>
      <c r="J723" s="30"/>
      <c r="K723" s="30"/>
      <c r="L723" s="30"/>
      <c r="M723" s="30"/>
      <c r="N723" s="37"/>
      <c r="O723" s="30"/>
      <c r="P723" s="30"/>
      <c r="Q723" s="30"/>
      <c r="R723" s="30"/>
      <c r="S723" s="736"/>
      <c r="T723" s="30"/>
      <c r="U723" s="30"/>
      <c r="V723" s="30"/>
      <c r="W723" s="30"/>
      <c r="X723" s="30"/>
      <c r="Y723" s="30"/>
      <c r="Z723" s="30"/>
      <c r="AA723" s="30"/>
      <c r="AB723" s="1005"/>
    </row>
    <row r="724" spans="1:28">
      <c r="A724" s="29"/>
      <c r="B724" s="30"/>
      <c r="C724" s="30"/>
      <c r="D724" s="736"/>
      <c r="E724" s="30"/>
      <c r="F724" s="30"/>
      <c r="G724" s="30"/>
      <c r="H724" s="30"/>
      <c r="I724" s="30"/>
      <c r="J724" s="30"/>
      <c r="K724" s="30"/>
      <c r="L724" s="30"/>
      <c r="M724" s="30"/>
      <c r="N724" s="37"/>
      <c r="O724" s="30"/>
      <c r="P724" s="30"/>
      <c r="Q724" s="30"/>
      <c r="R724" s="30"/>
      <c r="S724" s="736"/>
      <c r="T724" s="30"/>
      <c r="U724" s="30"/>
      <c r="V724" s="30"/>
      <c r="W724" s="30"/>
      <c r="X724" s="30"/>
      <c r="Y724" s="30"/>
      <c r="Z724" s="30"/>
      <c r="AA724" s="30"/>
      <c r="AB724" s="1005"/>
    </row>
    <row r="725" spans="1:28">
      <c r="A725" s="29"/>
      <c r="B725" s="30"/>
      <c r="C725" s="30"/>
      <c r="D725" s="736"/>
      <c r="E725" s="30"/>
      <c r="F725" s="30"/>
      <c r="G725" s="30"/>
      <c r="H725" s="30"/>
      <c r="I725" s="30"/>
      <c r="J725" s="30"/>
      <c r="K725" s="30"/>
      <c r="L725" s="30"/>
      <c r="M725" s="30"/>
      <c r="N725" s="37"/>
      <c r="O725" s="30"/>
      <c r="P725" s="30"/>
      <c r="Q725" s="30"/>
      <c r="R725" s="30"/>
      <c r="S725" s="736"/>
      <c r="T725" s="30"/>
      <c r="U725" s="30"/>
      <c r="V725" s="30"/>
      <c r="W725" s="30"/>
      <c r="X725" s="30"/>
      <c r="Y725" s="30"/>
      <c r="Z725" s="30"/>
      <c r="AA725" s="30"/>
      <c r="AB725" s="1005"/>
    </row>
    <row r="726" spans="1:28">
      <c r="A726" s="29"/>
      <c r="B726" s="30"/>
      <c r="C726" s="30"/>
      <c r="D726" s="736"/>
      <c r="E726" s="30"/>
      <c r="F726" s="30"/>
      <c r="G726" s="30"/>
      <c r="H726" s="30"/>
      <c r="I726" s="30"/>
      <c r="J726" s="30"/>
      <c r="K726" s="30"/>
      <c r="L726" s="30"/>
      <c r="M726" s="30"/>
      <c r="N726" s="37"/>
      <c r="O726" s="30"/>
      <c r="P726" s="30"/>
      <c r="Q726" s="30"/>
      <c r="R726" s="30"/>
      <c r="S726" s="736"/>
      <c r="T726" s="30"/>
      <c r="U726" s="30"/>
      <c r="V726" s="30"/>
      <c r="W726" s="30"/>
      <c r="X726" s="30"/>
      <c r="Y726" s="30"/>
      <c r="Z726" s="30"/>
      <c r="AA726" s="30"/>
      <c r="AB726" s="1005"/>
    </row>
    <row r="727" spans="1:28">
      <c r="A727" s="29"/>
      <c r="B727" s="30"/>
      <c r="C727" s="30"/>
      <c r="D727" s="736"/>
      <c r="E727" s="30"/>
      <c r="F727" s="30"/>
      <c r="G727" s="30"/>
      <c r="H727" s="30"/>
      <c r="I727" s="30"/>
      <c r="J727" s="30"/>
      <c r="K727" s="30"/>
      <c r="L727" s="30"/>
      <c r="M727" s="30"/>
      <c r="N727" s="37"/>
      <c r="O727" s="30"/>
      <c r="P727" s="30"/>
      <c r="Q727" s="30"/>
      <c r="R727" s="30"/>
      <c r="S727" s="736"/>
      <c r="T727" s="30"/>
      <c r="U727" s="30"/>
      <c r="V727" s="30"/>
      <c r="W727" s="30"/>
      <c r="X727" s="30"/>
      <c r="Y727" s="30"/>
      <c r="Z727" s="30"/>
      <c r="AA727" s="30"/>
      <c r="AB727" s="1005"/>
    </row>
    <row r="728" spans="1:28">
      <c r="A728" s="29"/>
      <c r="B728" s="30"/>
      <c r="C728" s="30"/>
      <c r="D728" s="736"/>
      <c r="E728" s="30"/>
      <c r="F728" s="30"/>
      <c r="G728" s="30"/>
      <c r="H728" s="30"/>
      <c r="I728" s="30"/>
      <c r="J728" s="30"/>
      <c r="K728" s="30"/>
      <c r="L728" s="30"/>
      <c r="M728" s="30"/>
      <c r="N728" s="37"/>
      <c r="O728" s="30"/>
      <c r="P728" s="30"/>
      <c r="Q728" s="30"/>
      <c r="R728" s="30"/>
      <c r="S728" s="736"/>
      <c r="T728" s="30"/>
      <c r="U728" s="30"/>
      <c r="V728" s="30"/>
      <c r="W728" s="30"/>
      <c r="X728" s="30"/>
      <c r="Y728" s="30"/>
      <c r="Z728" s="30"/>
      <c r="AA728" s="30"/>
      <c r="AB728" s="1005"/>
    </row>
    <row r="729" spans="1:28">
      <c r="A729" s="29"/>
      <c r="B729" s="30"/>
      <c r="C729" s="30"/>
      <c r="D729" s="736"/>
      <c r="E729" s="30"/>
      <c r="F729" s="30"/>
      <c r="G729" s="30"/>
      <c r="H729" s="30"/>
      <c r="I729" s="30"/>
      <c r="J729" s="30"/>
      <c r="K729" s="30"/>
      <c r="L729" s="30"/>
      <c r="M729" s="30"/>
      <c r="N729" s="37"/>
      <c r="O729" s="30"/>
      <c r="P729" s="30"/>
      <c r="Q729" s="30"/>
      <c r="R729" s="30"/>
      <c r="S729" s="736"/>
      <c r="T729" s="30"/>
      <c r="U729" s="30"/>
      <c r="V729" s="30"/>
      <c r="W729" s="30"/>
      <c r="X729" s="30"/>
      <c r="Y729" s="30"/>
      <c r="Z729" s="30"/>
      <c r="AA729" s="30"/>
      <c r="AB729" s="1005"/>
    </row>
    <row r="730" spans="1:28">
      <c r="A730" s="29"/>
      <c r="B730" s="30"/>
      <c r="C730" s="30"/>
      <c r="D730" s="736"/>
      <c r="E730" s="30"/>
      <c r="F730" s="30"/>
      <c r="G730" s="30"/>
      <c r="H730" s="30"/>
      <c r="I730" s="30"/>
      <c r="J730" s="30"/>
      <c r="K730" s="30"/>
      <c r="L730" s="30"/>
      <c r="M730" s="30"/>
      <c r="N730" s="37"/>
      <c r="O730" s="30"/>
      <c r="P730" s="30"/>
      <c r="Q730" s="30"/>
      <c r="R730" s="30"/>
      <c r="S730" s="736"/>
      <c r="T730" s="30"/>
      <c r="U730" s="30"/>
      <c r="V730" s="30"/>
      <c r="W730" s="30"/>
      <c r="X730" s="30"/>
      <c r="Y730" s="30"/>
      <c r="Z730" s="30"/>
      <c r="AA730" s="30"/>
      <c r="AB730" s="1005"/>
    </row>
    <row r="731" spans="1:28">
      <c r="A731" s="29"/>
      <c r="B731" s="30"/>
      <c r="C731" s="30"/>
      <c r="D731" s="736"/>
      <c r="E731" s="30"/>
      <c r="F731" s="30"/>
      <c r="G731" s="30"/>
      <c r="H731" s="30"/>
      <c r="I731" s="30"/>
      <c r="J731" s="30"/>
      <c r="K731" s="30"/>
      <c r="L731" s="30"/>
      <c r="M731" s="30"/>
      <c r="N731" s="37"/>
      <c r="O731" s="30"/>
      <c r="P731" s="30"/>
      <c r="Q731" s="30"/>
      <c r="R731" s="30"/>
      <c r="S731" s="736"/>
      <c r="T731" s="30"/>
      <c r="U731" s="30"/>
      <c r="V731" s="30"/>
      <c r="W731" s="30"/>
      <c r="X731" s="30"/>
      <c r="Y731" s="30"/>
      <c r="Z731" s="30"/>
      <c r="AA731" s="30"/>
      <c r="AB731" s="1005"/>
    </row>
    <row r="732" spans="1:28">
      <c r="A732" s="29"/>
      <c r="B732" s="30"/>
      <c r="C732" s="30"/>
      <c r="D732" s="736"/>
      <c r="E732" s="30"/>
      <c r="F732" s="30"/>
      <c r="G732" s="30"/>
      <c r="H732" s="30"/>
      <c r="I732" s="30"/>
      <c r="J732" s="30"/>
      <c r="K732" s="30"/>
      <c r="L732" s="30"/>
      <c r="M732" s="30"/>
      <c r="N732" s="37"/>
      <c r="O732" s="30"/>
      <c r="P732" s="30"/>
      <c r="Q732" s="30"/>
      <c r="R732" s="30"/>
      <c r="S732" s="736"/>
      <c r="T732" s="30"/>
      <c r="U732" s="30"/>
      <c r="V732" s="30"/>
      <c r="W732" s="30"/>
      <c r="X732" s="30"/>
      <c r="Y732" s="30"/>
      <c r="Z732" s="30"/>
      <c r="AA732" s="30"/>
      <c r="AB732" s="1005"/>
    </row>
    <row r="733" spans="1:28">
      <c r="A733" s="29"/>
      <c r="B733" s="30"/>
      <c r="C733" s="30"/>
      <c r="D733" s="736"/>
      <c r="E733" s="30"/>
      <c r="F733" s="30"/>
      <c r="G733" s="30"/>
      <c r="H733" s="30"/>
      <c r="I733" s="30"/>
      <c r="J733" s="30"/>
      <c r="K733" s="30"/>
      <c r="L733" s="30"/>
      <c r="M733" s="30"/>
      <c r="N733" s="37"/>
      <c r="O733" s="30"/>
      <c r="P733" s="30"/>
      <c r="Q733" s="30"/>
      <c r="R733" s="30"/>
      <c r="S733" s="736"/>
      <c r="T733" s="30"/>
      <c r="U733" s="30"/>
      <c r="V733" s="30"/>
      <c r="W733" s="30"/>
      <c r="X733" s="30"/>
      <c r="Y733" s="30"/>
      <c r="Z733" s="30"/>
      <c r="AA733" s="30"/>
      <c r="AB733" s="1005"/>
    </row>
    <row r="734" spans="1:28">
      <c r="A734" s="29"/>
      <c r="B734" s="30"/>
      <c r="C734" s="30"/>
      <c r="D734" s="736"/>
      <c r="E734" s="30"/>
      <c r="F734" s="30"/>
      <c r="G734" s="30"/>
      <c r="H734" s="30"/>
      <c r="I734" s="30"/>
      <c r="J734" s="30"/>
      <c r="K734" s="30"/>
      <c r="L734" s="30"/>
      <c r="M734" s="30"/>
      <c r="N734" s="37"/>
      <c r="O734" s="30"/>
      <c r="P734" s="30"/>
      <c r="Q734" s="30"/>
      <c r="R734" s="30"/>
      <c r="S734" s="736"/>
      <c r="T734" s="30"/>
      <c r="U734" s="30"/>
      <c r="V734" s="30"/>
      <c r="W734" s="30"/>
      <c r="X734" s="30"/>
      <c r="Y734" s="30"/>
      <c r="Z734" s="30"/>
      <c r="AA734" s="30"/>
      <c r="AB734" s="1005"/>
    </row>
    <row r="735" spans="1:28">
      <c r="A735" s="29"/>
      <c r="B735" s="30"/>
      <c r="C735" s="30"/>
      <c r="D735" s="736"/>
      <c r="E735" s="30"/>
      <c r="F735" s="30"/>
      <c r="G735" s="30"/>
      <c r="H735" s="30"/>
      <c r="I735" s="30"/>
      <c r="J735" s="30"/>
      <c r="K735" s="30"/>
      <c r="L735" s="30"/>
      <c r="M735" s="30"/>
      <c r="N735" s="37"/>
      <c r="O735" s="30"/>
      <c r="P735" s="30"/>
      <c r="Q735" s="30"/>
      <c r="R735" s="30"/>
      <c r="S735" s="736"/>
      <c r="T735" s="30"/>
      <c r="U735" s="30"/>
      <c r="V735" s="30"/>
      <c r="W735" s="30"/>
      <c r="X735" s="30"/>
      <c r="Y735" s="30"/>
      <c r="Z735" s="30"/>
      <c r="AA735" s="30"/>
      <c r="AB735" s="1005"/>
    </row>
    <row r="736" spans="1:28">
      <c r="A736" s="29"/>
      <c r="B736" s="30"/>
      <c r="C736" s="30"/>
      <c r="D736" s="736"/>
      <c r="E736" s="30"/>
      <c r="F736" s="30"/>
      <c r="G736" s="30"/>
      <c r="H736" s="30"/>
      <c r="I736" s="30"/>
      <c r="J736" s="30"/>
      <c r="K736" s="30"/>
      <c r="L736" s="30"/>
      <c r="M736" s="30"/>
      <c r="N736" s="37"/>
      <c r="O736" s="30"/>
      <c r="P736" s="30"/>
      <c r="Q736" s="30"/>
      <c r="R736" s="30"/>
      <c r="S736" s="736"/>
      <c r="T736" s="30"/>
      <c r="U736" s="30"/>
      <c r="V736" s="30"/>
      <c r="W736" s="30"/>
      <c r="X736" s="30"/>
      <c r="Y736" s="30"/>
      <c r="Z736" s="30"/>
      <c r="AA736" s="30"/>
      <c r="AB736" s="1005"/>
    </row>
    <row r="737" spans="1:28">
      <c r="A737" s="29"/>
      <c r="B737" s="30"/>
      <c r="C737" s="30"/>
      <c r="D737" s="736"/>
      <c r="E737" s="30"/>
      <c r="F737" s="30"/>
      <c r="G737" s="30"/>
      <c r="H737" s="30"/>
      <c r="I737" s="30"/>
      <c r="J737" s="30"/>
      <c r="K737" s="30"/>
      <c r="L737" s="30"/>
      <c r="M737" s="30"/>
      <c r="N737" s="37"/>
      <c r="O737" s="30"/>
      <c r="P737" s="30"/>
      <c r="Q737" s="30"/>
      <c r="R737" s="30"/>
      <c r="S737" s="736"/>
      <c r="T737" s="30"/>
      <c r="U737" s="30"/>
      <c r="V737" s="30"/>
      <c r="W737" s="30"/>
      <c r="X737" s="30"/>
      <c r="Y737" s="30"/>
      <c r="Z737" s="30"/>
      <c r="AA737" s="30"/>
      <c r="AB737" s="1005"/>
    </row>
    <row r="738" spans="1:28">
      <c r="A738" s="29"/>
      <c r="B738" s="30"/>
      <c r="C738" s="30"/>
      <c r="D738" s="736"/>
      <c r="E738" s="30"/>
      <c r="F738" s="30"/>
      <c r="G738" s="30"/>
      <c r="H738" s="30"/>
      <c r="I738" s="30"/>
      <c r="J738" s="30"/>
      <c r="K738" s="30"/>
      <c r="L738" s="30"/>
      <c r="M738" s="30"/>
      <c r="N738" s="37"/>
      <c r="O738" s="30"/>
      <c r="P738" s="30"/>
      <c r="Q738" s="30"/>
      <c r="R738" s="30"/>
      <c r="S738" s="736"/>
      <c r="T738" s="30"/>
      <c r="U738" s="30"/>
      <c r="V738" s="30"/>
      <c r="W738" s="30"/>
      <c r="X738" s="30"/>
      <c r="Y738" s="30"/>
      <c r="Z738" s="30"/>
      <c r="AA738" s="30"/>
      <c r="AB738" s="1005"/>
    </row>
    <row r="739" spans="1:28">
      <c r="A739" s="29"/>
      <c r="B739" s="30"/>
      <c r="C739" s="30"/>
      <c r="D739" s="736"/>
      <c r="E739" s="30"/>
      <c r="F739" s="30"/>
      <c r="G739" s="30"/>
      <c r="H739" s="30"/>
      <c r="I739" s="30"/>
      <c r="J739" s="30"/>
      <c r="K739" s="30"/>
      <c r="L739" s="30"/>
      <c r="M739" s="30"/>
      <c r="N739" s="37"/>
      <c r="O739" s="30"/>
      <c r="P739" s="30"/>
      <c r="Q739" s="30"/>
      <c r="R739" s="30"/>
      <c r="S739" s="736"/>
      <c r="T739" s="30"/>
      <c r="U739" s="30"/>
      <c r="V739" s="30"/>
      <c r="W739" s="30"/>
      <c r="X739" s="30"/>
      <c r="Y739" s="30"/>
      <c r="Z739" s="30"/>
      <c r="AA739" s="30"/>
      <c r="AB739" s="1005"/>
    </row>
    <row r="740" spans="1:28">
      <c r="A740" s="29"/>
      <c r="B740" s="30"/>
      <c r="C740" s="30"/>
      <c r="D740" s="736"/>
      <c r="E740" s="30"/>
      <c r="F740" s="30"/>
      <c r="G740" s="30"/>
      <c r="H740" s="30"/>
      <c r="I740" s="30"/>
      <c r="J740" s="30"/>
      <c r="K740" s="30"/>
      <c r="L740" s="30"/>
      <c r="M740" s="30"/>
      <c r="N740" s="37"/>
      <c r="O740" s="30"/>
      <c r="P740" s="30"/>
      <c r="Q740" s="30"/>
      <c r="R740" s="30"/>
      <c r="S740" s="736"/>
      <c r="T740" s="30"/>
      <c r="U740" s="30"/>
      <c r="V740" s="30"/>
      <c r="W740" s="30"/>
      <c r="X740" s="30"/>
      <c r="Y740" s="30"/>
      <c r="Z740" s="30"/>
      <c r="AA740" s="30"/>
      <c r="AB740" s="1005"/>
    </row>
    <row r="741" spans="1:28">
      <c r="A741" s="29"/>
      <c r="B741" s="30"/>
      <c r="C741" s="30"/>
      <c r="D741" s="736"/>
      <c r="E741" s="30"/>
      <c r="F741" s="30"/>
      <c r="G741" s="30"/>
      <c r="H741" s="30"/>
      <c r="I741" s="30"/>
      <c r="J741" s="30"/>
      <c r="K741" s="30"/>
      <c r="L741" s="30"/>
      <c r="M741" s="30"/>
      <c r="N741" s="37"/>
      <c r="O741" s="30"/>
      <c r="P741" s="30"/>
      <c r="Q741" s="30"/>
      <c r="R741" s="30"/>
      <c r="S741" s="736"/>
      <c r="T741" s="30"/>
      <c r="U741" s="30"/>
      <c r="V741" s="30"/>
      <c r="W741" s="30"/>
      <c r="X741" s="30"/>
      <c r="Y741" s="30"/>
      <c r="Z741" s="30"/>
      <c r="AA741" s="30"/>
      <c r="AB741" s="1005"/>
    </row>
    <row r="742" spans="1:28">
      <c r="A742" s="29"/>
      <c r="B742" s="30"/>
      <c r="C742" s="30"/>
      <c r="D742" s="736"/>
      <c r="E742" s="30"/>
      <c r="F742" s="30"/>
      <c r="G742" s="30"/>
      <c r="H742" s="30"/>
      <c r="I742" s="30"/>
      <c r="J742" s="30"/>
      <c r="K742" s="30"/>
      <c r="L742" s="30"/>
      <c r="M742" s="30"/>
      <c r="N742" s="37"/>
      <c r="O742" s="30"/>
      <c r="P742" s="30"/>
      <c r="Q742" s="30"/>
      <c r="R742" s="30"/>
      <c r="S742" s="736"/>
      <c r="T742" s="30"/>
      <c r="U742" s="30"/>
      <c r="V742" s="30"/>
      <c r="W742" s="30"/>
      <c r="X742" s="30"/>
      <c r="Y742" s="30"/>
      <c r="Z742" s="30"/>
      <c r="AA742" s="30"/>
      <c r="AB742" s="1005"/>
    </row>
    <row r="743" spans="1:28">
      <c r="A743" s="29"/>
      <c r="B743" s="30"/>
      <c r="C743" s="30"/>
      <c r="D743" s="736"/>
      <c r="E743" s="30"/>
      <c r="F743" s="30"/>
      <c r="G743" s="30"/>
      <c r="H743" s="30"/>
      <c r="I743" s="30"/>
      <c r="J743" s="30"/>
      <c r="K743" s="30"/>
      <c r="L743" s="30"/>
      <c r="M743" s="30"/>
      <c r="N743" s="37"/>
      <c r="O743" s="30"/>
      <c r="P743" s="30"/>
      <c r="Q743" s="30"/>
      <c r="R743" s="30"/>
      <c r="S743" s="736"/>
      <c r="T743" s="30"/>
      <c r="U743" s="30"/>
      <c r="V743" s="30"/>
      <c r="W743" s="30"/>
      <c r="X743" s="30"/>
      <c r="Y743" s="30"/>
      <c r="Z743" s="30"/>
      <c r="AA743" s="30"/>
      <c r="AB743" s="1005"/>
    </row>
    <row r="744" spans="1:28">
      <c r="A744" s="29"/>
      <c r="B744" s="30"/>
      <c r="C744" s="30"/>
      <c r="D744" s="736"/>
      <c r="E744" s="30"/>
      <c r="F744" s="30"/>
      <c r="G744" s="30"/>
      <c r="H744" s="30"/>
      <c r="I744" s="30"/>
      <c r="J744" s="30"/>
      <c r="K744" s="30"/>
      <c r="L744" s="30"/>
      <c r="M744" s="30"/>
      <c r="N744" s="37"/>
      <c r="O744" s="30"/>
      <c r="P744" s="30"/>
      <c r="Q744" s="30"/>
      <c r="R744" s="30"/>
      <c r="S744" s="736"/>
      <c r="T744" s="30"/>
      <c r="U744" s="30"/>
      <c r="V744" s="30"/>
      <c r="W744" s="30"/>
      <c r="X744" s="30"/>
      <c r="Y744" s="30"/>
      <c r="Z744" s="30"/>
      <c r="AA744" s="30"/>
      <c r="AB744" s="1005"/>
    </row>
    <row r="745" spans="1:28">
      <c r="A745" s="29"/>
      <c r="B745" s="30"/>
      <c r="C745" s="30"/>
      <c r="D745" s="736"/>
      <c r="E745" s="30"/>
      <c r="F745" s="30"/>
      <c r="G745" s="30"/>
      <c r="H745" s="30"/>
      <c r="I745" s="30"/>
      <c r="J745" s="30"/>
      <c r="K745" s="30"/>
      <c r="L745" s="30"/>
      <c r="M745" s="30"/>
      <c r="N745" s="37"/>
      <c r="O745" s="30"/>
      <c r="P745" s="30"/>
      <c r="Q745" s="30"/>
      <c r="R745" s="30"/>
      <c r="S745" s="736"/>
      <c r="T745" s="30"/>
      <c r="U745" s="30"/>
      <c r="V745" s="30"/>
      <c r="W745" s="30"/>
      <c r="X745" s="30"/>
      <c r="Y745" s="30"/>
      <c r="Z745" s="30"/>
      <c r="AA745" s="30"/>
      <c r="AB745" s="1005"/>
    </row>
    <row r="746" spans="1:28">
      <c r="A746" s="29"/>
      <c r="B746" s="30"/>
      <c r="C746" s="30"/>
      <c r="D746" s="736"/>
      <c r="E746" s="30"/>
      <c r="F746" s="30"/>
      <c r="G746" s="30"/>
      <c r="H746" s="30"/>
      <c r="I746" s="30"/>
      <c r="J746" s="30"/>
      <c r="K746" s="30"/>
      <c r="L746" s="30"/>
      <c r="M746" s="30"/>
      <c r="N746" s="37"/>
      <c r="O746" s="30"/>
      <c r="P746" s="30"/>
      <c r="Q746" s="30"/>
      <c r="R746" s="30"/>
      <c r="S746" s="736"/>
      <c r="T746" s="30"/>
      <c r="U746" s="30"/>
      <c r="V746" s="30"/>
      <c r="W746" s="30"/>
      <c r="X746" s="30"/>
      <c r="Y746" s="30"/>
      <c r="Z746" s="30"/>
      <c r="AA746" s="30"/>
      <c r="AB746" s="1005"/>
    </row>
    <row r="747" spans="1:28">
      <c r="A747" s="29"/>
      <c r="B747" s="30"/>
      <c r="C747" s="30"/>
      <c r="D747" s="736"/>
      <c r="E747" s="30"/>
      <c r="F747" s="30"/>
      <c r="G747" s="30"/>
      <c r="H747" s="30"/>
      <c r="I747" s="30"/>
      <c r="J747" s="30"/>
      <c r="K747" s="30"/>
      <c r="L747" s="30"/>
      <c r="M747" s="30"/>
      <c r="N747" s="37"/>
      <c r="O747" s="30"/>
      <c r="P747" s="30"/>
      <c r="Q747" s="30"/>
      <c r="R747" s="30"/>
      <c r="S747" s="736"/>
      <c r="T747" s="30"/>
      <c r="U747" s="30"/>
      <c r="V747" s="30"/>
      <c r="W747" s="30"/>
      <c r="X747" s="30"/>
      <c r="Y747" s="30"/>
      <c r="Z747" s="30"/>
      <c r="AA747" s="30"/>
      <c r="AB747" s="1005"/>
    </row>
    <row r="748" spans="1:28">
      <c r="A748" s="29"/>
      <c r="B748" s="30"/>
      <c r="C748" s="30"/>
      <c r="D748" s="736"/>
      <c r="E748" s="30"/>
      <c r="F748" s="30"/>
      <c r="G748" s="30"/>
      <c r="H748" s="30"/>
      <c r="I748" s="30"/>
      <c r="J748" s="30"/>
      <c r="K748" s="30"/>
      <c r="L748" s="30"/>
      <c r="M748" s="30"/>
      <c r="N748" s="37"/>
      <c r="O748" s="30"/>
      <c r="P748" s="30"/>
      <c r="Q748" s="30"/>
      <c r="R748" s="30"/>
      <c r="S748" s="736"/>
      <c r="T748" s="30"/>
      <c r="U748" s="30"/>
      <c r="V748" s="30"/>
      <c r="W748" s="30"/>
      <c r="X748" s="30"/>
      <c r="Y748" s="30"/>
      <c r="Z748" s="30"/>
      <c r="AA748" s="30"/>
      <c r="AB748" s="1005"/>
    </row>
    <row r="749" spans="1:28">
      <c r="A749" s="29"/>
      <c r="B749" s="30"/>
      <c r="C749" s="30"/>
      <c r="D749" s="736"/>
      <c r="E749" s="30"/>
      <c r="F749" s="30"/>
      <c r="G749" s="30"/>
      <c r="H749" s="30"/>
      <c r="I749" s="30"/>
      <c r="J749" s="30"/>
      <c r="K749" s="30"/>
      <c r="L749" s="30"/>
      <c r="M749" s="30"/>
      <c r="N749" s="37"/>
      <c r="O749" s="30"/>
      <c r="P749" s="30"/>
      <c r="Q749" s="30"/>
      <c r="R749" s="30"/>
      <c r="S749" s="736"/>
      <c r="T749" s="30"/>
      <c r="U749" s="30"/>
      <c r="V749" s="30"/>
      <c r="W749" s="30"/>
      <c r="X749" s="30"/>
      <c r="Y749" s="30"/>
      <c r="Z749" s="30"/>
      <c r="AA749" s="30"/>
      <c r="AB749" s="1005"/>
    </row>
    <row r="750" spans="1:28">
      <c r="A750" s="29"/>
      <c r="B750" s="30"/>
      <c r="C750" s="30"/>
      <c r="D750" s="736"/>
      <c r="E750" s="30"/>
      <c r="F750" s="30"/>
      <c r="G750" s="30"/>
      <c r="H750" s="30"/>
      <c r="I750" s="30"/>
      <c r="J750" s="30"/>
      <c r="K750" s="30"/>
      <c r="L750" s="30"/>
      <c r="M750" s="30"/>
      <c r="N750" s="37"/>
      <c r="O750" s="30"/>
      <c r="P750" s="30"/>
      <c r="Q750" s="30"/>
      <c r="R750" s="30"/>
      <c r="S750" s="736"/>
      <c r="T750" s="30"/>
      <c r="U750" s="30"/>
      <c r="V750" s="30"/>
      <c r="W750" s="30"/>
      <c r="X750" s="30"/>
      <c r="Y750" s="30"/>
      <c r="Z750" s="30"/>
      <c r="AA750" s="30"/>
      <c r="AB750" s="1005"/>
    </row>
    <row r="751" spans="1:28">
      <c r="A751" s="29"/>
      <c r="B751" s="30"/>
      <c r="C751" s="30"/>
      <c r="D751" s="736"/>
      <c r="E751" s="30"/>
      <c r="F751" s="30"/>
      <c r="G751" s="30"/>
      <c r="H751" s="30"/>
      <c r="I751" s="30"/>
      <c r="J751" s="30"/>
      <c r="K751" s="30"/>
      <c r="L751" s="30"/>
      <c r="M751" s="30"/>
      <c r="N751" s="37"/>
      <c r="O751" s="30"/>
      <c r="P751" s="30"/>
      <c r="Q751" s="30"/>
      <c r="R751" s="30"/>
      <c r="S751" s="736"/>
      <c r="T751" s="30"/>
      <c r="U751" s="30"/>
      <c r="V751" s="30"/>
      <c r="W751" s="30"/>
      <c r="X751" s="30"/>
      <c r="Y751" s="30"/>
      <c r="Z751" s="30"/>
      <c r="AA751" s="30"/>
      <c r="AB751" s="1005"/>
    </row>
    <row r="752" spans="1:28">
      <c r="A752" s="29"/>
      <c r="B752" s="30"/>
      <c r="C752" s="30"/>
      <c r="D752" s="736"/>
      <c r="E752" s="30"/>
      <c r="F752" s="30"/>
      <c r="G752" s="30"/>
      <c r="H752" s="30"/>
      <c r="I752" s="30"/>
      <c r="J752" s="30"/>
      <c r="K752" s="30"/>
      <c r="L752" s="30"/>
      <c r="M752" s="30"/>
      <c r="N752" s="37"/>
      <c r="O752" s="30"/>
      <c r="P752" s="30"/>
      <c r="Q752" s="30"/>
      <c r="R752" s="30"/>
      <c r="S752" s="736"/>
      <c r="T752" s="30"/>
      <c r="U752" s="30"/>
      <c r="V752" s="30"/>
      <c r="W752" s="30"/>
      <c r="X752" s="30"/>
      <c r="Y752" s="30"/>
      <c r="Z752" s="30"/>
      <c r="AA752" s="30"/>
      <c r="AB752" s="1005"/>
    </row>
    <row r="753" spans="1:28">
      <c r="A753" s="29"/>
      <c r="B753" s="30"/>
      <c r="C753" s="30"/>
      <c r="D753" s="736"/>
      <c r="E753" s="30"/>
      <c r="F753" s="30"/>
      <c r="G753" s="30"/>
      <c r="H753" s="30"/>
      <c r="I753" s="30"/>
      <c r="J753" s="30"/>
      <c r="K753" s="30"/>
      <c r="L753" s="30"/>
      <c r="M753" s="30"/>
      <c r="N753" s="37"/>
      <c r="O753" s="30"/>
      <c r="P753" s="30"/>
      <c r="Q753" s="30"/>
      <c r="R753" s="30"/>
      <c r="S753" s="736"/>
      <c r="T753" s="30"/>
      <c r="U753" s="30"/>
      <c r="V753" s="30"/>
      <c r="W753" s="30"/>
      <c r="X753" s="30"/>
      <c r="Y753" s="30"/>
      <c r="Z753" s="30"/>
      <c r="AA753" s="30"/>
      <c r="AB753" s="1005"/>
    </row>
    <row r="754" spans="1:28">
      <c r="A754" s="29"/>
      <c r="B754" s="30"/>
      <c r="C754" s="30"/>
      <c r="D754" s="736"/>
      <c r="E754" s="30"/>
      <c r="F754" s="30"/>
      <c r="G754" s="30"/>
      <c r="H754" s="30"/>
      <c r="I754" s="30"/>
      <c r="J754" s="30"/>
      <c r="K754" s="30"/>
      <c r="L754" s="30"/>
      <c r="M754" s="30"/>
      <c r="N754" s="37"/>
      <c r="O754" s="30"/>
      <c r="P754" s="30"/>
      <c r="Q754" s="30"/>
      <c r="R754" s="30"/>
      <c r="S754" s="736"/>
      <c r="T754" s="30"/>
      <c r="U754" s="30"/>
      <c r="V754" s="30"/>
      <c r="W754" s="30"/>
      <c r="X754" s="30"/>
      <c r="Y754" s="30"/>
      <c r="Z754" s="30"/>
      <c r="AA754" s="30"/>
      <c r="AB754" s="1005"/>
    </row>
    <row r="755" spans="1:28">
      <c r="A755" s="29"/>
      <c r="B755" s="30"/>
      <c r="C755" s="30"/>
      <c r="D755" s="736"/>
      <c r="E755" s="30"/>
      <c r="F755" s="30"/>
      <c r="G755" s="30"/>
      <c r="H755" s="30"/>
      <c r="I755" s="30"/>
      <c r="J755" s="30"/>
      <c r="K755" s="30"/>
      <c r="L755" s="30"/>
      <c r="M755" s="30"/>
      <c r="N755" s="37"/>
      <c r="O755" s="30"/>
      <c r="P755" s="30"/>
      <c r="Q755" s="30"/>
      <c r="R755" s="30"/>
      <c r="S755" s="736"/>
      <c r="T755" s="30"/>
      <c r="U755" s="30"/>
      <c r="V755" s="30"/>
      <c r="W755" s="30"/>
      <c r="X755" s="30"/>
      <c r="Y755" s="30"/>
      <c r="Z755" s="30"/>
      <c r="AA755" s="30"/>
      <c r="AB755" s="1005"/>
    </row>
    <row r="756" spans="1:28">
      <c r="A756" s="29"/>
      <c r="B756" s="30"/>
      <c r="C756" s="30"/>
      <c r="D756" s="736"/>
      <c r="E756" s="30"/>
      <c r="F756" s="30"/>
      <c r="G756" s="30"/>
      <c r="H756" s="30"/>
      <c r="I756" s="30"/>
      <c r="J756" s="30"/>
      <c r="K756" s="30"/>
      <c r="L756" s="30"/>
      <c r="M756" s="30"/>
      <c r="N756" s="37"/>
      <c r="O756" s="30"/>
      <c r="P756" s="30"/>
      <c r="Q756" s="30"/>
      <c r="R756" s="30"/>
      <c r="S756" s="736"/>
      <c r="T756" s="30"/>
      <c r="U756" s="30"/>
      <c r="V756" s="30"/>
      <c r="W756" s="30"/>
      <c r="X756" s="30"/>
      <c r="Y756" s="30"/>
      <c r="Z756" s="30"/>
      <c r="AA756" s="30"/>
      <c r="AB756" s="1005"/>
    </row>
    <row r="757" spans="1:28">
      <c r="A757" s="29"/>
      <c r="B757" s="30"/>
      <c r="C757" s="30"/>
      <c r="D757" s="736"/>
      <c r="E757" s="30"/>
      <c r="F757" s="30"/>
      <c r="G757" s="30"/>
      <c r="H757" s="30"/>
      <c r="I757" s="30"/>
      <c r="J757" s="30"/>
      <c r="K757" s="30"/>
      <c r="L757" s="30"/>
      <c r="M757" s="30"/>
      <c r="N757" s="37"/>
      <c r="O757" s="30"/>
      <c r="P757" s="30"/>
      <c r="Q757" s="30"/>
      <c r="R757" s="30"/>
      <c r="S757" s="736"/>
      <c r="T757" s="30"/>
      <c r="U757" s="30"/>
      <c r="V757" s="30"/>
      <c r="W757" s="30"/>
      <c r="X757" s="30"/>
      <c r="Y757" s="30"/>
      <c r="Z757" s="30"/>
      <c r="AA757" s="30"/>
      <c r="AB757" s="1005"/>
    </row>
    <row r="758" spans="1:28">
      <c r="A758" s="29"/>
      <c r="B758" s="30"/>
      <c r="C758" s="30"/>
      <c r="D758" s="736"/>
      <c r="E758" s="30"/>
      <c r="F758" s="30"/>
      <c r="G758" s="30"/>
      <c r="H758" s="30"/>
      <c r="I758" s="30"/>
      <c r="J758" s="30"/>
      <c r="K758" s="30"/>
      <c r="L758" s="30"/>
      <c r="M758" s="30"/>
      <c r="N758" s="37"/>
      <c r="O758" s="30"/>
      <c r="P758" s="30"/>
      <c r="Q758" s="30"/>
      <c r="R758" s="30"/>
      <c r="S758" s="736"/>
      <c r="T758" s="30"/>
      <c r="U758" s="30"/>
      <c r="V758" s="30"/>
      <c r="W758" s="30"/>
      <c r="X758" s="30"/>
      <c r="Y758" s="30"/>
      <c r="Z758" s="30"/>
      <c r="AA758" s="30"/>
      <c r="AB758" s="1005"/>
    </row>
    <row r="759" spans="1:28">
      <c r="A759" s="29"/>
      <c r="B759" s="30"/>
      <c r="C759" s="30"/>
      <c r="D759" s="736"/>
      <c r="E759" s="30"/>
      <c r="F759" s="30"/>
      <c r="G759" s="30"/>
      <c r="H759" s="30"/>
      <c r="I759" s="30"/>
      <c r="J759" s="30"/>
      <c r="K759" s="30"/>
      <c r="L759" s="30"/>
      <c r="M759" s="30"/>
      <c r="N759" s="37"/>
      <c r="O759" s="30"/>
      <c r="P759" s="30"/>
      <c r="Q759" s="30"/>
      <c r="R759" s="30"/>
      <c r="S759" s="736"/>
      <c r="T759" s="30"/>
      <c r="U759" s="30"/>
      <c r="V759" s="30"/>
      <c r="W759" s="30"/>
      <c r="X759" s="30"/>
      <c r="Y759" s="30"/>
      <c r="Z759" s="30"/>
      <c r="AA759" s="30"/>
      <c r="AB759" s="1005"/>
    </row>
    <row r="760" spans="1:28">
      <c r="A760" s="29"/>
      <c r="B760" s="30"/>
      <c r="C760" s="30"/>
      <c r="D760" s="736"/>
      <c r="E760" s="30"/>
      <c r="F760" s="30"/>
      <c r="G760" s="30"/>
      <c r="H760" s="30"/>
      <c r="I760" s="30"/>
      <c r="J760" s="30"/>
      <c r="K760" s="30"/>
      <c r="L760" s="30"/>
      <c r="M760" s="30"/>
      <c r="N760" s="37"/>
      <c r="O760" s="30"/>
      <c r="P760" s="30"/>
      <c r="Q760" s="30"/>
      <c r="R760" s="30"/>
      <c r="S760" s="736"/>
      <c r="T760" s="30"/>
      <c r="U760" s="30"/>
      <c r="V760" s="30"/>
      <c r="W760" s="30"/>
      <c r="X760" s="30"/>
      <c r="Y760" s="30"/>
      <c r="Z760" s="30"/>
      <c r="AA760" s="30"/>
      <c r="AB760" s="1005"/>
    </row>
    <row r="761" spans="1:28">
      <c r="A761" s="29"/>
      <c r="B761" s="30"/>
      <c r="C761" s="30"/>
      <c r="D761" s="736"/>
      <c r="E761" s="30"/>
      <c r="F761" s="30"/>
      <c r="G761" s="30"/>
      <c r="H761" s="30"/>
      <c r="I761" s="30"/>
      <c r="J761" s="30"/>
      <c r="K761" s="30"/>
      <c r="L761" s="30"/>
      <c r="M761" s="30"/>
      <c r="N761" s="37"/>
      <c r="O761" s="30"/>
      <c r="P761" s="30"/>
      <c r="Q761" s="30"/>
      <c r="R761" s="30"/>
      <c r="S761" s="736"/>
      <c r="T761" s="30"/>
      <c r="U761" s="30"/>
      <c r="V761" s="30"/>
      <c r="W761" s="30"/>
      <c r="X761" s="30"/>
      <c r="Y761" s="30"/>
      <c r="Z761" s="30"/>
      <c r="AA761" s="30"/>
      <c r="AB761" s="1005"/>
    </row>
    <row r="762" spans="1:28">
      <c r="A762" s="29"/>
      <c r="B762" s="30"/>
      <c r="C762" s="30"/>
      <c r="D762" s="736"/>
      <c r="E762" s="30"/>
      <c r="F762" s="30"/>
      <c r="G762" s="30"/>
      <c r="H762" s="30"/>
      <c r="I762" s="30"/>
      <c r="J762" s="30"/>
      <c r="K762" s="30"/>
      <c r="L762" s="30"/>
      <c r="M762" s="30"/>
      <c r="N762" s="37"/>
      <c r="O762" s="30"/>
      <c r="P762" s="30"/>
      <c r="Q762" s="30"/>
      <c r="R762" s="30"/>
      <c r="S762" s="736"/>
      <c r="T762" s="30"/>
      <c r="U762" s="30"/>
      <c r="V762" s="30"/>
      <c r="W762" s="30"/>
      <c r="X762" s="30"/>
      <c r="Y762" s="30"/>
      <c r="Z762" s="30"/>
      <c r="AA762" s="30"/>
      <c r="AB762" s="1005"/>
    </row>
    <row r="763" spans="1:28">
      <c r="A763" s="29"/>
      <c r="B763" s="30"/>
      <c r="C763" s="30"/>
      <c r="D763" s="736"/>
      <c r="E763" s="30"/>
      <c r="F763" s="30"/>
      <c r="G763" s="30"/>
      <c r="H763" s="30"/>
      <c r="I763" s="30"/>
      <c r="J763" s="30"/>
      <c r="K763" s="30"/>
      <c r="L763" s="30"/>
      <c r="M763" s="30"/>
      <c r="N763" s="37"/>
      <c r="O763" s="30"/>
      <c r="P763" s="30"/>
      <c r="Q763" s="30"/>
      <c r="R763" s="30"/>
      <c r="S763" s="736"/>
      <c r="T763" s="30"/>
      <c r="U763" s="30"/>
      <c r="V763" s="30"/>
      <c r="W763" s="30"/>
      <c r="X763" s="30"/>
      <c r="Y763" s="30"/>
      <c r="Z763" s="30"/>
      <c r="AA763" s="30"/>
      <c r="AB763" s="1005"/>
    </row>
    <row r="764" spans="1:28">
      <c r="A764" s="29"/>
      <c r="B764" s="30"/>
      <c r="C764" s="30"/>
      <c r="D764" s="736"/>
      <c r="E764" s="30"/>
      <c r="F764" s="30"/>
      <c r="G764" s="30"/>
      <c r="H764" s="30"/>
      <c r="I764" s="30"/>
      <c r="J764" s="30"/>
      <c r="K764" s="30"/>
      <c r="L764" s="30"/>
      <c r="M764" s="30"/>
      <c r="N764" s="37"/>
      <c r="O764" s="30"/>
      <c r="P764" s="30"/>
      <c r="Q764" s="30"/>
      <c r="R764" s="30"/>
      <c r="S764" s="736"/>
      <c r="T764" s="30"/>
      <c r="U764" s="30"/>
      <c r="V764" s="30"/>
      <c r="W764" s="30"/>
      <c r="X764" s="30"/>
      <c r="Y764" s="30"/>
      <c r="Z764" s="30"/>
      <c r="AA764" s="30"/>
      <c r="AB764" s="1005"/>
    </row>
    <row r="765" spans="1:28">
      <c r="A765" s="29"/>
      <c r="B765" s="30"/>
      <c r="C765" s="30"/>
      <c r="D765" s="736"/>
      <c r="E765" s="30"/>
      <c r="F765" s="30"/>
      <c r="G765" s="30"/>
      <c r="H765" s="30"/>
      <c r="I765" s="30"/>
      <c r="J765" s="30"/>
      <c r="K765" s="30"/>
      <c r="L765" s="30"/>
      <c r="M765" s="30"/>
      <c r="N765" s="37"/>
      <c r="O765" s="30"/>
      <c r="P765" s="30"/>
      <c r="Q765" s="30"/>
      <c r="R765" s="30"/>
      <c r="S765" s="736"/>
      <c r="T765" s="30"/>
      <c r="U765" s="30"/>
      <c r="V765" s="30"/>
      <c r="W765" s="30"/>
      <c r="X765" s="30"/>
      <c r="Y765" s="30"/>
      <c r="Z765" s="30"/>
      <c r="AA765" s="30"/>
      <c r="AB765" s="1005"/>
    </row>
    <row r="766" spans="1:28">
      <c r="A766" s="29"/>
      <c r="B766" s="30"/>
      <c r="C766" s="30"/>
      <c r="D766" s="736"/>
      <c r="E766" s="30"/>
      <c r="F766" s="30"/>
      <c r="G766" s="30"/>
      <c r="H766" s="30"/>
      <c r="I766" s="30"/>
      <c r="J766" s="30"/>
      <c r="K766" s="30"/>
      <c r="L766" s="30"/>
      <c r="M766" s="30"/>
      <c r="N766" s="37"/>
      <c r="O766" s="30"/>
      <c r="P766" s="30"/>
      <c r="Q766" s="30"/>
      <c r="R766" s="30"/>
      <c r="S766" s="736"/>
      <c r="T766" s="30"/>
      <c r="U766" s="30"/>
      <c r="V766" s="30"/>
      <c r="W766" s="30"/>
      <c r="X766" s="30"/>
      <c r="Y766" s="30"/>
      <c r="Z766" s="30"/>
      <c r="AA766" s="30"/>
      <c r="AB766" s="1005"/>
    </row>
    <row r="767" spans="1:28">
      <c r="A767" s="29"/>
      <c r="B767" s="30"/>
      <c r="C767" s="30"/>
      <c r="D767" s="736"/>
      <c r="E767" s="30"/>
      <c r="F767" s="30"/>
      <c r="G767" s="30"/>
      <c r="H767" s="30"/>
      <c r="I767" s="30"/>
      <c r="J767" s="30"/>
      <c r="K767" s="30"/>
      <c r="L767" s="30"/>
      <c r="M767" s="30"/>
      <c r="N767" s="37"/>
      <c r="O767" s="30"/>
      <c r="P767" s="30"/>
      <c r="Q767" s="30"/>
      <c r="R767" s="30"/>
      <c r="S767" s="736"/>
      <c r="T767" s="30"/>
      <c r="U767" s="30"/>
      <c r="V767" s="30"/>
      <c r="W767" s="30"/>
      <c r="X767" s="30"/>
      <c r="Y767" s="30"/>
      <c r="Z767" s="30"/>
      <c r="AA767" s="30"/>
      <c r="AB767" s="1005"/>
    </row>
    <row r="768" spans="1:28">
      <c r="A768" s="29"/>
      <c r="B768" s="30"/>
      <c r="C768" s="30"/>
      <c r="D768" s="736"/>
      <c r="E768" s="30"/>
      <c r="F768" s="30"/>
      <c r="G768" s="30"/>
      <c r="H768" s="30"/>
      <c r="I768" s="30"/>
      <c r="J768" s="30"/>
      <c r="K768" s="30"/>
      <c r="L768" s="30"/>
      <c r="M768" s="30"/>
      <c r="N768" s="37"/>
      <c r="O768" s="30"/>
      <c r="P768" s="30"/>
      <c r="Q768" s="30"/>
      <c r="R768" s="30"/>
      <c r="S768" s="736"/>
      <c r="T768" s="30"/>
      <c r="U768" s="30"/>
      <c r="V768" s="30"/>
      <c r="W768" s="30"/>
      <c r="X768" s="30"/>
      <c r="Y768" s="30"/>
      <c r="Z768" s="30"/>
      <c r="AA768" s="30"/>
      <c r="AB768" s="1005"/>
    </row>
    <row r="769" spans="1:28">
      <c r="A769" s="29"/>
      <c r="B769" s="30"/>
      <c r="C769" s="30"/>
      <c r="D769" s="736"/>
      <c r="E769" s="30"/>
      <c r="F769" s="30"/>
      <c r="G769" s="30"/>
      <c r="H769" s="30"/>
      <c r="I769" s="30"/>
      <c r="J769" s="30"/>
      <c r="K769" s="30"/>
      <c r="L769" s="30"/>
      <c r="M769" s="30"/>
      <c r="N769" s="37"/>
      <c r="O769" s="30"/>
      <c r="P769" s="30"/>
      <c r="Q769" s="30"/>
      <c r="R769" s="30"/>
      <c r="S769" s="736"/>
      <c r="T769" s="30"/>
      <c r="U769" s="30"/>
      <c r="V769" s="30"/>
      <c r="W769" s="30"/>
      <c r="X769" s="30"/>
      <c r="Y769" s="30"/>
      <c r="Z769" s="30"/>
      <c r="AA769" s="30"/>
      <c r="AB769" s="1005"/>
    </row>
    <row r="770" spans="1:28">
      <c r="A770" s="29"/>
      <c r="B770" s="30"/>
      <c r="C770" s="30"/>
      <c r="D770" s="736"/>
      <c r="E770" s="30"/>
      <c r="F770" s="30"/>
      <c r="G770" s="30"/>
      <c r="H770" s="30"/>
      <c r="I770" s="30"/>
      <c r="J770" s="30"/>
      <c r="K770" s="30"/>
      <c r="L770" s="30"/>
      <c r="M770" s="30"/>
      <c r="N770" s="37"/>
      <c r="O770" s="30"/>
      <c r="P770" s="30"/>
      <c r="Q770" s="30"/>
      <c r="R770" s="30"/>
      <c r="S770" s="736"/>
      <c r="T770" s="30"/>
      <c r="U770" s="30"/>
      <c r="V770" s="30"/>
      <c r="W770" s="30"/>
      <c r="X770" s="30"/>
      <c r="Y770" s="30"/>
      <c r="Z770" s="30"/>
      <c r="AA770" s="30"/>
      <c r="AB770" s="1005"/>
    </row>
    <row r="771" spans="1:28">
      <c r="A771" s="29"/>
      <c r="B771" s="30"/>
      <c r="C771" s="30"/>
      <c r="D771" s="736"/>
      <c r="E771" s="30"/>
      <c r="F771" s="30"/>
      <c r="G771" s="30"/>
      <c r="H771" s="30"/>
      <c r="I771" s="30"/>
      <c r="J771" s="30"/>
      <c r="K771" s="30"/>
      <c r="L771" s="30"/>
      <c r="M771" s="30"/>
      <c r="N771" s="37"/>
      <c r="O771" s="30"/>
      <c r="P771" s="30"/>
      <c r="Q771" s="30"/>
      <c r="R771" s="30"/>
      <c r="S771" s="736"/>
      <c r="T771" s="30"/>
      <c r="U771" s="30"/>
      <c r="V771" s="30"/>
      <c r="W771" s="30"/>
      <c r="X771" s="30"/>
      <c r="Y771" s="30"/>
      <c r="Z771" s="30"/>
      <c r="AA771" s="30"/>
      <c r="AB771" s="1005"/>
    </row>
    <row r="772" spans="1:28">
      <c r="A772" s="29"/>
      <c r="B772" s="30"/>
      <c r="C772" s="30"/>
      <c r="D772" s="736"/>
      <c r="E772" s="30"/>
      <c r="F772" s="30"/>
      <c r="G772" s="30"/>
      <c r="H772" s="30"/>
      <c r="I772" s="30"/>
      <c r="J772" s="30"/>
      <c r="K772" s="30"/>
      <c r="L772" s="30"/>
      <c r="M772" s="30"/>
      <c r="N772" s="37"/>
      <c r="O772" s="30"/>
      <c r="P772" s="30"/>
      <c r="Q772" s="30"/>
      <c r="R772" s="30"/>
      <c r="S772" s="736"/>
      <c r="T772" s="30"/>
      <c r="U772" s="30"/>
      <c r="V772" s="30"/>
      <c r="W772" s="30"/>
      <c r="X772" s="30"/>
      <c r="Y772" s="30"/>
      <c r="Z772" s="30"/>
      <c r="AA772" s="30"/>
      <c r="AB772" s="1005"/>
    </row>
    <row r="773" spans="1:28">
      <c r="A773" s="29"/>
      <c r="B773" s="30"/>
      <c r="C773" s="30"/>
      <c r="D773" s="736"/>
      <c r="E773" s="30"/>
      <c r="F773" s="30"/>
      <c r="G773" s="30"/>
      <c r="H773" s="30"/>
      <c r="I773" s="30"/>
      <c r="J773" s="30"/>
      <c r="K773" s="30"/>
      <c r="L773" s="30"/>
      <c r="M773" s="30"/>
      <c r="N773" s="37"/>
      <c r="O773" s="30"/>
      <c r="P773" s="30"/>
      <c r="Q773" s="30"/>
      <c r="R773" s="30"/>
      <c r="S773" s="736"/>
      <c r="T773" s="30"/>
      <c r="U773" s="30"/>
      <c r="V773" s="30"/>
      <c r="W773" s="30"/>
      <c r="X773" s="30"/>
      <c r="Y773" s="30"/>
      <c r="Z773" s="30"/>
      <c r="AA773" s="30"/>
      <c r="AB773" s="1005"/>
    </row>
    <row r="774" spans="1:28">
      <c r="A774" s="29"/>
      <c r="B774" s="30"/>
      <c r="C774" s="30"/>
      <c r="D774" s="736"/>
      <c r="E774" s="30"/>
      <c r="F774" s="30"/>
      <c r="G774" s="30"/>
      <c r="H774" s="30"/>
      <c r="I774" s="30"/>
      <c r="J774" s="30"/>
      <c r="K774" s="30"/>
      <c r="L774" s="30"/>
      <c r="M774" s="30"/>
      <c r="N774" s="37"/>
      <c r="O774" s="30"/>
      <c r="P774" s="30"/>
      <c r="Q774" s="30"/>
      <c r="R774" s="30"/>
      <c r="S774" s="736"/>
      <c r="T774" s="30"/>
      <c r="U774" s="30"/>
      <c r="V774" s="30"/>
      <c r="W774" s="30"/>
      <c r="X774" s="30"/>
      <c r="Y774" s="30"/>
      <c r="Z774" s="30"/>
      <c r="AA774" s="30"/>
      <c r="AB774" s="1005"/>
    </row>
    <row r="775" spans="1:28">
      <c r="A775" s="29"/>
      <c r="B775" s="30"/>
      <c r="C775" s="30"/>
      <c r="D775" s="736"/>
      <c r="E775" s="30"/>
      <c r="F775" s="30"/>
      <c r="G775" s="30"/>
      <c r="H775" s="30"/>
      <c r="I775" s="30"/>
      <c r="J775" s="30"/>
      <c r="K775" s="30"/>
      <c r="L775" s="30"/>
      <c r="M775" s="30"/>
      <c r="N775" s="37"/>
      <c r="O775" s="30"/>
      <c r="P775" s="30"/>
      <c r="Q775" s="30"/>
      <c r="R775" s="30"/>
      <c r="S775" s="736"/>
      <c r="T775" s="30"/>
      <c r="U775" s="30"/>
      <c r="V775" s="30"/>
      <c r="W775" s="30"/>
      <c r="X775" s="30"/>
      <c r="Y775" s="30"/>
      <c r="Z775" s="30"/>
      <c r="AA775" s="30"/>
      <c r="AB775" s="1005"/>
    </row>
    <row r="776" spans="1:28">
      <c r="A776" s="29"/>
      <c r="B776" s="30"/>
      <c r="C776" s="30"/>
      <c r="D776" s="736"/>
      <c r="E776" s="30"/>
      <c r="F776" s="30"/>
      <c r="G776" s="30"/>
      <c r="H776" s="30"/>
      <c r="I776" s="30"/>
      <c r="J776" s="30"/>
      <c r="K776" s="30"/>
      <c r="L776" s="30"/>
      <c r="M776" s="30"/>
      <c r="N776" s="37"/>
      <c r="O776" s="30"/>
      <c r="P776" s="30"/>
      <c r="Q776" s="30"/>
      <c r="R776" s="30"/>
      <c r="S776" s="736"/>
      <c r="T776" s="30"/>
      <c r="U776" s="30"/>
      <c r="V776" s="30"/>
      <c r="W776" s="30"/>
      <c r="X776" s="30"/>
      <c r="Y776" s="30"/>
      <c r="Z776" s="30"/>
      <c r="AA776" s="30"/>
      <c r="AB776" s="1005"/>
    </row>
    <row r="777" spans="1:28">
      <c r="A777" s="29"/>
      <c r="B777" s="30"/>
      <c r="C777" s="30"/>
      <c r="D777" s="736"/>
      <c r="E777" s="30"/>
      <c r="F777" s="30"/>
      <c r="G777" s="30"/>
      <c r="H777" s="30"/>
      <c r="I777" s="30"/>
      <c r="J777" s="30"/>
      <c r="K777" s="30"/>
      <c r="L777" s="30"/>
      <c r="M777" s="30"/>
      <c r="N777" s="37"/>
      <c r="O777" s="30"/>
      <c r="P777" s="30"/>
      <c r="Q777" s="30"/>
      <c r="R777" s="30"/>
      <c r="S777" s="736"/>
      <c r="T777" s="30"/>
      <c r="U777" s="30"/>
      <c r="V777" s="30"/>
      <c r="W777" s="30"/>
      <c r="X777" s="30"/>
      <c r="Y777" s="30"/>
      <c r="Z777" s="30"/>
      <c r="AA777" s="30"/>
      <c r="AB777" s="1005"/>
    </row>
    <row r="778" spans="1:28">
      <c r="A778" s="29"/>
      <c r="B778" s="30"/>
      <c r="C778" s="30"/>
      <c r="D778" s="736"/>
      <c r="E778" s="30"/>
      <c r="F778" s="30"/>
      <c r="G778" s="30"/>
      <c r="H778" s="30"/>
      <c r="I778" s="30"/>
      <c r="J778" s="30"/>
      <c r="K778" s="30"/>
      <c r="L778" s="30"/>
      <c r="M778" s="30"/>
      <c r="N778" s="37"/>
      <c r="O778" s="30"/>
      <c r="P778" s="30"/>
      <c r="Q778" s="30"/>
      <c r="R778" s="30"/>
      <c r="S778" s="736"/>
      <c r="T778" s="30"/>
      <c r="U778" s="30"/>
      <c r="V778" s="30"/>
      <c r="W778" s="30"/>
      <c r="X778" s="30"/>
      <c r="Y778" s="30"/>
      <c r="Z778" s="30"/>
      <c r="AA778" s="30"/>
      <c r="AB778" s="1005"/>
    </row>
    <row r="779" spans="1:28">
      <c r="A779" s="29"/>
      <c r="B779" s="30"/>
      <c r="C779" s="30"/>
      <c r="D779" s="736"/>
      <c r="E779" s="30"/>
      <c r="F779" s="30"/>
      <c r="G779" s="30"/>
      <c r="H779" s="30"/>
      <c r="I779" s="30"/>
      <c r="J779" s="30"/>
      <c r="K779" s="30"/>
      <c r="L779" s="30"/>
      <c r="M779" s="30"/>
      <c r="N779" s="37"/>
      <c r="O779" s="30"/>
      <c r="P779" s="30"/>
      <c r="Q779" s="30"/>
      <c r="R779" s="30"/>
      <c r="S779" s="736"/>
      <c r="T779" s="30"/>
      <c r="U779" s="30"/>
      <c r="V779" s="30"/>
      <c r="W779" s="30"/>
      <c r="X779" s="30"/>
      <c r="Y779" s="30"/>
      <c r="Z779" s="30"/>
      <c r="AA779" s="30"/>
      <c r="AB779" s="1005"/>
    </row>
    <row r="780" spans="1:28">
      <c r="A780" s="29"/>
      <c r="B780" s="30"/>
      <c r="C780" s="30"/>
      <c r="D780" s="736"/>
      <c r="E780" s="30"/>
      <c r="F780" s="30"/>
      <c r="G780" s="30"/>
      <c r="H780" s="30"/>
      <c r="I780" s="30"/>
      <c r="J780" s="30"/>
      <c r="K780" s="30"/>
      <c r="L780" s="30"/>
      <c r="M780" s="30"/>
      <c r="N780" s="37"/>
      <c r="O780" s="30"/>
      <c r="P780" s="30"/>
      <c r="Q780" s="30"/>
      <c r="R780" s="30"/>
      <c r="S780" s="736"/>
      <c r="T780" s="30"/>
      <c r="U780" s="30"/>
      <c r="V780" s="30"/>
      <c r="W780" s="30"/>
      <c r="X780" s="30"/>
      <c r="Y780" s="30"/>
      <c r="Z780" s="30"/>
      <c r="AA780" s="30"/>
      <c r="AB780" s="1005"/>
    </row>
    <row r="781" spans="1:28">
      <c r="A781" s="29"/>
      <c r="B781" s="30"/>
      <c r="C781" s="30"/>
      <c r="D781" s="736"/>
      <c r="E781" s="30"/>
      <c r="F781" s="30"/>
      <c r="G781" s="30"/>
      <c r="H781" s="30"/>
      <c r="I781" s="30"/>
      <c r="J781" s="30"/>
      <c r="K781" s="30"/>
      <c r="L781" s="30"/>
      <c r="M781" s="30"/>
      <c r="N781" s="37"/>
      <c r="O781" s="30"/>
      <c r="P781" s="30"/>
      <c r="Q781" s="30"/>
      <c r="R781" s="30"/>
      <c r="S781" s="736"/>
      <c r="T781" s="30"/>
      <c r="U781" s="30"/>
      <c r="V781" s="30"/>
      <c r="W781" s="30"/>
      <c r="X781" s="30"/>
      <c r="Y781" s="30"/>
      <c r="Z781" s="30"/>
      <c r="AA781" s="30"/>
      <c r="AB781" s="1005"/>
    </row>
    <row r="782" spans="1:28">
      <c r="A782" s="29"/>
      <c r="B782" s="30"/>
      <c r="C782" s="30"/>
      <c r="D782" s="736"/>
      <c r="E782" s="30"/>
      <c r="F782" s="30"/>
      <c r="G782" s="30"/>
      <c r="H782" s="30"/>
      <c r="I782" s="30"/>
      <c r="J782" s="30"/>
      <c r="K782" s="30"/>
      <c r="L782" s="30"/>
      <c r="M782" s="30"/>
      <c r="N782" s="37"/>
      <c r="O782" s="30"/>
      <c r="P782" s="30"/>
      <c r="Q782" s="30"/>
      <c r="R782" s="30"/>
      <c r="S782" s="736"/>
      <c r="T782" s="30"/>
      <c r="U782" s="30"/>
      <c r="V782" s="30"/>
      <c r="W782" s="30"/>
      <c r="X782" s="30"/>
      <c r="Y782" s="30"/>
      <c r="Z782" s="30"/>
      <c r="AA782" s="30"/>
      <c r="AB782" s="1005"/>
    </row>
    <row r="783" spans="1:28">
      <c r="A783" s="29"/>
      <c r="B783" s="30"/>
      <c r="C783" s="30"/>
      <c r="D783" s="736"/>
      <c r="E783" s="30"/>
      <c r="F783" s="30"/>
      <c r="G783" s="30"/>
      <c r="H783" s="30"/>
      <c r="I783" s="30"/>
      <c r="J783" s="30"/>
      <c r="K783" s="30"/>
      <c r="L783" s="30"/>
      <c r="M783" s="30"/>
      <c r="N783" s="37"/>
      <c r="O783" s="30"/>
      <c r="P783" s="30"/>
      <c r="Q783" s="30"/>
      <c r="R783" s="30"/>
      <c r="S783" s="736"/>
      <c r="T783" s="30"/>
      <c r="U783" s="30"/>
      <c r="V783" s="30"/>
      <c r="W783" s="30"/>
      <c r="X783" s="30"/>
      <c r="Y783" s="30"/>
      <c r="Z783" s="30"/>
      <c r="AA783" s="30"/>
      <c r="AB783" s="1005"/>
    </row>
    <row r="784" spans="1:28">
      <c r="A784" s="29"/>
      <c r="B784" s="30"/>
      <c r="C784" s="30"/>
      <c r="D784" s="736"/>
      <c r="E784" s="30"/>
      <c r="F784" s="30"/>
      <c r="G784" s="30"/>
      <c r="H784" s="30"/>
      <c r="I784" s="30"/>
      <c r="J784" s="30"/>
      <c r="K784" s="30"/>
      <c r="L784" s="30"/>
      <c r="M784" s="30"/>
      <c r="N784" s="37"/>
      <c r="O784" s="30"/>
      <c r="P784" s="30"/>
      <c r="Q784" s="30"/>
      <c r="R784" s="30"/>
      <c r="S784" s="736"/>
      <c r="T784" s="30"/>
      <c r="U784" s="30"/>
      <c r="V784" s="30"/>
      <c r="W784" s="30"/>
      <c r="X784" s="30"/>
      <c r="Y784" s="30"/>
      <c r="Z784" s="30"/>
      <c r="AA784" s="30"/>
      <c r="AB784" s="1005"/>
    </row>
    <row r="785" spans="1:28">
      <c r="A785" s="29"/>
      <c r="B785" s="30"/>
      <c r="C785" s="30"/>
      <c r="D785" s="736"/>
      <c r="E785" s="30"/>
      <c r="F785" s="30"/>
      <c r="G785" s="30"/>
      <c r="H785" s="30"/>
      <c r="I785" s="30"/>
      <c r="J785" s="30"/>
      <c r="K785" s="30"/>
      <c r="L785" s="30"/>
      <c r="M785" s="30"/>
      <c r="N785" s="37"/>
      <c r="O785" s="30"/>
      <c r="P785" s="30"/>
      <c r="Q785" s="30"/>
      <c r="R785" s="30"/>
      <c r="S785" s="736"/>
      <c r="T785" s="30"/>
      <c r="U785" s="30"/>
      <c r="V785" s="30"/>
      <c r="W785" s="30"/>
      <c r="X785" s="30"/>
      <c r="Y785" s="30"/>
      <c r="Z785" s="30"/>
      <c r="AA785" s="30"/>
      <c r="AB785" s="1005"/>
    </row>
    <row r="786" spans="1:28">
      <c r="A786" s="29"/>
      <c r="B786" s="30"/>
      <c r="C786" s="30"/>
      <c r="D786" s="736"/>
      <c r="E786" s="30"/>
      <c r="F786" s="30"/>
      <c r="G786" s="30"/>
      <c r="H786" s="30"/>
      <c r="I786" s="30"/>
      <c r="J786" s="30"/>
      <c r="K786" s="30"/>
      <c r="L786" s="30"/>
      <c r="M786" s="30"/>
      <c r="N786" s="37"/>
      <c r="O786" s="30"/>
      <c r="P786" s="30"/>
      <c r="Q786" s="30"/>
      <c r="R786" s="30"/>
      <c r="S786" s="736"/>
      <c r="T786" s="30"/>
      <c r="U786" s="30"/>
      <c r="V786" s="30"/>
      <c r="W786" s="30"/>
      <c r="X786" s="30"/>
      <c r="Y786" s="30"/>
      <c r="Z786" s="30"/>
      <c r="AA786" s="30"/>
      <c r="AB786" s="1005"/>
    </row>
    <row r="787" spans="1:28">
      <c r="A787" s="29"/>
      <c r="B787" s="30"/>
      <c r="C787" s="30"/>
      <c r="D787" s="736"/>
      <c r="E787" s="30"/>
      <c r="F787" s="30"/>
      <c r="G787" s="30"/>
      <c r="H787" s="30"/>
      <c r="I787" s="30"/>
      <c r="J787" s="30"/>
      <c r="K787" s="30"/>
      <c r="L787" s="30"/>
      <c r="M787" s="30"/>
      <c r="N787" s="37"/>
      <c r="O787" s="30"/>
      <c r="P787" s="30"/>
      <c r="Q787" s="30"/>
      <c r="R787" s="30"/>
      <c r="S787" s="736"/>
      <c r="T787" s="30"/>
      <c r="U787" s="30"/>
      <c r="V787" s="30"/>
      <c r="W787" s="30"/>
      <c r="X787" s="30"/>
      <c r="Y787" s="30"/>
      <c r="Z787" s="30"/>
      <c r="AA787" s="30"/>
      <c r="AB787" s="1005"/>
    </row>
    <row r="788" spans="1:28">
      <c r="A788" s="29"/>
      <c r="B788" s="30"/>
      <c r="C788" s="30"/>
      <c r="D788" s="736"/>
      <c r="E788" s="30"/>
      <c r="F788" s="30"/>
      <c r="G788" s="30"/>
      <c r="H788" s="30"/>
      <c r="I788" s="30"/>
      <c r="J788" s="30"/>
      <c r="K788" s="30"/>
      <c r="L788" s="30"/>
      <c r="M788" s="30"/>
      <c r="N788" s="37"/>
      <c r="O788" s="30"/>
      <c r="P788" s="30"/>
      <c r="Q788" s="30"/>
      <c r="R788" s="30"/>
      <c r="S788" s="736"/>
      <c r="T788" s="30"/>
      <c r="U788" s="30"/>
      <c r="V788" s="30"/>
      <c r="W788" s="30"/>
      <c r="X788" s="30"/>
      <c r="Y788" s="30"/>
      <c r="Z788" s="30"/>
      <c r="AA788" s="30"/>
      <c r="AB788" s="1005"/>
    </row>
    <row r="789" spans="1:28">
      <c r="A789" s="29"/>
      <c r="B789" s="30"/>
      <c r="C789" s="30"/>
      <c r="D789" s="736"/>
      <c r="E789" s="30"/>
      <c r="F789" s="30"/>
      <c r="G789" s="30"/>
      <c r="H789" s="30"/>
      <c r="I789" s="30"/>
      <c r="J789" s="30"/>
      <c r="K789" s="30"/>
      <c r="L789" s="30"/>
      <c r="M789" s="30"/>
      <c r="N789" s="37"/>
      <c r="O789" s="30"/>
      <c r="P789" s="30"/>
      <c r="Q789" s="30"/>
      <c r="R789" s="30"/>
      <c r="S789" s="736"/>
      <c r="T789" s="30"/>
      <c r="U789" s="30"/>
      <c r="V789" s="30"/>
      <c r="W789" s="30"/>
      <c r="X789" s="30"/>
      <c r="Y789" s="30"/>
      <c r="Z789" s="30"/>
      <c r="AA789" s="30"/>
      <c r="AB789" s="1005"/>
    </row>
    <row r="790" spans="1:28">
      <c r="A790" s="29"/>
      <c r="B790" s="30"/>
      <c r="C790" s="30"/>
      <c r="D790" s="736"/>
      <c r="E790" s="30"/>
      <c r="F790" s="30"/>
      <c r="G790" s="30"/>
      <c r="H790" s="30"/>
      <c r="I790" s="30"/>
      <c r="J790" s="30"/>
      <c r="K790" s="30"/>
      <c r="L790" s="30"/>
      <c r="M790" s="30"/>
      <c r="N790" s="37"/>
      <c r="O790" s="30"/>
      <c r="P790" s="30"/>
      <c r="Q790" s="30"/>
      <c r="R790" s="30"/>
      <c r="S790" s="736"/>
      <c r="T790" s="30"/>
      <c r="U790" s="30"/>
      <c r="V790" s="30"/>
      <c r="W790" s="30"/>
      <c r="X790" s="30"/>
      <c r="Y790" s="30"/>
      <c r="Z790" s="30"/>
      <c r="AA790" s="30"/>
      <c r="AB790" s="1005"/>
    </row>
    <row r="791" spans="1:28">
      <c r="A791" s="29"/>
      <c r="B791" s="30"/>
      <c r="C791" s="30"/>
      <c r="D791" s="736"/>
      <c r="E791" s="30"/>
      <c r="F791" s="30"/>
      <c r="G791" s="30"/>
      <c r="H791" s="30"/>
      <c r="I791" s="30"/>
      <c r="J791" s="30"/>
      <c r="K791" s="30"/>
      <c r="L791" s="30"/>
      <c r="M791" s="30"/>
      <c r="N791" s="37"/>
      <c r="O791" s="30"/>
      <c r="P791" s="30"/>
      <c r="Q791" s="30"/>
      <c r="R791" s="30"/>
      <c r="S791" s="736"/>
      <c r="T791" s="30"/>
      <c r="U791" s="30"/>
      <c r="V791" s="30"/>
      <c r="W791" s="30"/>
      <c r="X791" s="30"/>
      <c r="Y791" s="30"/>
      <c r="Z791" s="30"/>
      <c r="AA791" s="30"/>
      <c r="AB791" s="1005"/>
    </row>
    <row r="792" spans="1:28">
      <c r="A792" s="29"/>
      <c r="B792" s="30"/>
      <c r="C792" s="30"/>
      <c r="D792" s="736"/>
      <c r="E792" s="30"/>
      <c r="F792" s="30"/>
      <c r="G792" s="30"/>
      <c r="H792" s="30"/>
      <c r="I792" s="30"/>
      <c r="J792" s="30"/>
      <c r="K792" s="30"/>
      <c r="L792" s="30"/>
      <c r="M792" s="30"/>
      <c r="N792" s="37"/>
      <c r="O792" s="30"/>
      <c r="P792" s="30"/>
      <c r="Q792" s="30"/>
      <c r="R792" s="30"/>
      <c r="S792" s="736"/>
      <c r="T792" s="30"/>
      <c r="U792" s="30"/>
      <c r="V792" s="30"/>
      <c r="W792" s="30"/>
      <c r="X792" s="30"/>
      <c r="Y792" s="30"/>
      <c r="Z792" s="30"/>
      <c r="AA792" s="30"/>
      <c r="AB792" s="1005"/>
    </row>
    <row r="793" spans="1:28">
      <c r="A793" s="29"/>
      <c r="B793" s="30"/>
      <c r="C793" s="30"/>
      <c r="D793" s="736"/>
      <c r="E793" s="30"/>
      <c r="F793" s="30"/>
      <c r="G793" s="30"/>
      <c r="H793" s="30"/>
      <c r="I793" s="30"/>
      <c r="J793" s="30"/>
      <c r="K793" s="30"/>
      <c r="L793" s="30"/>
      <c r="M793" s="30"/>
      <c r="N793" s="37"/>
      <c r="O793" s="30"/>
      <c r="P793" s="30"/>
      <c r="Q793" s="30"/>
      <c r="R793" s="30"/>
      <c r="S793" s="736"/>
      <c r="T793" s="30"/>
      <c r="U793" s="30"/>
      <c r="V793" s="30"/>
      <c r="W793" s="30"/>
      <c r="X793" s="30"/>
      <c r="Y793" s="30"/>
      <c r="Z793" s="30"/>
      <c r="AA793" s="30"/>
      <c r="AB793" s="1005"/>
    </row>
    <row r="794" spans="1:28">
      <c r="A794" s="29"/>
      <c r="B794" s="30"/>
      <c r="C794" s="30"/>
      <c r="D794" s="736"/>
      <c r="E794" s="30"/>
      <c r="F794" s="30"/>
      <c r="G794" s="30"/>
      <c r="H794" s="30"/>
      <c r="I794" s="30"/>
      <c r="J794" s="30"/>
      <c r="K794" s="30"/>
      <c r="L794" s="30"/>
      <c r="M794" s="30"/>
      <c r="N794" s="37"/>
      <c r="O794" s="30"/>
      <c r="P794" s="30"/>
      <c r="Q794" s="30"/>
      <c r="R794" s="30"/>
      <c r="S794" s="736"/>
      <c r="T794" s="30"/>
      <c r="U794" s="30"/>
      <c r="V794" s="30"/>
      <c r="W794" s="30"/>
      <c r="X794" s="30"/>
      <c r="Y794" s="30"/>
      <c r="Z794" s="30"/>
      <c r="AA794" s="30"/>
      <c r="AB794" s="1005"/>
    </row>
    <row r="795" spans="1:28">
      <c r="A795" s="29"/>
      <c r="B795" s="30"/>
      <c r="C795" s="30"/>
      <c r="D795" s="736"/>
      <c r="E795" s="30"/>
      <c r="F795" s="30"/>
      <c r="G795" s="30"/>
      <c r="H795" s="30"/>
      <c r="I795" s="30"/>
      <c r="J795" s="30"/>
      <c r="K795" s="30"/>
      <c r="L795" s="30"/>
      <c r="M795" s="30"/>
      <c r="N795" s="37"/>
      <c r="O795" s="30"/>
      <c r="P795" s="30"/>
      <c r="Q795" s="30"/>
      <c r="R795" s="30"/>
      <c r="S795" s="736"/>
      <c r="T795" s="30"/>
      <c r="U795" s="30"/>
      <c r="V795" s="30"/>
      <c r="W795" s="30"/>
      <c r="X795" s="30"/>
      <c r="Y795" s="30"/>
      <c r="Z795" s="30"/>
      <c r="AA795" s="30"/>
      <c r="AB795" s="1005"/>
    </row>
    <row r="796" spans="1:28">
      <c r="A796" s="29"/>
      <c r="B796" s="30"/>
      <c r="C796" s="30"/>
      <c r="D796" s="736"/>
      <c r="E796" s="30"/>
      <c r="F796" s="30"/>
      <c r="G796" s="30"/>
      <c r="H796" s="30"/>
      <c r="I796" s="30"/>
      <c r="J796" s="30"/>
      <c r="K796" s="30"/>
      <c r="L796" s="30"/>
      <c r="M796" s="30"/>
      <c r="N796" s="37"/>
      <c r="O796" s="30"/>
      <c r="P796" s="30"/>
      <c r="Q796" s="30"/>
      <c r="R796" s="30"/>
      <c r="S796" s="736"/>
      <c r="T796" s="30"/>
      <c r="U796" s="30"/>
      <c r="V796" s="30"/>
      <c r="W796" s="30"/>
      <c r="X796" s="30"/>
      <c r="Y796" s="30"/>
      <c r="Z796" s="30"/>
      <c r="AA796" s="30"/>
      <c r="AB796" s="1005"/>
    </row>
    <row r="797" spans="1:28">
      <c r="A797" s="29"/>
      <c r="B797" s="30"/>
      <c r="C797" s="30"/>
      <c r="D797" s="736"/>
      <c r="E797" s="30"/>
      <c r="F797" s="30"/>
      <c r="G797" s="30"/>
      <c r="H797" s="30"/>
      <c r="I797" s="30"/>
      <c r="J797" s="30"/>
      <c r="K797" s="30"/>
      <c r="L797" s="30"/>
      <c r="M797" s="30"/>
      <c r="N797" s="37"/>
      <c r="O797" s="30"/>
      <c r="P797" s="30"/>
      <c r="Q797" s="30"/>
      <c r="R797" s="30"/>
      <c r="S797" s="736"/>
      <c r="T797" s="30"/>
      <c r="U797" s="30"/>
      <c r="V797" s="30"/>
      <c r="W797" s="30"/>
      <c r="X797" s="30"/>
      <c r="Y797" s="30"/>
      <c r="Z797" s="30"/>
      <c r="AA797" s="30"/>
      <c r="AB797" s="1005"/>
    </row>
    <row r="798" spans="1:28">
      <c r="A798" s="29"/>
      <c r="B798" s="30"/>
      <c r="C798" s="30"/>
      <c r="D798" s="736"/>
      <c r="E798" s="30"/>
      <c r="F798" s="30"/>
      <c r="G798" s="30"/>
      <c r="H798" s="30"/>
      <c r="I798" s="30"/>
      <c r="J798" s="30"/>
      <c r="K798" s="30"/>
      <c r="L798" s="30"/>
      <c r="M798" s="30"/>
      <c r="N798" s="37"/>
      <c r="O798" s="30"/>
      <c r="P798" s="30"/>
      <c r="Q798" s="30"/>
      <c r="R798" s="30"/>
      <c r="S798" s="736"/>
      <c r="T798" s="30"/>
      <c r="U798" s="30"/>
      <c r="V798" s="30"/>
      <c r="W798" s="30"/>
      <c r="X798" s="30"/>
      <c r="Y798" s="30"/>
      <c r="Z798" s="30"/>
      <c r="AA798" s="30"/>
      <c r="AB798" s="1005"/>
    </row>
    <row r="799" spans="1:28">
      <c r="A799" s="29"/>
      <c r="B799" s="30"/>
      <c r="C799" s="30"/>
      <c r="D799" s="736"/>
      <c r="E799" s="30"/>
      <c r="F799" s="30"/>
      <c r="G799" s="30"/>
      <c r="H799" s="30"/>
      <c r="I799" s="30"/>
      <c r="J799" s="30"/>
      <c r="K799" s="30"/>
      <c r="L799" s="30"/>
      <c r="M799" s="30"/>
      <c r="N799" s="37"/>
      <c r="O799" s="30"/>
      <c r="P799" s="30"/>
      <c r="Q799" s="30"/>
      <c r="R799" s="30"/>
      <c r="S799" s="736"/>
      <c r="T799" s="30"/>
      <c r="U799" s="30"/>
      <c r="V799" s="30"/>
      <c r="W799" s="30"/>
      <c r="X799" s="30"/>
      <c r="Y799" s="30"/>
      <c r="Z799" s="30"/>
      <c r="AA799" s="30"/>
      <c r="AB799" s="1005"/>
    </row>
    <row r="800" spans="1:28">
      <c r="A800" s="29"/>
      <c r="B800" s="30"/>
      <c r="C800" s="30"/>
      <c r="D800" s="736"/>
      <c r="E800" s="30"/>
      <c r="F800" s="30"/>
      <c r="G800" s="30"/>
      <c r="H800" s="30"/>
      <c r="I800" s="30"/>
      <c r="J800" s="30"/>
      <c r="K800" s="30"/>
      <c r="L800" s="30"/>
      <c r="M800" s="30"/>
      <c r="N800" s="37"/>
      <c r="O800" s="30"/>
      <c r="P800" s="30"/>
      <c r="Q800" s="30"/>
      <c r="R800" s="30"/>
      <c r="S800" s="736"/>
      <c r="T800" s="30"/>
      <c r="U800" s="30"/>
      <c r="V800" s="30"/>
      <c r="W800" s="30"/>
      <c r="X800" s="30"/>
      <c r="Y800" s="30"/>
      <c r="Z800" s="30"/>
      <c r="AA800" s="30"/>
      <c r="AB800" s="1005"/>
    </row>
    <row r="801" spans="1:28">
      <c r="A801" s="29"/>
      <c r="B801" s="30"/>
      <c r="C801" s="30"/>
      <c r="D801" s="736"/>
      <c r="E801" s="30"/>
      <c r="F801" s="30"/>
      <c r="G801" s="30"/>
      <c r="H801" s="30"/>
      <c r="I801" s="30"/>
      <c r="J801" s="30"/>
      <c r="K801" s="30"/>
      <c r="L801" s="30"/>
      <c r="M801" s="30"/>
      <c r="N801" s="37"/>
      <c r="O801" s="30"/>
      <c r="P801" s="30"/>
      <c r="Q801" s="30"/>
      <c r="R801" s="30"/>
      <c r="S801" s="736"/>
      <c r="T801" s="30"/>
      <c r="U801" s="30"/>
      <c r="V801" s="30"/>
      <c r="W801" s="30"/>
      <c r="X801" s="30"/>
      <c r="Y801" s="30"/>
      <c r="Z801" s="30"/>
      <c r="AA801" s="30"/>
      <c r="AB801" s="1005"/>
    </row>
    <row r="802" spans="1:28">
      <c r="A802" s="29"/>
      <c r="B802" s="30"/>
      <c r="C802" s="30"/>
      <c r="D802" s="736"/>
      <c r="E802" s="30"/>
      <c r="F802" s="30"/>
      <c r="G802" s="30"/>
      <c r="H802" s="30"/>
      <c r="I802" s="30"/>
      <c r="J802" s="30"/>
      <c r="K802" s="30"/>
      <c r="L802" s="30"/>
      <c r="M802" s="30"/>
      <c r="N802" s="37"/>
      <c r="O802" s="30"/>
      <c r="P802" s="30"/>
      <c r="Q802" s="30"/>
      <c r="R802" s="30"/>
      <c r="S802" s="736"/>
      <c r="T802" s="30"/>
      <c r="U802" s="30"/>
      <c r="V802" s="30"/>
      <c r="W802" s="30"/>
      <c r="X802" s="30"/>
      <c r="Y802" s="30"/>
      <c r="Z802" s="30"/>
      <c r="AA802" s="30"/>
      <c r="AB802" s="1005"/>
    </row>
    <row r="803" spans="1:28">
      <c r="A803" s="29"/>
      <c r="B803" s="30"/>
      <c r="C803" s="30"/>
      <c r="D803" s="736"/>
      <c r="E803" s="30"/>
      <c r="F803" s="30"/>
      <c r="G803" s="30"/>
      <c r="H803" s="30"/>
      <c r="I803" s="30"/>
      <c r="J803" s="30"/>
      <c r="K803" s="30"/>
      <c r="L803" s="30"/>
      <c r="M803" s="30"/>
      <c r="N803" s="37"/>
      <c r="O803" s="30"/>
      <c r="P803" s="30"/>
      <c r="Q803" s="30"/>
      <c r="R803" s="30"/>
      <c r="S803" s="736"/>
      <c r="T803" s="30"/>
      <c r="U803" s="30"/>
      <c r="V803" s="30"/>
      <c r="W803" s="30"/>
      <c r="X803" s="30"/>
      <c r="Y803" s="30"/>
      <c r="Z803" s="30"/>
      <c r="AA803" s="30"/>
      <c r="AB803" s="1005"/>
    </row>
    <row r="804" spans="1:28">
      <c r="A804" s="29"/>
      <c r="B804" s="30"/>
      <c r="C804" s="30"/>
      <c r="D804" s="736"/>
      <c r="E804" s="30"/>
      <c r="F804" s="30"/>
      <c r="G804" s="30"/>
      <c r="H804" s="30"/>
      <c r="I804" s="30"/>
      <c r="J804" s="30"/>
      <c r="K804" s="30"/>
      <c r="L804" s="30"/>
      <c r="M804" s="30"/>
      <c r="N804" s="37"/>
      <c r="O804" s="30"/>
      <c r="P804" s="30"/>
      <c r="Q804" s="30"/>
      <c r="R804" s="30"/>
      <c r="S804" s="736"/>
      <c r="T804" s="30"/>
      <c r="U804" s="30"/>
      <c r="V804" s="30"/>
      <c r="W804" s="30"/>
      <c r="X804" s="30"/>
      <c r="Y804" s="30"/>
      <c r="Z804" s="30"/>
      <c r="AA804" s="30"/>
      <c r="AB804" s="1005"/>
    </row>
    <row r="805" spans="1:28">
      <c r="A805" s="29"/>
      <c r="B805" s="30"/>
      <c r="C805" s="30"/>
      <c r="D805" s="736"/>
      <c r="E805" s="30"/>
      <c r="F805" s="30"/>
      <c r="G805" s="30"/>
      <c r="H805" s="30"/>
      <c r="I805" s="30"/>
      <c r="J805" s="30"/>
      <c r="K805" s="30"/>
      <c r="L805" s="30"/>
      <c r="M805" s="30"/>
      <c r="N805" s="37"/>
      <c r="O805" s="30"/>
      <c r="P805" s="30"/>
      <c r="Q805" s="30"/>
      <c r="R805" s="30"/>
      <c r="S805" s="736"/>
      <c r="T805" s="30"/>
      <c r="U805" s="30"/>
      <c r="V805" s="30"/>
      <c r="W805" s="30"/>
      <c r="X805" s="30"/>
      <c r="Y805" s="30"/>
      <c r="Z805" s="30"/>
      <c r="AA805" s="30"/>
      <c r="AB805" s="1005"/>
    </row>
    <row r="806" spans="1:28">
      <c r="A806" s="29"/>
      <c r="B806" s="30"/>
      <c r="C806" s="30"/>
      <c r="D806" s="736"/>
      <c r="E806" s="30"/>
      <c r="F806" s="30"/>
      <c r="G806" s="30"/>
      <c r="H806" s="30"/>
      <c r="I806" s="30"/>
      <c r="J806" s="30"/>
      <c r="K806" s="30"/>
      <c r="L806" s="30"/>
      <c r="M806" s="30"/>
      <c r="N806" s="37"/>
      <c r="O806" s="30"/>
      <c r="P806" s="30"/>
      <c r="Q806" s="30"/>
      <c r="R806" s="30"/>
      <c r="S806" s="736"/>
      <c r="T806" s="30"/>
      <c r="U806" s="30"/>
      <c r="V806" s="30"/>
      <c r="W806" s="30"/>
      <c r="X806" s="30"/>
      <c r="Y806" s="30"/>
      <c r="Z806" s="30"/>
      <c r="AA806" s="30"/>
      <c r="AB806" s="1005"/>
    </row>
    <row r="807" spans="1:28">
      <c r="A807" s="29"/>
      <c r="B807" s="30"/>
      <c r="C807" s="30"/>
      <c r="D807" s="736"/>
      <c r="E807" s="30"/>
      <c r="F807" s="30"/>
      <c r="G807" s="30"/>
      <c r="H807" s="30"/>
      <c r="I807" s="30"/>
      <c r="J807" s="30"/>
      <c r="K807" s="30"/>
      <c r="L807" s="30"/>
      <c r="M807" s="30"/>
      <c r="N807" s="37"/>
      <c r="O807" s="30"/>
      <c r="P807" s="30"/>
      <c r="Q807" s="30"/>
      <c r="R807" s="30"/>
      <c r="S807" s="736"/>
      <c r="T807" s="30"/>
      <c r="U807" s="30"/>
      <c r="V807" s="30"/>
      <c r="W807" s="30"/>
      <c r="X807" s="30"/>
      <c r="Y807" s="30"/>
      <c r="Z807" s="30"/>
      <c r="AA807" s="30"/>
      <c r="AB807" s="1005"/>
    </row>
    <row r="808" spans="1:28">
      <c r="A808" s="29"/>
      <c r="B808" s="30"/>
      <c r="C808" s="30"/>
      <c r="D808" s="736"/>
      <c r="E808" s="30"/>
      <c r="F808" s="30"/>
      <c r="G808" s="30"/>
      <c r="H808" s="30"/>
      <c r="I808" s="30"/>
      <c r="J808" s="30"/>
      <c r="K808" s="30"/>
      <c r="L808" s="30"/>
      <c r="M808" s="30"/>
      <c r="N808" s="37"/>
      <c r="O808" s="30"/>
      <c r="P808" s="30"/>
      <c r="Q808" s="30"/>
      <c r="R808" s="30"/>
      <c r="S808" s="736"/>
      <c r="T808" s="30"/>
      <c r="U808" s="30"/>
      <c r="V808" s="30"/>
      <c r="W808" s="30"/>
      <c r="X808" s="30"/>
      <c r="Y808" s="30"/>
      <c r="Z808" s="30"/>
      <c r="AA808" s="30"/>
      <c r="AB808" s="1005"/>
    </row>
    <row r="809" spans="1:28">
      <c r="A809" s="29"/>
      <c r="B809" s="30"/>
      <c r="C809" s="30"/>
      <c r="D809" s="736"/>
      <c r="E809" s="30"/>
      <c r="F809" s="30"/>
      <c r="G809" s="30"/>
      <c r="H809" s="30"/>
      <c r="I809" s="30"/>
      <c r="J809" s="30"/>
      <c r="K809" s="30"/>
      <c r="L809" s="30"/>
      <c r="M809" s="30"/>
      <c r="N809" s="37"/>
      <c r="O809" s="30"/>
      <c r="P809" s="30"/>
      <c r="Q809" s="30"/>
      <c r="R809" s="30"/>
      <c r="S809" s="736"/>
      <c r="T809" s="30"/>
      <c r="U809" s="30"/>
      <c r="V809" s="30"/>
      <c r="W809" s="30"/>
      <c r="X809" s="30"/>
      <c r="Y809" s="30"/>
      <c r="Z809" s="30"/>
      <c r="AA809" s="30"/>
      <c r="AB809" s="1005"/>
    </row>
    <row r="810" spans="1:28">
      <c r="A810" s="29"/>
      <c r="B810" s="30"/>
      <c r="C810" s="30"/>
      <c r="D810" s="736"/>
      <c r="E810" s="30"/>
      <c r="F810" s="30"/>
      <c r="G810" s="30"/>
      <c r="H810" s="30"/>
      <c r="I810" s="30"/>
      <c r="J810" s="30"/>
      <c r="K810" s="30"/>
      <c r="L810" s="30"/>
      <c r="M810" s="30"/>
      <c r="N810" s="37"/>
      <c r="O810" s="30"/>
      <c r="P810" s="30"/>
      <c r="Q810" s="30"/>
      <c r="R810" s="30"/>
      <c r="S810" s="736"/>
      <c r="T810" s="30"/>
      <c r="U810" s="30"/>
      <c r="V810" s="30"/>
      <c r="W810" s="30"/>
      <c r="X810" s="30"/>
      <c r="Y810" s="30"/>
      <c r="Z810" s="30"/>
      <c r="AA810" s="30"/>
      <c r="AB810" s="1005"/>
    </row>
    <row r="811" spans="1:28">
      <c r="A811" s="29"/>
      <c r="B811" s="30"/>
      <c r="C811" s="30"/>
      <c r="D811" s="736"/>
      <c r="E811" s="30"/>
      <c r="F811" s="30"/>
      <c r="G811" s="30"/>
      <c r="H811" s="30"/>
      <c r="I811" s="30"/>
      <c r="J811" s="30"/>
      <c r="K811" s="30"/>
      <c r="L811" s="30"/>
      <c r="M811" s="30"/>
      <c r="N811" s="37"/>
      <c r="O811" s="30"/>
      <c r="P811" s="30"/>
      <c r="Q811" s="30"/>
      <c r="R811" s="30"/>
      <c r="S811" s="736"/>
      <c r="T811" s="30"/>
      <c r="U811" s="30"/>
      <c r="V811" s="30"/>
      <c r="W811" s="30"/>
      <c r="X811" s="30"/>
      <c r="Y811" s="30"/>
      <c r="Z811" s="30"/>
      <c r="AA811" s="30"/>
      <c r="AB811" s="1005"/>
    </row>
    <row r="812" spans="1:28">
      <c r="A812" s="29"/>
      <c r="B812" s="30"/>
      <c r="C812" s="30"/>
      <c r="D812" s="736"/>
      <c r="E812" s="30"/>
      <c r="F812" s="30"/>
      <c r="G812" s="30"/>
      <c r="H812" s="30"/>
      <c r="I812" s="30"/>
      <c r="J812" s="30"/>
      <c r="K812" s="30"/>
      <c r="L812" s="30"/>
      <c r="M812" s="30"/>
      <c r="N812" s="37"/>
      <c r="O812" s="30"/>
      <c r="P812" s="30"/>
      <c r="Q812" s="30"/>
      <c r="R812" s="30"/>
      <c r="S812" s="736"/>
      <c r="T812" s="30"/>
      <c r="U812" s="30"/>
      <c r="V812" s="30"/>
      <c r="W812" s="30"/>
      <c r="X812" s="30"/>
      <c r="Y812" s="30"/>
      <c r="Z812" s="30"/>
      <c r="AA812" s="30"/>
      <c r="AB812" s="1005"/>
    </row>
    <row r="813" spans="1:28">
      <c r="A813" s="29"/>
      <c r="B813" s="30"/>
      <c r="C813" s="30"/>
      <c r="D813" s="736"/>
      <c r="E813" s="30"/>
      <c r="F813" s="30"/>
      <c r="G813" s="30"/>
      <c r="H813" s="30"/>
      <c r="I813" s="30"/>
      <c r="J813" s="30"/>
      <c r="K813" s="30"/>
      <c r="L813" s="30"/>
      <c r="M813" s="30"/>
      <c r="N813" s="37"/>
      <c r="O813" s="30"/>
      <c r="P813" s="30"/>
      <c r="Q813" s="30"/>
      <c r="R813" s="30"/>
      <c r="S813" s="736"/>
      <c r="T813" s="30"/>
      <c r="U813" s="30"/>
      <c r="V813" s="30"/>
      <c r="W813" s="30"/>
      <c r="X813" s="30"/>
      <c r="Y813" s="30"/>
      <c r="Z813" s="30"/>
      <c r="AA813" s="30"/>
      <c r="AB813" s="1005"/>
    </row>
    <row r="814" spans="1:28">
      <c r="A814" s="29"/>
      <c r="B814" s="30"/>
      <c r="C814" s="30"/>
      <c r="D814" s="736"/>
      <c r="E814" s="30"/>
      <c r="F814" s="30"/>
      <c r="G814" s="30"/>
      <c r="H814" s="30"/>
      <c r="I814" s="30"/>
      <c r="J814" s="30"/>
      <c r="K814" s="30"/>
      <c r="L814" s="30"/>
      <c r="M814" s="30"/>
      <c r="N814" s="37"/>
      <c r="O814" s="30"/>
      <c r="P814" s="30"/>
      <c r="Q814" s="30"/>
      <c r="R814" s="30"/>
      <c r="S814" s="736"/>
      <c r="T814" s="30"/>
      <c r="U814" s="30"/>
      <c r="V814" s="30"/>
      <c r="W814" s="30"/>
      <c r="X814" s="30"/>
      <c r="Y814" s="30"/>
      <c r="Z814" s="30"/>
      <c r="AA814" s="30"/>
      <c r="AB814" s="1005"/>
    </row>
    <row r="815" spans="1:28">
      <c r="A815" s="29"/>
      <c r="B815" s="30"/>
      <c r="C815" s="30"/>
      <c r="D815" s="736"/>
      <c r="E815" s="30"/>
      <c r="F815" s="30"/>
      <c r="G815" s="30"/>
      <c r="H815" s="30"/>
      <c r="I815" s="30"/>
      <c r="J815" s="30"/>
      <c r="K815" s="30"/>
      <c r="L815" s="30"/>
      <c r="M815" s="30"/>
      <c r="N815" s="37"/>
      <c r="O815" s="30"/>
      <c r="P815" s="30"/>
      <c r="Q815" s="30"/>
      <c r="R815" s="30"/>
      <c r="S815" s="736"/>
      <c r="T815" s="30"/>
      <c r="U815" s="30"/>
      <c r="V815" s="30"/>
      <c r="W815" s="30"/>
      <c r="X815" s="30"/>
      <c r="Y815" s="30"/>
      <c r="Z815" s="30"/>
      <c r="AA815" s="30"/>
      <c r="AB815" s="1005"/>
    </row>
    <row r="816" spans="1:28">
      <c r="A816" s="29"/>
      <c r="B816" s="30"/>
      <c r="C816" s="30"/>
      <c r="D816" s="736"/>
      <c r="E816" s="30"/>
      <c r="F816" s="30"/>
      <c r="G816" s="30"/>
      <c r="H816" s="30"/>
      <c r="I816" s="30"/>
      <c r="J816" s="30"/>
      <c r="K816" s="30"/>
      <c r="L816" s="30"/>
      <c r="M816" s="30"/>
      <c r="N816" s="37"/>
      <c r="O816" s="30"/>
      <c r="P816" s="30"/>
      <c r="Q816" s="30"/>
      <c r="R816" s="30"/>
      <c r="S816" s="736"/>
      <c r="T816" s="30"/>
      <c r="U816" s="30"/>
      <c r="V816" s="30"/>
      <c r="W816" s="30"/>
      <c r="X816" s="30"/>
      <c r="Y816" s="30"/>
      <c r="Z816" s="30"/>
      <c r="AA816" s="30"/>
      <c r="AB816" s="1005"/>
    </row>
    <row r="817" spans="1:28">
      <c r="A817" s="29"/>
      <c r="B817" s="30"/>
      <c r="C817" s="30"/>
      <c r="D817" s="736"/>
      <c r="E817" s="30"/>
      <c r="F817" s="30"/>
      <c r="G817" s="30"/>
      <c r="H817" s="30"/>
      <c r="I817" s="30"/>
      <c r="J817" s="30"/>
      <c r="K817" s="30"/>
      <c r="L817" s="30"/>
      <c r="M817" s="30"/>
      <c r="N817" s="37"/>
      <c r="O817" s="30"/>
      <c r="P817" s="30"/>
      <c r="Q817" s="30"/>
      <c r="R817" s="30"/>
      <c r="S817" s="736"/>
      <c r="T817" s="30"/>
      <c r="U817" s="30"/>
      <c r="V817" s="30"/>
      <c r="W817" s="30"/>
      <c r="X817" s="30"/>
      <c r="Y817" s="30"/>
      <c r="Z817" s="30"/>
      <c r="AA817" s="30"/>
      <c r="AB817" s="1005"/>
    </row>
    <row r="818" spans="1:28">
      <c r="A818" s="29"/>
      <c r="B818" s="30"/>
      <c r="C818" s="30"/>
      <c r="D818" s="736"/>
      <c r="E818" s="30"/>
      <c r="F818" s="30"/>
      <c r="G818" s="30"/>
      <c r="H818" s="30"/>
      <c r="I818" s="30"/>
      <c r="J818" s="30"/>
      <c r="K818" s="30"/>
      <c r="L818" s="30"/>
      <c r="M818" s="30"/>
      <c r="N818" s="37"/>
      <c r="O818" s="30"/>
      <c r="P818" s="30"/>
      <c r="Q818" s="30"/>
      <c r="R818" s="30"/>
      <c r="S818" s="736"/>
      <c r="T818" s="30"/>
      <c r="U818" s="30"/>
      <c r="V818" s="30"/>
      <c r="W818" s="30"/>
      <c r="X818" s="30"/>
      <c r="Y818" s="30"/>
      <c r="Z818" s="30"/>
      <c r="AA818" s="30"/>
      <c r="AB818" s="1005"/>
    </row>
    <row r="819" spans="1:28">
      <c r="A819" s="29"/>
      <c r="B819" s="30"/>
      <c r="C819" s="30"/>
      <c r="D819" s="736"/>
      <c r="E819" s="30"/>
      <c r="F819" s="30"/>
      <c r="G819" s="30"/>
      <c r="H819" s="30"/>
      <c r="I819" s="30"/>
      <c r="J819" s="30"/>
      <c r="K819" s="30"/>
      <c r="L819" s="30"/>
      <c r="M819" s="30"/>
      <c r="N819" s="37"/>
      <c r="O819" s="30"/>
      <c r="P819" s="30"/>
      <c r="Q819" s="30"/>
      <c r="R819" s="30"/>
      <c r="S819" s="736"/>
      <c r="T819" s="30"/>
      <c r="U819" s="30"/>
      <c r="V819" s="30"/>
      <c r="W819" s="30"/>
      <c r="X819" s="30"/>
      <c r="Y819" s="30"/>
      <c r="Z819" s="30"/>
      <c r="AA819" s="30"/>
      <c r="AB819" s="1005"/>
    </row>
    <row r="820" spans="1:28">
      <c r="A820" s="29"/>
      <c r="B820" s="30"/>
      <c r="C820" s="30"/>
      <c r="D820" s="736"/>
      <c r="E820" s="30"/>
      <c r="F820" s="30"/>
      <c r="G820" s="30"/>
      <c r="H820" s="30"/>
      <c r="I820" s="30"/>
      <c r="J820" s="30"/>
      <c r="K820" s="30"/>
      <c r="L820" s="30"/>
      <c r="M820" s="30"/>
      <c r="N820" s="37"/>
      <c r="O820" s="30"/>
      <c r="P820" s="30"/>
      <c r="Q820" s="30"/>
      <c r="R820" s="30"/>
      <c r="S820" s="736"/>
      <c r="T820" s="30"/>
      <c r="U820" s="30"/>
      <c r="V820" s="30"/>
      <c r="W820" s="30"/>
      <c r="X820" s="30"/>
      <c r="Y820" s="30"/>
      <c r="Z820" s="30"/>
      <c r="AA820" s="30"/>
      <c r="AB820" s="1005"/>
    </row>
    <row r="821" spans="1:28">
      <c r="A821" s="29"/>
      <c r="B821" s="30"/>
      <c r="C821" s="30"/>
      <c r="D821" s="736"/>
      <c r="E821" s="30"/>
      <c r="F821" s="30"/>
      <c r="G821" s="30"/>
      <c r="H821" s="30"/>
      <c r="I821" s="30"/>
      <c r="J821" s="30"/>
      <c r="K821" s="30"/>
      <c r="L821" s="30"/>
      <c r="M821" s="30"/>
      <c r="N821" s="37"/>
      <c r="O821" s="30"/>
      <c r="P821" s="30"/>
      <c r="Q821" s="30"/>
      <c r="R821" s="30"/>
      <c r="S821" s="736"/>
      <c r="T821" s="30"/>
      <c r="U821" s="30"/>
      <c r="V821" s="30"/>
      <c r="W821" s="30"/>
      <c r="X821" s="30"/>
      <c r="Y821" s="30"/>
      <c r="Z821" s="30"/>
      <c r="AA821" s="30"/>
      <c r="AB821" s="1005"/>
    </row>
    <row r="822" spans="1:28">
      <c r="A822" s="29"/>
      <c r="B822" s="30"/>
      <c r="C822" s="30"/>
      <c r="D822" s="736"/>
      <c r="E822" s="30"/>
      <c r="F822" s="30"/>
      <c r="G822" s="30"/>
      <c r="H822" s="30"/>
      <c r="I822" s="30"/>
      <c r="J822" s="30"/>
      <c r="K822" s="30"/>
      <c r="L822" s="30"/>
      <c r="M822" s="30"/>
      <c r="N822" s="37"/>
      <c r="O822" s="30"/>
      <c r="P822" s="30"/>
      <c r="Q822" s="30"/>
      <c r="R822" s="30"/>
      <c r="S822" s="736"/>
      <c r="T822" s="30"/>
      <c r="U822" s="30"/>
      <c r="V822" s="30"/>
      <c r="W822" s="30"/>
      <c r="X822" s="30"/>
      <c r="Y822" s="30"/>
      <c r="Z822" s="30"/>
      <c r="AA822" s="30"/>
      <c r="AB822" s="1005"/>
    </row>
    <row r="823" spans="1:28">
      <c r="A823" s="29"/>
      <c r="B823" s="30"/>
      <c r="C823" s="30"/>
      <c r="D823" s="736"/>
      <c r="E823" s="30"/>
      <c r="F823" s="30"/>
      <c r="G823" s="30"/>
      <c r="H823" s="30"/>
      <c r="I823" s="30"/>
      <c r="J823" s="30"/>
      <c r="K823" s="30"/>
      <c r="L823" s="30"/>
      <c r="M823" s="30"/>
      <c r="N823" s="37"/>
      <c r="O823" s="30"/>
      <c r="P823" s="30"/>
      <c r="Q823" s="30"/>
      <c r="R823" s="30"/>
      <c r="S823" s="736"/>
      <c r="T823" s="30"/>
      <c r="U823" s="30"/>
      <c r="V823" s="30"/>
      <c r="W823" s="30"/>
      <c r="X823" s="30"/>
      <c r="Y823" s="30"/>
      <c r="Z823" s="30"/>
      <c r="AA823" s="30"/>
      <c r="AB823" s="1005"/>
    </row>
    <row r="824" spans="1:28">
      <c r="A824" s="29"/>
      <c r="B824" s="30"/>
      <c r="C824" s="30"/>
      <c r="D824" s="736"/>
      <c r="E824" s="30"/>
      <c r="F824" s="30"/>
      <c r="G824" s="30"/>
      <c r="H824" s="30"/>
      <c r="I824" s="30"/>
      <c r="J824" s="30"/>
      <c r="K824" s="30"/>
      <c r="L824" s="30"/>
      <c r="M824" s="30"/>
      <c r="N824" s="37"/>
      <c r="O824" s="30"/>
      <c r="P824" s="30"/>
      <c r="Q824" s="30"/>
      <c r="R824" s="30"/>
      <c r="S824" s="736"/>
      <c r="T824" s="30"/>
      <c r="U824" s="30"/>
      <c r="V824" s="30"/>
      <c r="W824" s="30"/>
      <c r="X824" s="30"/>
      <c r="Y824" s="30"/>
      <c r="Z824" s="30"/>
      <c r="AA824" s="30"/>
      <c r="AB824" s="1005"/>
    </row>
    <row r="825" spans="1:28">
      <c r="A825" s="29"/>
      <c r="B825" s="30"/>
      <c r="C825" s="30"/>
      <c r="D825" s="736"/>
      <c r="E825" s="30"/>
      <c r="F825" s="30"/>
      <c r="G825" s="30"/>
      <c r="H825" s="30"/>
      <c r="I825" s="30"/>
      <c r="J825" s="30"/>
      <c r="K825" s="30"/>
      <c r="L825" s="30"/>
      <c r="M825" s="30"/>
      <c r="N825" s="37"/>
      <c r="O825" s="30"/>
      <c r="P825" s="30"/>
      <c r="Q825" s="30"/>
      <c r="R825" s="30"/>
      <c r="S825" s="736"/>
      <c r="T825" s="30"/>
      <c r="U825" s="30"/>
      <c r="V825" s="30"/>
      <c r="W825" s="30"/>
      <c r="X825" s="30"/>
      <c r="Y825" s="30"/>
      <c r="Z825" s="30"/>
      <c r="AA825" s="30"/>
      <c r="AB825" s="1005"/>
    </row>
    <row r="826" spans="1:28">
      <c r="A826" s="29"/>
      <c r="B826" s="30"/>
      <c r="C826" s="30"/>
      <c r="D826" s="736"/>
      <c r="E826" s="30"/>
      <c r="F826" s="30"/>
      <c r="G826" s="30"/>
      <c r="H826" s="30"/>
      <c r="I826" s="30"/>
      <c r="J826" s="30"/>
      <c r="K826" s="30"/>
      <c r="L826" s="30"/>
      <c r="M826" s="30"/>
      <c r="N826" s="37"/>
      <c r="O826" s="30"/>
      <c r="P826" s="30"/>
      <c r="Q826" s="30"/>
      <c r="R826" s="30"/>
      <c r="S826" s="736"/>
      <c r="T826" s="30"/>
      <c r="U826" s="30"/>
      <c r="V826" s="30"/>
      <c r="W826" s="30"/>
      <c r="X826" s="30"/>
      <c r="Y826" s="30"/>
      <c r="Z826" s="30"/>
      <c r="AA826" s="30"/>
      <c r="AB826" s="1005"/>
    </row>
    <row r="827" spans="1:28">
      <c r="A827" s="29"/>
      <c r="B827" s="30"/>
      <c r="C827" s="30"/>
      <c r="D827" s="736"/>
      <c r="E827" s="30"/>
      <c r="F827" s="30"/>
      <c r="G827" s="30"/>
      <c r="H827" s="30"/>
      <c r="I827" s="30"/>
      <c r="J827" s="30"/>
      <c r="K827" s="30"/>
      <c r="L827" s="30"/>
      <c r="M827" s="30"/>
      <c r="N827" s="37"/>
      <c r="O827" s="30"/>
      <c r="P827" s="30"/>
      <c r="Q827" s="30"/>
      <c r="R827" s="30"/>
      <c r="S827" s="736"/>
      <c r="T827" s="30"/>
      <c r="U827" s="30"/>
      <c r="V827" s="30"/>
      <c r="W827" s="30"/>
      <c r="X827" s="30"/>
      <c r="Y827" s="30"/>
      <c r="Z827" s="30"/>
      <c r="AA827" s="30"/>
      <c r="AB827" s="1005"/>
    </row>
    <row r="828" spans="1:28">
      <c r="A828" s="29"/>
      <c r="B828" s="30"/>
      <c r="C828" s="30"/>
      <c r="D828" s="736"/>
      <c r="E828" s="30"/>
      <c r="F828" s="30"/>
      <c r="G828" s="30"/>
      <c r="H828" s="30"/>
      <c r="I828" s="30"/>
      <c r="J828" s="30"/>
      <c r="K828" s="30"/>
      <c r="L828" s="30"/>
      <c r="M828" s="30"/>
      <c r="N828" s="37"/>
      <c r="O828" s="30"/>
      <c r="P828" s="30"/>
      <c r="Q828" s="30"/>
      <c r="R828" s="30"/>
      <c r="S828" s="736"/>
      <c r="T828" s="30"/>
      <c r="U828" s="30"/>
      <c r="V828" s="30"/>
      <c r="W828" s="30"/>
      <c r="X828" s="30"/>
      <c r="Y828" s="30"/>
      <c r="Z828" s="30"/>
      <c r="AA828" s="30"/>
      <c r="AB828" s="1005"/>
    </row>
    <row r="829" spans="1:28">
      <c r="A829" s="29"/>
      <c r="B829" s="30"/>
      <c r="C829" s="30"/>
      <c r="D829" s="736"/>
      <c r="E829" s="30"/>
      <c r="F829" s="30"/>
      <c r="G829" s="30"/>
      <c r="H829" s="30"/>
      <c r="I829" s="30"/>
      <c r="J829" s="30"/>
      <c r="K829" s="30"/>
      <c r="L829" s="30"/>
      <c r="M829" s="30"/>
      <c r="N829" s="37"/>
      <c r="O829" s="30"/>
      <c r="P829" s="30"/>
      <c r="Q829" s="30"/>
      <c r="R829" s="30"/>
      <c r="S829" s="736"/>
      <c r="T829" s="30"/>
      <c r="U829" s="30"/>
      <c r="V829" s="30"/>
      <c r="W829" s="30"/>
      <c r="X829" s="30"/>
      <c r="Y829" s="30"/>
      <c r="Z829" s="30"/>
      <c r="AA829" s="30"/>
      <c r="AB829" s="1005"/>
    </row>
    <row r="830" spans="1:28">
      <c r="A830" s="29"/>
      <c r="B830" s="30"/>
      <c r="C830" s="30"/>
      <c r="D830" s="736"/>
      <c r="E830" s="30"/>
      <c r="F830" s="30"/>
      <c r="G830" s="30"/>
      <c r="H830" s="30"/>
      <c r="I830" s="30"/>
      <c r="J830" s="30"/>
      <c r="K830" s="30"/>
      <c r="L830" s="30"/>
      <c r="M830" s="30"/>
      <c r="N830" s="37"/>
      <c r="O830" s="30"/>
      <c r="P830" s="30"/>
      <c r="Q830" s="30"/>
      <c r="R830" s="30"/>
      <c r="S830" s="736"/>
      <c r="T830" s="30"/>
      <c r="U830" s="30"/>
      <c r="V830" s="30"/>
      <c r="W830" s="30"/>
      <c r="X830" s="30"/>
      <c r="Y830" s="30"/>
      <c r="Z830" s="30"/>
      <c r="AA830" s="30"/>
      <c r="AB830" s="1005"/>
    </row>
    <row r="831" spans="1:28">
      <c r="A831" s="29"/>
      <c r="B831" s="30"/>
      <c r="C831" s="30"/>
      <c r="D831" s="736"/>
      <c r="E831" s="30"/>
      <c r="F831" s="30"/>
      <c r="G831" s="30"/>
      <c r="H831" s="30"/>
      <c r="I831" s="30"/>
      <c r="J831" s="30"/>
      <c r="K831" s="30"/>
      <c r="L831" s="30"/>
      <c r="M831" s="30"/>
      <c r="N831" s="37"/>
      <c r="O831" s="30"/>
      <c r="P831" s="30"/>
      <c r="Q831" s="30"/>
      <c r="R831" s="30"/>
      <c r="S831" s="736"/>
      <c r="T831" s="30"/>
      <c r="U831" s="30"/>
      <c r="V831" s="30"/>
      <c r="W831" s="30"/>
      <c r="X831" s="30"/>
      <c r="Y831" s="30"/>
      <c r="Z831" s="30"/>
      <c r="AA831" s="30"/>
      <c r="AB831" s="1005"/>
    </row>
    <row r="832" spans="1:28">
      <c r="A832" s="29"/>
      <c r="B832" s="30"/>
      <c r="C832" s="30"/>
      <c r="D832" s="736"/>
      <c r="E832" s="30"/>
      <c r="F832" s="30"/>
      <c r="G832" s="30"/>
      <c r="H832" s="30"/>
      <c r="I832" s="30"/>
      <c r="J832" s="30"/>
      <c r="K832" s="30"/>
      <c r="L832" s="30"/>
      <c r="M832" s="30"/>
      <c r="N832" s="37"/>
      <c r="O832" s="30"/>
      <c r="P832" s="30"/>
      <c r="Q832" s="30"/>
      <c r="R832" s="30"/>
      <c r="S832" s="736"/>
      <c r="T832" s="30"/>
      <c r="U832" s="30"/>
      <c r="V832" s="30"/>
      <c r="W832" s="30"/>
      <c r="X832" s="30"/>
      <c r="Y832" s="30"/>
      <c r="Z832" s="30"/>
      <c r="AA832" s="30"/>
      <c r="AB832" s="1005"/>
    </row>
    <row r="833" spans="1:28">
      <c r="A833" s="29"/>
      <c r="B833" s="30"/>
      <c r="C833" s="30"/>
      <c r="D833" s="736"/>
      <c r="E833" s="30"/>
      <c r="F833" s="30"/>
      <c r="G833" s="30"/>
      <c r="H833" s="30"/>
      <c r="I833" s="30"/>
      <c r="J833" s="30"/>
      <c r="K833" s="30"/>
      <c r="L833" s="30"/>
      <c r="M833" s="30"/>
      <c r="N833" s="37"/>
      <c r="O833" s="30"/>
      <c r="P833" s="30"/>
      <c r="Q833" s="30"/>
      <c r="R833" s="30"/>
      <c r="S833" s="736"/>
      <c r="T833" s="30"/>
      <c r="U833" s="30"/>
      <c r="V833" s="30"/>
      <c r="W833" s="30"/>
      <c r="X833" s="30"/>
      <c r="Y833" s="30"/>
      <c r="Z833" s="30"/>
      <c r="AA833" s="30"/>
      <c r="AB833" s="1005"/>
    </row>
    <row r="834" spans="1:28">
      <c r="A834" s="29"/>
      <c r="B834" s="30"/>
      <c r="C834" s="30"/>
      <c r="D834" s="736"/>
      <c r="E834" s="30"/>
      <c r="F834" s="30"/>
      <c r="G834" s="30"/>
      <c r="H834" s="30"/>
      <c r="I834" s="30"/>
      <c r="J834" s="30"/>
      <c r="K834" s="30"/>
      <c r="L834" s="30"/>
      <c r="M834" s="30"/>
      <c r="N834" s="37"/>
      <c r="O834" s="30"/>
      <c r="P834" s="30"/>
      <c r="Q834" s="30"/>
      <c r="R834" s="30"/>
      <c r="S834" s="736"/>
      <c r="T834" s="30"/>
      <c r="U834" s="30"/>
      <c r="V834" s="30"/>
      <c r="W834" s="30"/>
      <c r="X834" s="30"/>
      <c r="Y834" s="30"/>
      <c r="Z834" s="30"/>
      <c r="AA834" s="30"/>
      <c r="AB834" s="1005"/>
    </row>
    <row r="835" spans="1:28">
      <c r="A835" s="29"/>
      <c r="B835" s="30"/>
      <c r="C835" s="30"/>
      <c r="D835" s="736"/>
      <c r="E835" s="30"/>
      <c r="F835" s="30"/>
      <c r="G835" s="30"/>
      <c r="H835" s="30"/>
      <c r="I835" s="30"/>
      <c r="J835" s="30"/>
      <c r="K835" s="30"/>
      <c r="L835" s="30"/>
      <c r="M835" s="30"/>
      <c r="N835" s="37"/>
      <c r="O835" s="30"/>
      <c r="P835" s="30"/>
      <c r="Q835" s="30"/>
      <c r="R835" s="30"/>
      <c r="S835" s="736"/>
      <c r="T835" s="30"/>
      <c r="U835" s="30"/>
      <c r="V835" s="30"/>
      <c r="W835" s="30"/>
      <c r="X835" s="30"/>
      <c r="Y835" s="30"/>
      <c r="Z835" s="30"/>
      <c r="AA835" s="30"/>
      <c r="AB835" s="1005"/>
    </row>
    <row r="836" spans="1:28">
      <c r="A836" s="29"/>
      <c r="B836" s="30"/>
      <c r="C836" s="30"/>
      <c r="D836" s="736"/>
      <c r="E836" s="30"/>
      <c r="F836" s="30"/>
      <c r="G836" s="30"/>
      <c r="H836" s="30"/>
      <c r="I836" s="30"/>
      <c r="J836" s="30"/>
      <c r="K836" s="30"/>
      <c r="L836" s="30"/>
      <c r="M836" s="30"/>
      <c r="N836" s="37"/>
      <c r="O836" s="30"/>
      <c r="P836" s="30"/>
      <c r="Q836" s="30"/>
      <c r="R836" s="30"/>
      <c r="S836" s="736"/>
      <c r="T836" s="30"/>
      <c r="U836" s="30"/>
      <c r="V836" s="30"/>
      <c r="W836" s="30"/>
      <c r="X836" s="30"/>
      <c r="Y836" s="30"/>
      <c r="Z836" s="30"/>
      <c r="AA836" s="30"/>
      <c r="AB836" s="1005"/>
    </row>
    <row r="837" spans="1:28">
      <c r="A837" s="29"/>
      <c r="B837" s="30"/>
      <c r="C837" s="30"/>
      <c r="D837" s="736"/>
      <c r="E837" s="30"/>
      <c r="F837" s="30"/>
      <c r="G837" s="30"/>
      <c r="H837" s="30"/>
      <c r="I837" s="30"/>
      <c r="J837" s="30"/>
      <c r="K837" s="30"/>
      <c r="L837" s="30"/>
      <c r="M837" s="30"/>
      <c r="N837" s="37"/>
      <c r="O837" s="30"/>
      <c r="P837" s="30"/>
      <c r="Q837" s="30"/>
      <c r="R837" s="30"/>
      <c r="S837" s="736"/>
      <c r="T837" s="30"/>
      <c r="U837" s="30"/>
      <c r="V837" s="30"/>
      <c r="W837" s="30"/>
      <c r="X837" s="30"/>
      <c r="Y837" s="30"/>
      <c r="Z837" s="30"/>
      <c r="AA837" s="30"/>
      <c r="AB837" s="1005"/>
    </row>
    <row r="838" spans="1:28">
      <c r="A838" s="29"/>
      <c r="B838" s="30"/>
      <c r="C838" s="30"/>
      <c r="D838" s="736"/>
      <c r="E838" s="30"/>
      <c r="F838" s="30"/>
      <c r="G838" s="30"/>
      <c r="H838" s="30"/>
      <c r="I838" s="30"/>
      <c r="J838" s="30"/>
      <c r="K838" s="30"/>
      <c r="L838" s="30"/>
      <c r="M838" s="30"/>
      <c r="N838" s="37"/>
      <c r="O838" s="30"/>
      <c r="P838" s="30"/>
      <c r="Q838" s="30"/>
      <c r="R838" s="30"/>
      <c r="S838" s="736"/>
      <c r="T838" s="30"/>
      <c r="U838" s="30"/>
      <c r="V838" s="30"/>
      <c r="W838" s="30"/>
      <c r="X838" s="30"/>
      <c r="Y838" s="30"/>
      <c r="Z838" s="30"/>
      <c r="AA838" s="30"/>
      <c r="AB838" s="1005"/>
    </row>
    <row r="839" spans="1:28">
      <c r="A839" s="29"/>
      <c r="B839" s="30"/>
      <c r="C839" s="30"/>
      <c r="D839" s="736"/>
      <c r="E839" s="30"/>
      <c r="F839" s="30"/>
      <c r="G839" s="30"/>
      <c r="H839" s="30"/>
      <c r="I839" s="30"/>
      <c r="J839" s="30"/>
      <c r="K839" s="30"/>
      <c r="L839" s="30"/>
      <c r="M839" s="30"/>
      <c r="N839" s="37"/>
      <c r="O839" s="30"/>
      <c r="P839" s="30"/>
      <c r="Q839" s="30"/>
      <c r="R839" s="30"/>
      <c r="S839" s="736"/>
      <c r="T839" s="30"/>
      <c r="U839" s="30"/>
      <c r="V839" s="30"/>
      <c r="W839" s="30"/>
      <c r="X839" s="30"/>
      <c r="Y839" s="30"/>
      <c r="Z839" s="30"/>
      <c r="AA839" s="30"/>
      <c r="AB839" s="1005"/>
    </row>
    <row r="840" spans="1:28">
      <c r="A840" s="29"/>
      <c r="B840" s="30"/>
      <c r="C840" s="30"/>
      <c r="D840" s="736"/>
      <c r="E840" s="30"/>
      <c r="F840" s="30"/>
      <c r="G840" s="30"/>
      <c r="H840" s="30"/>
      <c r="I840" s="30"/>
      <c r="J840" s="30"/>
      <c r="K840" s="30"/>
      <c r="L840" s="30"/>
      <c r="M840" s="30"/>
      <c r="N840" s="37"/>
      <c r="O840" s="30"/>
      <c r="P840" s="30"/>
      <c r="Q840" s="30"/>
      <c r="R840" s="30"/>
      <c r="S840" s="736"/>
      <c r="T840" s="30"/>
      <c r="U840" s="30"/>
      <c r="V840" s="30"/>
      <c r="W840" s="30"/>
      <c r="X840" s="30"/>
      <c r="Y840" s="30"/>
      <c r="Z840" s="30"/>
      <c r="AA840" s="30"/>
      <c r="AB840" s="1005"/>
    </row>
    <row r="841" spans="1:28">
      <c r="A841" s="29"/>
      <c r="B841" s="30"/>
      <c r="C841" s="30"/>
      <c r="D841" s="736"/>
      <c r="E841" s="30"/>
      <c r="F841" s="30"/>
      <c r="G841" s="30"/>
      <c r="H841" s="30"/>
      <c r="I841" s="30"/>
      <c r="J841" s="30"/>
      <c r="K841" s="30"/>
      <c r="L841" s="30"/>
      <c r="M841" s="30"/>
      <c r="N841" s="37"/>
      <c r="O841" s="30"/>
      <c r="P841" s="30"/>
      <c r="Q841" s="30"/>
      <c r="R841" s="30"/>
      <c r="S841" s="736"/>
      <c r="T841" s="30"/>
      <c r="U841" s="30"/>
      <c r="V841" s="30"/>
      <c r="W841" s="30"/>
      <c r="X841" s="30"/>
      <c r="Y841" s="30"/>
      <c r="Z841" s="30"/>
      <c r="AA841" s="30"/>
      <c r="AB841" s="1005"/>
    </row>
    <row r="842" spans="1:28">
      <c r="A842" s="29"/>
      <c r="B842" s="30"/>
      <c r="C842" s="30"/>
      <c r="D842" s="736"/>
      <c r="E842" s="30"/>
      <c r="F842" s="30"/>
      <c r="G842" s="30"/>
      <c r="H842" s="30"/>
      <c r="I842" s="30"/>
      <c r="J842" s="30"/>
      <c r="K842" s="30"/>
      <c r="L842" s="30"/>
      <c r="M842" s="30"/>
      <c r="N842" s="37"/>
      <c r="O842" s="30"/>
      <c r="P842" s="30"/>
      <c r="Q842" s="30"/>
      <c r="R842" s="30"/>
      <c r="S842" s="736"/>
      <c r="T842" s="30"/>
      <c r="U842" s="30"/>
      <c r="V842" s="30"/>
      <c r="W842" s="30"/>
      <c r="X842" s="30"/>
      <c r="Y842" s="30"/>
      <c r="Z842" s="30"/>
      <c r="AA842" s="30"/>
      <c r="AB842" s="1005"/>
    </row>
    <row r="843" spans="1:28">
      <c r="A843" s="29"/>
      <c r="B843" s="30"/>
      <c r="C843" s="30"/>
      <c r="D843" s="736"/>
      <c r="E843" s="30"/>
      <c r="F843" s="30"/>
      <c r="G843" s="30"/>
      <c r="H843" s="30"/>
      <c r="I843" s="30"/>
      <c r="J843" s="30"/>
      <c r="K843" s="30"/>
      <c r="L843" s="30"/>
      <c r="M843" s="30"/>
      <c r="N843" s="37"/>
      <c r="O843" s="30"/>
      <c r="P843" s="30"/>
      <c r="Q843" s="30"/>
      <c r="R843" s="30"/>
      <c r="S843" s="736"/>
      <c r="T843" s="30"/>
      <c r="U843" s="30"/>
      <c r="V843" s="30"/>
      <c r="W843" s="30"/>
      <c r="X843" s="30"/>
      <c r="Y843" s="30"/>
      <c r="Z843" s="30"/>
      <c r="AA843" s="30"/>
      <c r="AB843" s="1005"/>
    </row>
    <row r="844" spans="1:28">
      <c r="A844" s="29"/>
      <c r="B844" s="30"/>
      <c r="C844" s="30"/>
      <c r="D844" s="736"/>
      <c r="E844" s="30"/>
      <c r="F844" s="30"/>
      <c r="G844" s="30"/>
      <c r="H844" s="30"/>
      <c r="I844" s="30"/>
      <c r="J844" s="30"/>
      <c r="K844" s="30"/>
      <c r="L844" s="30"/>
      <c r="M844" s="30"/>
      <c r="N844" s="37"/>
      <c r="O844" s="30"/>
      <c r="P844" s="30"/>
      <c r="Q844" s="30"/>
      <c r="R844" s="30"/>
      <c r="S844" s="736"/>
      <c r="T844" s="30"/>
      <c r="U844" s="30"/>
      <c r="V844" s="30"/>
      <c r="W844" s="30"/>
      <c r="X844" s="30"/>
      <c r="Y844" s="30"/>
      <c r="Z844" s="30"/>
      <c r="AA844" s="30"/>
      <c r="AB844" s="1005"/>
    </row>
    <row r="845" spans="1:28">
      <c r="A845" s="29"/>
      <c r="B845" s="30"/>
      <c r="C845" s="30"/>
      <c r="D845" s="736"/>
      <c r="E845" s="30"/>
      <c r="F845" s="30"/>
      <c r="G845" s="30"/>
      <c r="H845" s="30"/>
      <c r="I845" s="30"/>
      <c r="J845" s="30"/>
      <c r="K845" s="30"/>
      <c r="L845" s="30"/>
      <c r="M845" s="30"/>
      <c r="N845" s="37"/>
      <c r="O845" s="30"/>
      <c r="P845" s="30"/>
      <c r="Q845" s="30"/>
      <c r="R845" s="30"/>
      <c r="S845" s="736"/>
      <c r="T845" s="30"/>
      <c r="U845" s="30"/>
      <c r="V845" s="30"/>
      <c r="W845" s="30"/>
      <c r="X845" s="30"/>
      <c r="Y845" s="30"/>
      <c r="Z845" s="30"/>
      <c r="AA845" s="30"/>
      <c r="AB845" s="1005"/>
    </row>
    <row r="846" spans="1:28">
      <c r="A846" s="29"/>
      <c r="B846" s="30"/>
      <c r="C846" s="30"/>
      <c r="D846" s="736"/>
      <c r="E846" s="30"/>
      <c r="F846" s="30"/>
      <c r="G846" s="30"/>
      <c r="H846" s="30"/>
      <c r="I846" s="30"/>
      <c r="J846" s="30"/>
      <c r="K846" s="30"/>
      <c r="L846" s="30"/>
      <c r="M846" s="30"/>
      <c r="N846" s="37"/>
      <c r="O846" s="30"/>
      <c r="P846" s="30"/>
      <c r="Q846" s="30"/>
      <c r="R846" s="30"/>
      <c r="S846" s="736"/>
      <c r="T846" s="30"/>
      <c r="U846" s="30"/>
      <c r="V846" s="30"/>
      <c r="W846" s="30"/>
      <c r="X846" s="30"/>
      <c r="Y846" s="30"/>
      <c r="Z846" s="30"/>
      <c r="AA846" s="30"/>
      <c r="AB846" s="1005"/>
    </row>
    <row r="847" spans="1:28">
      <c r="A847" s="29"/>
      <c r="B847" s="30"/>
      <c r="C847" s="30"/>
      <c r="D847" s="736"/>
      <c r="E847" s="30"/>
      <c r="F847" s="30"/>
      <c r="G847" s="30"/>
      <c r="H847" s="30"/>
      <c r="I847" s="30"/>
      <c r="J847" s="30"/>
      <c r="K847" s="30"/>
      <c r="L847" s="30"/>
      <c r="M847" s="30"/>
      <c r="N847" s="37"/>
      <c r="O847" s="30"/>
      <c r="P847" s="30"/>
      <c r="Q847" s="30"/>
      <c r="R847" s="30"/>
      <c r="S847" s="736"/>
      <c r="T847" s="30"/>
      <c r="U847" s="30"/>
      <c r="V847" s="30"/>
      <c r="W847" s="30"/>
      <c r="X847" s="30"/>
      <c r="Y847" s="30"/>
      <c r="Z847" s="30"/>
      <c r="AA847" s="30"/>
      <c r="AB847" s="1005"/>
    </row>
    <row r="848" spans="1:28">
      <c r="A848" s="29"/>
      <c r="B848" s="30"/>
      <c r="C848" s="30"/>
      <c r="D848" s="736"/>
      <c r="E848" s="30"/>
      <c r="F848" s="30"/>
      <c r="G848" s="30"/>
      <c r="H848" s="30"/>
      <c r="I848" s="30"/>
      <c r="J848" s="30"/>
      <c r="K848" s="30"/>
      <c r="L848" s="30"/>
      <c r="M848" s="30"/>
      <c r="N848" s="37"/>
      <c r="O848" s="30"/>
      <c r="P848" s="30"/>
      <c r="Q848" s="30"/>
      <c r="R848" s="30"/>
      <c r="S848" s="736"/>
      <c r="T848" s="30"/>
      <c r="U848" s="30"/>
      <c r="V848" s="30"/>
      <c r="W848" s="30"/>
      <c r="X848" s="30"/>
      <c r="Y848" s="30"/>
      <c r="Z848" s="30"/>
      <c r="AA848" s="30"/>
      <c r="AB848" s="1005"/>
    </row>
    <row r="849" spans="1:28">
      <c r="A849" s="29"/>
      <c r="B849" s="30"/>
      <c r="C849" s="30"/>
      <c r="D849" s="736"/>
      <c r="E849" s="30"/>
      <c r="F849" s="30"/>
      <c r="G849" s="30"/>
      <c r="H849" s="30"/>
      <c r="I849" s="30"/>
      <c r="J849" s="30"/>
      <c r="K849" s="30"/>
      <c r="L849" s="30"/>
      <c r="M849" s="30"/>
      <c r="N849" s="37"/>
      <c r="O849" s="30"/>
      <c r="P849" s="30"/>
      <c r="Q849" s="30"/>
      <c r="R849" s="30"/>
      <c r="S849" s="736"/>
      <c r="T849" s="30"/>
      <c r="U849" s="30"/>
      <c r="V849" s="30"/>
      <c r="W849" s="30"/>
      <c r="X849" s="30"/>
      <c r="Y849" s="30"/>
      <c r="Z849" s="30"/>
      <c r="AA849" s="30"/>
      <c r="AB849" s="1005"/>
    </row>
    <row r="850" spans="1:28">
      <c r="A850" s="29"/>
      <c r="B850" s="30"/>
      <c r="C850" s="30"/>
      <c r="D850" s="736"/>
      <c r="E850" s="30"/>
      <c r="F850" s="30"/>
      <c r="G850" s="30"/>
      <c r="H850" s="30"/>
      <c r="I850" s="30"/>
      <c r="J850" s="30"/>
      <c r="K850" s="30"/>
      <c r="L850" s="30"/>
      <c r="M850" s="30"/>
      <c r="N850" s="37"/>
      <c r="O850" s="30"/>
      <c r="P850" s="30"/>
      <c r="Q850" s="30"/>
      <c r="R850" s="30"/>
      <c r="S850" s="736"/>
      <c r="T850" s="30"/>
      <c r="U850" s="30"/>
      <c r="V850" s="30"/>
      <c r="W850" s="30"/>
      <c r="X850" s="30"/>
      <c r="Y850" s="30"/>
      <c r="Z850" s="30"/>
      <c r="AA850" s="30"/>
      <c r="AB850" s="1005"/>
    </row>
    <row r="851" spans="1:28">
      <c r="A851" s="29"/>
      <c r="B851" s="30"/>
      <c r="C851" s="30"/>
      <c r="D851" s="736"/>
      <c r="E851" s="30"/>
      <c r="F851" s="30"/>
      <c r="G851" s="30"/>
      <c r="H851" s="30"/>
      <c r="I851" s="30"/>
      <c r="J851" s="30"/>
      <c r="K851" s="30"/>
      <c r="L851" s="30"/>
      <c r="M851" s="30"/>
      <c r="N851" s="37"/>
      <c r="O851" s="30"/>
      <c r="P851" s="30"/>
      <c r="Q851" s="30"/>
      <c r="R851" s="30"/>
      <c r="S851" s="736"/>
      <c r="T851" s="30"/>
      <c r="U851" s="30"/>
      <c r="V851" s="30"/>
      <c r="W851" s="30"/>
      <c r="X851" s="30"/>
      <c r="Y851" s="30"/>
      <c r="Z851" s="30"/>
      <c r="AA851" s="30"/>
      <c r="AB851" s="1005"/>
    </row>
    <row r="852" spans="1:28">
      <c r="A852" s="29"/>
      <c r="B852" s="30"/>
      <c r="C852" s="30"/>
      <c r="D852" s="736"/>
      <c r="E852" s="30"/>
      <c r="F852" s="30"/>
      <c r="G852" s="30"/>
      <c r="H852" s="30"/>
      <c r="I852" s="30"/>
      <c r="J852" s="30"/>
      <c r="K852" s="30"/>
      <c r="L852" s="30"/>
      <c r="M852" s="30"/>
      <c r="N852" s="37"/>
      <c r="O852" s="30"/>
      <c r="P852" s="30"/>
      <c r="Q852" s="30"/>
      <c r="R852" s="30"/>
      <c r="S852" s="736"/>
      <c r="T852" s="30"/>
      <c r="U852" s="30"/>
      <c r="V852" s="30"/>
      <c r="W852" s="30"/>
      <c r="X852" s="30"/>
      <c r="Y852" s="30"/>
      <c r="Z852" s="30"/>
      <c r="AA852" s="30"/>
      <c r="AB852" s="1005"/>
    </row>
    <row r="853" spans="1:28">
      <c r="A853" s="29"/>
      <c r="B853" s="30"/>
      <c r="C853" s="30"/>
      <c r="D853" s="736"/>
      <c r="E853" s="30"/>
      <c r="F853" s="30"/>
      <c r="G853" s="30"/>
      <c r="H853" s="30"/>
      <c r="I853" s="30"/>
      <c r="J853" s="30"/>
      <c r="K853" s="30"/>
      <c r="L853" s="30"/>
      <c r="M853" s="30"/>
      <c r="N853" s="37"/>
      <c r="O853" s="30"/>
      <c r="P853" s="30"/>
      <c r="Q853" s="30"/>
      <c r="R853" s="30"/>
      <c r="S853" s="736"/>
      <c r="T853" s="30"/>
      <c r="U853" s="30"/>
      <c r="V853" s="30"/>
      <c r="W853" s="30"/>
      <c r="X853" s="30"/>
      <c r="Y853" s="30"/>
      <c r="Z853" s="30"/>
      <c r="AA853" s="30"/>
      <c r="AB853" s="1005"/>
    </row>
    <row r="854" spans="1:28">
      <c r="A854" s="29"/>
      <c r="B854" s="30"/>
      <c r="C854" s="30"/>
      <c r="D854" s="736"/>
      <c r="E854" s="30"/>
      <c r="F854" s="30"/>
      <c r="G854" s="30"/>
      <c r="H854" s="30"/>
      <c r="I854" s="30"/>
      <c r="J854" s="30"/>
      <c r="K854" s="30"/>
      <c r="L854" s="30"/>
      <c r="M854" s="30"/>
      <c r="N854" s="37"/>
      <c r="O854" s="30"/>
      <c r="P854" s="30"/>
      <c r="Q854" s="30"/>
      <c r="R854" s="30"/>
      <c r="S854" s="736"/>
      <c r="T854" s="30"/>
      <c r="U854" s="30"/>
      <c r="V854" s="30"/>
      <c r="W854" s="30"/>
      <c r="X854" s="30"/>
      <c r="Y854" s="30"/>
      <c r="Z854" s="30"/>
      <c r="AA854" s="30"/>
      <c r="AB854" s="1005"/>
    </row>
    <row r="855" spans="1:28">
      <c r="A855" s="29"/>
      <c r="B855" s="30"/>
      <c r="C855" s="30"/>
      <c r="D855" s="736"/>
      <c r="E855" s="30"/>
      <c r="F855" s="30"/>
      <c r="G855" s="30"/>
      <c r="H855" s="30"/>
      <c r="I855" s="30"/>
      <c r="J855" s="30"/>
      <c r="K855" s="30"/>
      <c r="L855" s="30"/>
      <c r="M855" s="30"/>
      <c r="N855" s="37"/>
      <c r="O855" s="30"/>
      <c r="P855" s="30"/>
      <c r="Q855" s="30"/>
      <c r="R855" s="30"/>
      <c r="S855" s="736"/>
      <c r="T855" s="30"/>
      <c r="U855" s="30"/>
      <c r="V855" s="30"/>
      <c r="W855" s="30"/>
      <c r="X855" s="30"/>
      <c r="Y855" s="30"/>
      <c r="Z855" s="30"/>
      <c r="AA855" s="30"/>
      <c r="AB855" s="1005"/>
    </row>
    <row r="856" spans="1:28">
      <c r="A856" s="29"/>
      <c r="B856" s="30"/>
      <c r="C856" s="30"/>
      <c r="D856" s="736"/>
      <c r="E856" s="30"/>
      <c r="F856" s="30"/>
      <c r="G856" s="30"/>
      <c r="H856" s="30"/>
      <c r="I856" s="30"/>
      <c r="J856" s="30"/>
      <c r="K856" s="30"/>
      <c r="L856" s="30"/>
      <c r="M856" s="30"/>
      <c r="N856" s="37"/>
      <c r="O856" s="30"/>
      <c r="P856" s="30"/>
      <c r="Q856" s="30"/>
      <c r="R856" s="30"/>
      <c r="S856" s="736"/>
      <c r="T856" s="30"/>
      <c r="U856" s="30"/>
      <c r="V856" s="30"/>
      <c r="W856" s="30"/>
      <c r="X856" s="30"/>
      <c r="Y856" s="30"/>
      <c r="Z856" s="30"/>
      <c r="AA856" s="30"/>
      <c r="AB856" s="1005"/>
    </row>
    <row r="857" spans="1:28">
      <c r="A857" s="29"/>
      <c r="B857" s="30"/>
      <c r="C857" s="30"/>
      <c r="D857" s="736"/>
      <c r="E857" s="30"/>
      <c r="F857" s="30"/>
      <c r="G857" s="30"/>
      <c r="H857" s="30"/>
      <c r="I857" s="30"/>
      <c r="J857" s="30"/>
      <c r="K857" s="30"/>
      <c r="L857" s="30"/>
      <c r="M857" s="30"/>
      <c r="N857" s="37"/>
      <c r="O857" s="30"/>
      <c r="P857" s="30"/>
      <c r="Q857" s="30"/>
      <c r="R857" s="30"/>
      <c r="S857" s="736"/>
      <c r="T857" s="30"/>
      <c r="U857" s="30"/>
      <c r="V857" s="30"/>
      <c r="W857" s="30"/>
      <c r="X857" s="30"/>
      <c r="Y857" s="30"/>
      <c r="Z857" s="30"/>
      <c r="AA857" s="30"/>
      <c r="AB857" s="1005"/>
    </row>
    <row r="858" spans="1:28">
      <c r="A858" s="29"/>
      <c r="B858" s="30"/>
      <c r="C858" s="30"/>
      <c r="D858" s="736"/>
      <c r="E858" s="30"/>
      <c r="F858" s="30"/>
      <c r="G858" s="30"/>
      <c r="H858" s="30"/>
      <c r="I858" s="30"/>
      <c r="J858" s="30"/>
      <c r="K858" s="30"/>
      <c r="L858" s="30"/>
      <c r="M858" s="30"/>
      <c r="N858" s="37"/>
      <c r="O858" s="30"/>
      <c r="P858" s="30"/>
      <c r="Q858" s="30"/>
      <c r="R858" s="30"/>
      <c r="S858" s="736"/>
      <c r="T858" s="30"/>
      <c r="U858" s="30"/>
      <c r="V858" s="30"/>
      <c r="W858" s="30"/>
      <c r="X858" s="30"/>
      <c r="Y858" s="30"/>
      <c r="Z858" s="30"/>
      <c r="AA858" s="30"/>
      <c r="AB858" s="1005"/>
    </row>
    <row r="859" spans="1:28">
      <c r="A859" s="29"/>
      <c r="B859" s="30"/>
      <c r="C859" s="30"/>
      <c r="D859" s="736"/>
      <c r="E859" s="30"/>
      <c r="F859" s="30"/>
      <c r="G859" s="30"/>
      <c r="H859" s="30"/>
      <c r="I859" s="30"/>
      <c r="J859" s="30"/>
      <c r="K859" s="30"/>
      <c r="L859" s="30"/>
      <c r="M859" s="30"/>
      <c r="N859" s="37"/>
      <c r="O859" s="30"/>
      <c r="P859" s="30"/>
      <c r="Q859" s="30"/>
      <c r="R859" s="30"/>
      <c r="S859" s="736"/>
      <c r="T859" s="30"/>
      <c r="U859" s="30"/>
      <c r="V859" s="30"/>
      <c r="W859" s="30"/>
      <c r="X859" s="30"/>
      <c r="Y859" s="30"/>
      <c r="Z859" s="30"/>
      <c r="AA859" s="30"/>
      <c r="AB859" s="1005"/>
    </row>
    <row r="860" spans="1:28">
      <c r="A860" s="29"/>
      <c r="B860" s="30"/>
      <c r="C860" s="30"/>
      <c r="D860" s="736"/>
      <c r="E860" s="30"/>
      <c r="F860" s="30"/>
      <c r="G860" s="30"/>
      <c r="H860" s="30"/>
      <c r="I860" s="30"/>
      <c r="J860" s="30"/>
      <c r="K860" s="30"/>
      <c r="L860" s="30"/>
      <c r="M860" s="30"/>
      <c r="N860" s="37"/>
      <c r="O860" s="30"/>
      <c r="P860" s="30"/>
      <c r="Q860" s="30"/>
      <c r="R860" s="30"/>
      <c r="S860" s="736"/>
      <c r="T860" s="30"/>
      <c r="U860" s="30"/>
      <c r="V860" s="30"/>
      <c r="W860" s="30"/>
      <c r="X860" s="30"/>
      <c r="Y860" s="30"/>
      <c r="Z860" s="30"/>
      <c r="AA860" s="30"/>
      <c r="AB860" s="1005"/>
    </row>
    <row r="861" spans="1:28">
      <c r="A861" s="29"/>
      <c r="B861" s="30"/>
      <c r="C861" s="30"/>
      <c r="D861" s="736"/>
      <c r="E861" s="30"/>
      <c r="F861" s="30"/>
      <c r="G861" s="30"/>
      <c r="H861" s="30"/>
      <c r="I861" s="30"/>
      <c r="J861" s="30"/>
      <c r="K861" s="30"/>
      <c r="L861" s="30"/>
      <c r="M861" s="30"/>
      <c r="N861" s="37"/>
      <c r="O861" s="30"/>
      <c r="P861" s="30"/>
      <c r="Q861" s="30"/>
      <c r="R861" s="30"/>
      <c r="S861" s="736"/>
      <c r="T861" s="30"/>
      <c r="U861" s="30"/>
      <c r="V861" s="30"/>
      <c r="W861" s="30"/>
      <c r="X861" s="30"/>
      <c r="Y861" s="30"/>
      <c r="Z861" s="30"/>
      <c r="AA861" s="30"/>
      <c r="AB861" s="1005"/>
    </row>
    <row r="862" spans="1:28">
      <c r="A862" s="29"/>
      <c r="B862" s="30"/>
      <c r="C862" s="30"/>
      <c r="D862" s="736"/>
      <c r="E862" s="30"/>
      <c r="F862" s="30"/>
      <c r="G862" s="30"/>
      <c r="H862" s="30"/>
      <c r="I862" s="30"/>
      <c r="J862" s="30"/>
      <c r="K862" s="30"/>
      <c r="L862" s="30"/>
      <c r="M862" s="30"/>
      <c r="N862" s="37"/>
      <c r="O862" s="30"/>
      <c r="P862" s="30"/>
      <c r="Q862" s="30"/>
      <c r="R862" s="30"/>
      <c r="S862" s="736"/>
      <c r="T862" s="30"/>
      <c r="U862" s="30"/>
      <c r="V862" s="30"/>
      <c r="W862" s="30"/>
      <c r="X862" s="30"/>
      <c r="Y862" s="30"/>
      <c r="Z862" s="30"/>
      <c r="AA862" s="30"/>
      <c r="AB862" s="1005"/>
    </row>
    <row r="863" spans="1:28">
      <c r="A863" s="29"/>
      <c r="B863" s="30"/>
      <c r="C863" s="30"/>
      <c r="D863" s="736"/>
      <c r="E863" s="30"/>
      <c r="F863" s="30"/>
      <c r="G863" s="30"/>
      <c r="H863" s="30"/>
      <c r="I863" s="30"/>
      <c r="J863" s="30"/>
      <c r="K863" s="30"/>
      <c r="L863" s="30"/>
      <c r="M863" s="30"/>
      <c r="N863" s="37"/>
      <c r="O863" s="30"/>
      <c r="P863" s="30"/>
      <c r="Q863" s="30"/>
      <c r="R863" s="30"/>
      <c r="S863" s="736"/>
      <c r="T863" s="30"/>
      <c r="U863" s="30"/>
      <c r="V863" s="30"/>
      <c r="W863" s="30"/>
      <c r="X863" s="30"/>
      <c r="Y863" s="30"/>
      <c r="Z863" s="30"/>
      <c r="AA863" s="30"/>
      <c r="AB863" s="1005"/>
    </row>
    <row r="864" spans="1:28">
      <c r="A864" s="29"/>
      <c r="B864" s="30"/>
      <c r="C864" s="30"/>
      <c r="D864" s="736"/>
      <c r="E864" s="30"/>
      <c r="F864" s="30"/>
      <c r="G864" s="30"/>
      <c r="H864" s="30"/>
      <c r="I864" s="30"/>
      <c r="J864" s="30"/>
      <c r="K864" s="30"/>
      <c r="L864" s="30"/>
      <c r="M864" s="30"/>
      <c r="N864" s="37"/>
      <c r="O864" s="30"/>
      <c r="P864" s="30"/>
      <c r="Q864" s="30"/>
      <c r="R864" s="30"/>
      <c r="S864" s="736"/>
      <c r="T864" s="30"/>
      <c r="U864" s="30"/>
      <c r="V864" s="30"/>
      <c r="W864" s="30"/>
      <c r="X864" s="30"/>
      <c r="Y864" s="30"/>
      <c r="Z864" s="30"/>
      <c r="AA864" s="30"/>
      <c r="AB864" s="1005"/>
    </row>
    <row r="865" spans="1:28">
      <c r="A865" s="29"/>
      <c r="B865" s="30"/>
      <c r="C865" s="30"/>
      <c r="D865" s="736"/>
      <c r="E865" s="30"/>
      <c r="F865" s="30"/>
      <c r="G865" s="30"/>
      <c r="H865" s="30"/>
      <c r="I865" s="30"/>
      <c r="J865" s="30"/>
      <c r="K865" s="30"/>
      <c r="L865" s="30"/>
      <c r="M865" s="30"/>
      <c r="N865" s="37"/>
      <c r="O865" s="30"/>
      <c r="P865" s="30"/>
      <c r="Q865" s="30"/>
      <c r="R865" s="30"/>
      <c r="S865" s="736"/>
      <c r="T865" s="30"/>
      <c r="U865" s="30"/>
      <c r="V865" s="30"/>
      <c r="W865" s="30"/>
      <c r="X865" s="30"/>
      <c r="Y865" s="30"/>
      <c r="Z865" s="30"/>
      <c r="AA865" s="30"/>
      <c r="AB865" s="1005"/>
    </row>
    <row r="866" spans="1:28">
      <c r="A866" s="29"/>
      <c r="B866" s="30"/>
      <c r="C866" s="30"/>
      <c r="D866" s="736"/>
      <c r="E866" s="30"/>
      <c r="F866" s="30"/>
      <c r="G866" s="30"/>
      <c r="H866" s="30"/>
      <c r="I866" s="30"/>
      <c r="J866" s="30"/>
      <c r="K866" s="30"/>
      <c r="L866" s="30"/>
      <c r="M866" s="30"/>
      <c r="N866" s="37"/>
      <c r="O866" s="30"/>
      <c r="P866" s="30"/>
      <c r="Q866" s="30"/>
      <c r="R866" s="30"/>
      <c r="S866" s="736"/>
      <c r="T866" s="30"/>
      <c r="U866" s="30"/>
      <c r="V866" s="30"/>
      <c r="W866" s="30"/>
      <c r="X866" s="30"/>
      <c r="Y866" s="30"/>
      <c r="Z866" s="30"/>
      <c r="AA866" s="30"/>
      <c r="AB866" s="1005"/>
    </row>
    <row r="867" spans="1:28">
      <c r="A867" s="29"/>
      <c r="B867" s="30"/>
      <c r="C867" s="30"/>
      <c r="D867" s="736"/>
      <c r="E867" s="30"/>
      <c r="F867" s="30"/>
      <c r="G867" s="30"/>
      <c r="H867" s="30"/>
      <c r="I867" s="30"/>
      <c r="J867" s="30"/>
      <c r="K867" s="30"/>
      <c r="L867" s="30"/>
      <c r="M867" s="30"/>
      <c r="N867" s="37"/>
      <c r="O867" s="30"/>
      <c r="P867" s="30"/>
      <c r="Q867" s="30"/>
      <c r="R867" s="30"/>
      <c r="S867" s="736"/>
      <c r="T867" s="30"/>
      <c r="U867" s="30"/>
      <c r="V867" s="30"/>
      <c r="W867" s="30"/>
      <c r="X867" s="30"/>
      <c r="Y867" s="30"/>
      <c r="Z867" s="30"/>
      <c r="AA867" s="30"/>
      <c r="AB867" s="1005"/>
    </row>
    <row r="868" spans="1:28">
      <c r="A868" s="29"/>
      <c r="B868" s="30"/>
      <c r="C868" s="30"/>
      <c r="D868" s="736"/>
      <c r="E868" s="30"/>
      <c r="F868" s="30"/>
      <c r="G868" s="30"/>
      <c r="H868" s="30"/>
      <c r="I868" s="30"/>
      <c r="J868" s="30"/>
      <c r="K868" s="30"/>
      <c r="L868" s="30"/>
      <c r="M868" s="30"/>
      <c r="N868" s="37"/>
      <c r="O868" s="30"/>
      <c r="P868" s="30"/>
      <c r="Q868" s="30"/>
      <c r="R868" s="30"/>
      <c r="S868" s="736"/>
      <c r="T868" s="30"/>
      <c r="U868" s="30"/>
      <c r="V868" s="30"/>
      <c r="W868" s="30"/>
      <c r="X868" s="30"/>
      <c r="Y868" s="30"/>
      <c r="Z868" s="30"/>
      <c r="AA868" s="30"/>
      <c r="AB868" s="1005"/>
    </row>
    <row r="869" spans="1:28">
      <c r="A869" s="29"/>
      <c r="B869" s="30"/>
      <c r="C869" s="30"/>
      <c r="D869" s="736"/>
      <c r="E869" s="30"/>
      <c r="F869" s="30"/>
      <c r="G869" s="30"/>
      <c r="H869" s="30"/>
      <c r="I869" s="30"/>
      <c r="J869" s="30"/>
      <c r="K869" s="30"/>
      <c r="L869" s="30"/>
      <c r="M869" s="30"/>
      <c r="N869" s="37"/>
      <c r="O869" s="30"/>
      <c r="P869" s="30"/>
      <c r="Q869" s="30"/>
      <c r="R869" s="30"/>
      <c r="S869" s="736"/>
      <c r="T869" s="30"/>
      <c r="U869" s="30"/>
      <c r="V869" s="30"/>
      <c r="W869" s="30"/>
      <c r="X869" s="30"/>
      <c r="Y869" s="30"/>
      <c r="Z869" s="30"/>
      <c r="AA869" s="30"/>
      <c r="AB869" s="1005"/>
    </row>
    <row r="870" spans="1:28">
      <c r="A870" s="29"/>
      <c r="B870" s="30"/>
      <c r="C870" s="30"/>
      <c r="D870" s="736"/>
      <c r="E870" s="30"/>
      <c r="F870" s="30"/>
      <c r="G870" s="30"/>
      <c r="H870" s="30"/>
      <c r="I870" s="30"/>
      <c r="J870" s="30"/>
      <c r="K870" s="30"/>
      <c r="L870" s="30"/>
      <c r="M870" s="30"/>
      <c r="N870" s="37"/>
      <c r="O870" s="30"/>
      <c r="P870" s="30"/>
      <c r="Q870" s="30"/>
      <c r="R870" s="30"/>
      <c r="S870" s="736"/>
      <c r="T870" s="30"/>
      <c r="U870" s="30"/>
      <c r="V870" s="30"/>
      <c r="W870" s="30"/>
      <c r="X870" s="30"/>
      <c r="Y870" s="30"/>
      <c r="Z870" s="30"/>
      <c r="AA870" s="30"/>
      <c r="AB870" s="1005"/>
    </row>
    <row r="871" spans="1:28">
      <c r="A871" s="29"/>
      <c r="B871" s="30"/>
      <c r="C871" s="30"/>
      <c r="D871" s="736"/>
      <c r="E871" s="30"/>
      <c r="F871" s="30"/>
      <c r="G871" s="30"/>
      <c r="H871" s="30"/>
      <c r="I871" s="30"/>
      <c r="J871" s="30"/>
      <c r="K871" s="30"/>
      <c r="L871" s="30"/>
      <c r="M871" s="30"/>
      <c r="N871" s="37"/>
      <c r="O871" s="30"/>
      <c r="P871" s="30"/>
      <c r="Q871" s="30"/>
      <c r="R871" s="30"/>
      <c r="S871" s="736"/>
      <c r="T871" s="30"/>
      <c r="U871" s="30"/>
      <c r="V871" s="30"/>
      <c r="W871" s="30"/>
      <c r="X871" s="30"/>
      <c r="Y871" s="30"/>
      <c r="Z871" s="30"/>
      <c r="AA871" s="30"/>
      <c r="AB871" s="1005"/>
    </row>
    <row r="872" spans="1:28">
      <c r="A872" s="29"/>
      <c r="B872" s="30"/>
      <c r="C872" s="30"/>
      <c r="D872" s="736"/>
      <c r="E872" s="30"/>
      <c r="F872" s="30"/>
      <c r="G872" s="30"/>
      <c r="H872" s="30"/>
      <c r="I872" s="30"/>
      <c r="J872" s="30"/>
      <c r="K872" s="30"/>
      <c r="L872" s="30"/>
      <c r="M872" s="30"/>
      <c r="N872" s="37"/>
      <c r="O872" s="30"/>
      <c r="P872" s="30"/>
      <c r="Q872" s="30"/>
      <c r="R872" s="30"/>
      <c r="S872" s="736"/>
      <c r="T872" s="30"/>
      <c r="U872" s="30"/>
      <c r="V872" s="30"/>
      <c r="W872" s="30"/>
      <c r="X872" s="30"/>
      <c r="Y872" s="30"/>
      <c r="Z872" s="30"/>
      <c r="AA872" s="30"/>
      <c r="AB872" s="1005"/>
    </row>
    <row r="873" spans="1:28">
      <c r="A873" s="29"/>
      <c r="B873" s="30"/>
      <c r="C873" s="30"/>
      <c r="D873" s="736"/>
      <c r="E873" s="30"/>
      <c r="F873" s="30"/>
      <c r="G873" s="30"/>
      <c r="H873" s="30"/>
      <c r="I873" s="30"/>
      <c r="J873" s="30"/>
      <c r="K873" s="30"/>
      <c r="L873" s="30"/>
      <c r="M873" s="30"/>
      <c r="N873" s="37"/>
      <c r="O873" s="30"/>
      <c r="P873" s="30"/>
      <c r="Q873" s="30"/>
      <c r="R873" s="30"/>
      <c r="S873" s="736"/>
      <c r="T873" s="30"/>
      <c r="U873" s="30"/>
      <c r="V873" s="30"/>
      <c r="W873" s="30"/>
      <c r="X873" s="30"/>
      <c r="Y873" s="30"/>
      <c r="Z873" s="30"/>
      <c r="AA873" s="30"/>
      <c r="AB873" s="1005"/>
    </row>
    <row r="874" spans="1:28">
      <c r="A874" s="29"/>
      <c r="B874" s="30"/>
      <c r="C874" s="30"/>
      <c r="D874" s="736"/>
      <c r="E874" s="30"/>
      <c r="F874" s="30"/>
      <c r="G874" s="30"/>
      <c r="H874" s="30"/>
      <c r="I874" s="30"/>
      <c r="J874" s="30"/>
      <c r="K874" s="30"/>
      <c r="L874" s="30"/>
      <c r="M874" s="30"/>
      <c r="N874" s="37"/>
      <c r="O874" s="30"/>
      <c r="P874" s="30"/>
      <c r="Q874" s="30"/>
      <c r="R874" s="30"/>
      <c r="S874" s="736"/>
      <c r="T874" s="30"/>
      <c r="U874" s="30"/>
      <c r="V874" s="30"/>
      <c r="W874" s="30"/>
      <c r="X874" s="30"/>
      <c r="Y874" s="30"/>
      <c r="Z874" s="30"/>
      <c r="AA874" s="30"/>
      <c r="AB874" s="1005"/>
    </row>
    <row r="875" spans="1:28">
      <c r="A875" s="29"/>
      <c r="B875" s="30"/>
      <c r="C875" s="30"/>
      <c r="D875" s="736"/>
      <c r="E875" s="30"/>
      <c r="F875" s="30"/>
      <c r="G875" s="30"/>
      <c r="H875" s="30"/>
      <c r="I875" s="30"/>
      <c r="J875" s="30"/>
      <c r="K875" s="30"/>
      <c r="L875" s="30"/>
      <c r="M875" s="30"/>
      <c r="N875" s="37"/>
      <c r="O875" s="30"/>
      <c r="P875" s="30"/>
      <c r="Q875" s="30"/>
      <c r="R875" s="30"/>
      <c r="S875" s="736"/>
      <c r="T875" s="30"/>
      <c r="U875" s="30"/>
      <c r="V875" s="30"/>
      <c r="W875" s="30"/>
      <c r="X875" s="30"/>
      <c r="Y875" s="30"/>
      <c r="Z875" s="30"/>
      <c r="AA875" s="30"/>
      <c r="AB875" s="1005"/>
    </row>
    <row r="876" spans="1:28">
      <c r="A876" s="29"/>
      <c r="B876" s="30"/>
      <c r="C876" s="30"/>
      <c r="D876" s="736"/>
      <c r="E876" s="30"/>
      <c r="F876" s="30"/>
      <c r="G876" s="30"/>
      <c r="H876" s="30"/>
      <c r="I876" s="30"/>
      <c r="J876" s="30"/>
      <c r="K876" s="30"/>
      <c r="L876" s="30"/>
      <c r="M876" s="30"/>
      <c r="N876" s="37"/>
      <c r="O876" s="30"/>
      <c r="P876" s="30"/>
      <c r="Q876" s="30"/>
      <c r="R876" s="30"/>
      <c r="S876" s="736"/>
      <c r="T876" s="30"/>
      <c r="U876" s="30"/>
      <c r="V876" s="30"/>
      <c r="W876" s="30"/>
      <c r="X876" s="30"/>
      <c r="Y876" s="30"/>
      <c r="Z876" s="30"/>
      <c r="AA876" s="30"/>
      <c r="AB876" s="1005"/>
    </row>
    <row r="877" spans="1:28">
      <c r="A877" s="29"/>
      <c r="B877" s="30"/>
      <c r="C877" s="30"/>
      <c r="D877" s="736"/>
      <c r="E877" s="30"/>
      <c r="F877" s="30"/>
      <c r="G877" s="30"/>
      <c r="H877" s="30"/>
      <c r="I877" s="30"/>
      <c r="J877" s="30"/>
      <c r="K877" s="30"/>
      <c r="L877" s="30"/>
      <c r="M877" s="30"/>
      <c r="N877" s="37"/>
      <c r="O877" s="30"/>
      <c r="P877" s="30"/>
      <c r="Q877" s="30"/>
      <c r="R877" s="30"/>
      <c r="S877" s="736"/>
      <c r="T877" s="30"/>
      <c r="U877" s="30"/>
      <c r="V877" s="30"/>
      <c r="W877" s="30"/>
      <c r="X877" s="30"/>
      <c r="Y877" s="30"/>
      <c r="Z877" s="30"/>
      <c r="AA877" s="30"/>
      <c r="AB877" s="1005"/>
    </row>
    <row r="878" spans="1:28">
      <c r="A878" s="29"/>
      <c r="B878" s="30"/>
      <c r="C878" s="30"/>
      <c r="D878" s="736"/>
      <c r="E878" s="30"/>
      <c r="F878" s="30"/>
      <c r="G878" s="30"/>
      <c r="H878" s="30"/>
      <c r="I878" s="30"/>
      <c r="J878" s="30"/>
      <c r="K878" s="30"/>
      <c r="L878" s="30"/>
      <c r="M878" s="30"/>
      <c r="N878" s="37"/>
      <c r="O878" s="30"/>
      <c r="P878" s="30"/>
      <c r="Q878" s="30"/>
      <c r="R878" s="30"/>
      <c r="S878" s="736"/>
      <c r="T878" s="30"/>
      <c r="U878" s="30"/>
      <c r="V878" s="30"/>
      <c r="W878" s="30"/>
      <c r="X878" s="30"/>
      <c r="Y878" s="30"/>
      <c r="Z878" s="30"/>
      <c r="AA878" s="30"/>
      <c r="AB878" s="1005"/>
    </row>
    <row r="879" spans="1:28">
      <c r="A879" s="29"/>
      <c r="B879" s="30"/>
      <c r="C879" s="30"/>
      <c r="D879" s="736"/>
      <c r="E879" s="30"/>
      <c r="F879" s="30"/>
      <c r="G879" s="30"/>
      <c r="H879" s="30"/>
      <c r="I879" s="30"/>
      <c r="J879" s="30"/>
      <c r="K879" s="30"/>
      <c r="L879" s="30"/>
      <c r="M879" s="30"/>
      <c r="N879" s="37"/>
      <c r="O879" s="30"/>
      <c r="P879" s="30"/>
      <c r="Q879" s="30"/>
      <c r="R879" s="30"/>
      <c r="S879" s="736"/>
      <c r="T879" s="30"/>
      <c r="U879" s="30"/>
      <c r="V879" s="30"/>
      <c r="W879" s="30"/>
      <c r="X879" s="30"/>
      <c r="Y879" s="30"/>
      <c r="Z879" s="30"/>
      <c r="AA879" s="30"/>
      <c r="AB879" s="1005"/>
    </row>
    <row r="880" spans="1:28">
      <c r="A880" s="29"/>
      <c r="B880" s="30"/>
      <c r="C880" s="30"/>
      <c r="D880" s="736"/>
      <c r="E880" s="30"/>
      <c r="F880" s="30"/>
      <c r="G880" s="30"/>
      <c r="H880" s="30"/>
      <c r="I880" s="30"/>
      <c r="J880" s="30"/>
      <c r="K880" s="30"/>
      <c r="L880" s="30"/>
      <c r="M880" s="30"/>
      <c r="N880" s="37"/>
      <c r="O880" s="30"/>
      <c r="P880" s="30"/>
      <c r="Q880" s="30"/>
      <c r="R880" s="30"/>
      <c r="S880" s="736"/>
      <c r="T880" s="30"/>
      <c r="U880" s="30"/>
      <c r="V880" s="30"/>
      <c r="W880" s="30"/>
      <c r="X880" s="30"/>
      <c r="Y880" s="30"/>
      <c r="Z880" s="30"/>
      <c r="AA880" s="30"/>
      <c r="AB880" s="1005"/>
    </row>
    <row r="881" spans="1:28">
      <c r="A881" s="29"/>
      <c r="B881" s="30"/>
      <c r="C881" s="30"/>
      <c r="D881" s="736"/>
      <c r="E881" s="30"/>
      <c r="F881" s="30"/>
      <c r="G881" s="30"/>
      <c r="H881" s="30"/>
      <c r="I881" s="30"/>
      <c r="J881" s="30"/>
      <c r="K881" s="30"/>
      <c r="L881" s="30"/>
      <c r="M881" s="30"/>
      <c r="N881" s="37"/>
      <c r="O881" s="30"/>
      <c r="P881" s="30"/>
      <c r="Q881" s="30"/>
      <c r="R881" s="30"/>
      <c r="S881" s="736"/>
      <c r="T881" s="30"/>
      <c r="U881" s="30"/>
      <c r="V881" s="30"/>
      <c r="W881" s="30"/>
      <c r="X881" s="30"/>
      <c r="Y881" s="30"/>
      <c r="Z881" s="30"/>
      <c r="AA881" s="30"/>
      <c r="AB881" s="1005"/>
    </row>
    <row r="882" spans="1:28">
      <c r="A882" s="29"/>
      <c r="B882" s="30"/>
      <c r="C882" s="30"/>
      <c r="D882" s="736"/>
      <c r="E882" s="30"/>
      <c r="F882" s="30"/>
      <c r="G882" s="30"/>
      <c r="H882" s="30"/>
      <c r="I882" s="30"/>
      <c r="J882" s="30"/>
      <c r="K882" s="30"/>
      <c r="L882" s="30"/>
      <c r="M882" s="30"/>
      <c r="N882" s="37"/>
      <c r="O882" s="30"/>
      <c r="P882" s="30"/>
      <c r="Q882" s="30"/>
      <c r="R882" s="30"/>
      <c r="S882" s="736"/>
      <c r="T882" s="30"/>
      <c r="U882" s="30"/>
      <c r="V882" s="30"/>
      <c r="W882" s="30"/>
      <c r="X882" s="30"/>
      <c r="Y882" s="30"/>
      <c r="Z882" s="30"/>
      <c r="AA882" s="30"/>
      <c r="AB882" s="1005"/>
    </row>
    <row r="883" spans="1:28">
      <c r="A883" s="29"/>
      <c r="B883" s="30"/>
      <c r="C883" s="30"/>
      <c r="D883" s="736"/>
      <c r="E883" s="30"/>
      <c r="F883" s="30"/>
      <c r="G883" s="30"/>
      <c r="H883" s="30"/>
      <c r="I883" s="30"/>
      <c r="J883" s="30"/>
      <c r="K883" s="30"/>
      <c r="L883" s="30"/>
      <c r="M883" s="30"/>
      <c r="N883" s="37"/>
      <c r="O883" s="30"/>
      <c r="P883" s="30"/>
      <c r="Q883" s="30"/>
      <c r="R883" s="30"/>
      <c r="S883" s="736"/>
      <c r="T883" s="30"/>
      <c r="U883" s="30"/>
      <c r="V883" s="30"/>
      <c r="W883" s="30"/>
      <c r="X883" s="30"/>
      <c r="Y883" s="30"/>
      <c r="Z883" s="30"/>
      <c r="AA883" s="30"/>
      <c r="AB883" s="1005"/>
    </row>
    <row r="884" spans="1:28">
      <c r="A884" s="29"/>
      <c r="B884" s="30"/>
      <c r="C884" s="30"/>
      <c r="D884" s="736"/>
      <c r="E884" s="30"/>
      <c r="F884" s="30"/>
      <c r="G884" s="30"/>
      <c r="H884" s="30"/>
      <c r="I884" s="30"/>
      <c r="J884" s="30"/>
      <c r="K884" s="30"/>
      <c r="L884" s="30"/>
      <c r="M884" s="30"/>
      <c r="N884" s="37"/>
      <c r="O884" s="30"/>
      <c r="P884" s="30"/>
      <c r="Q884" s="30"/>
      <c r="R884" s="30"/>
      <c r="S884" s="736"/>
      <c r="T884" s="30"/>
      <c r="U884" s="30"/>
      <c r="V884" s="30"/>
      <c r="W884" s="30"/>
      <c r="X884" s="30"/>
      <c r="Y884" s="30"/>
      <c r="Z884" s="30"/>
      <c r="AA884" s="30"/>
      <c r="AB884" s="1005"/>
    </row>
    <row r="885" spans="1:28">
      <c r="A885" s="29"/>
      <c r="B885" s="30"/>
      <c r="C885" s="30"/>
      <c r="D885" s="736"/>
      <c r="E885" s="30"/>
      <c r="F885" s="30"/>
      <c r="G885" s="30"/>
      <c r="H885" s="30"/>
      <c r="I885" s="30"/>
      <c r="J885" s="30"/>
      <c r="K885" s="30"/>
      <c r="L885" s="30"/>
      <c r="M885" s="30"/>
      <c r="N885" s="37"/>
      <c r="O885" s="30"/>
      <c r="P885" s="30"/>
      <c r="Q885" s="30"/>
      <c r="R885" s="30"/>
      <c r="S885" s="736"/>
      <c r="T885" s="30"/>
      <c r="U885" s="30"/>
      <c r="V885" s="30"/>
      <c r="W885" s="30"/>
      <c r="X885" s="30"/>
      <c r="Y885" s="30"/>
      <c r="Z885" s="30"/>
      <c r="AA885" s="30"/>
      <c r="AB885" s="1005"/>
    </row>
    <row r="886" spans="1:28">
      <c r="A886" s="29"/>
      <c r="B886" s="30"/>
      <c r="C886" s="30"/>
      <c r="D886" s="736"/>
      <c r="E886" s="30"/>
      <c r="F886" s="30"/>
      <c r="G886" s="30"/>
      <c r="H886" s="30"/>
      <c r="I886" s="30"/>
      <c r="J886" s="30"/>
      <c r="K886" s="30"/>
      <c r="L886" s="30"/>
      <c r="M886" s="30"/>
      <c r="N886" s="37"/>
      <c r="O886" s="30"/>
      <c r="P886" s="30"/>
      <c r="Q886" s="30"/>
      <c r="R886" s="30"/>
      <c r="S886" s="736"/>
      <c r="T886" s="30"/>
      <c r="U886" s="30"/>
      <c r="V886" s="30"/>
      <c r="W886" s="30"/>
      <c r="X886" s="30"/>
      <c r="Y886" s="30"/>
      <c r="Z886" s="30"/>
      <c r="AA886" s="30"/>
      <c r="AB886" s="1005"/>
    </row>
    <row r="887" spans="1:28">
      <c r="A887" s="29"/>
      <c r="B887" s="30"/>
      <c r="C887" s="30"/>
      <c r="D887" s="736"/>
      <c r="E887" s="30"/>
      <c r="F887" s="30"/>
      <c r="G887" s="30"/>
      <c r="H887" s="30"/>
      <c r="I887" s="30"/>
      <c r="J887" s="30"/>
      <c r="K887" s="30"/>
      <c r="L887" s="30"/>
      <c r="M887" s="30"/>
      <c r="N887" s="37"/>
      <c r="O887" s="30"/>
      <c r="P887" s="30"/>
      <c r="Q887" s="30"/>
      <c r="R887" s="30"/>
      <c r="S887" s="736"/>
      <c r="T887" s="30"/>
      <c r="U887" s="30"/>
      <c r="V887" s="30"/>
      <c r="W887" s="30"/>
      <c r="X887" s="30"/>
      <c r="Y887" s="30"/>
      <c r="Z887" s="30"/>
      <c r="AA887" s="30"/>
      <c r="AB887" s="1005"/>
    </row>
    <row r="888" spans="1:28">
      <c r="A888" s="29"/>
      <c r="B888" s="30"/>
      <c r="C888" s="30"/>
      <c r="D888" s="736"/>
      <c r="E888" s="30"/>
      <c r="F888" s="30"/>
      <c r="G888" s="30"/>
      <c r="H888" s="30"/>
      <c r="I888" s="30"/>
      <c r="J888" s="30"/>
      <c r="K888" s="30"/>
      <c r="L888" s="30"/>
      <c r="M888" s="30"/>
      <c r="N888" s="37"/>
      <c r="O888" s="30"/>
      <c r="P888" s="30"/>
      <c r="Q888" s="30"/>
      <c r="R888" s="30"/>
      <c r="S888" s="736"/>
      <c r="T888" s="30"/>
      <c r="U888" s="30"/>
      <c r="V888" s="30"/>
      <c r="W888" s="30"/>
      <c r="X888" s="30"/>
      <c r="Y888" s="30"/>
      <c r="Z888" s="30"/>
      <c r="AA888" s="30"/>
      <c r="AB888" s="1005"/>
    </row>
    <row r="889" spans="1:28">
      <c r="A889" s="29"/>
      <c r="B889" s="30"/>
      <c r="C889" s="30"/>
      <c r="D889" s="736"/>
      <c r="E889" s="30"/>
      <c r="F889" s="30"/>
      <c r="G889" s="30"/>
      <c r="H889" s="30"/>
      <c r="I889" s="30"/>
      <c r="J889" s="30"/>
      <c r="K889" s="30"/>
      <c r="L889" s="30"/>
      <c r="M889" s="30"/>
      <c r="N889" s="37"/>
      <c r="O889" s="30"/>
      <c r="P889" s="30"/>
      <c r="Q889" s="30"/>
      <c r="R889" s="30"/>
      <c r="S889" s="736"/>
      <c r="T889" s="30"/>
      <c r="U889" s="30"/>
      <c r="V889" s="30"/>
      <c r="W889" s="30"/>
      <c r="X889" s="30"/>
      <c r="Y889" s="30"/>
      <c r="Z889" s="30"/>
      <c r="AA889" s="30"/>
      <c r="AB889" s="1005"/>
    </row>
    <row r="890" spans="1:28">
      <c r="A890" s="29"/>
      <c r="B890" s="30"/>
      <c r="C890" s="30"/>
      <c r="D890" s="736"/>
      <c r="E890" s="30"/>
      <c r="F890" s="30"/>
      <c r="G890" s="30"/>
      <c r="H890" s="30"/>
      <c r="I890" s="30"/>
      <c r="J890" s="30"/>
      <c r="K890" s="30"/>
      <c r="L890" s="30"/>
      <c r="M890" s="30"/>
      <c r="N890" s="37"/>
      <c r="O890" s="30"/>
      <c r="P890" s="30"/>
      <c r="Q890" s="30"/>
      <c r="R890" s="30"/>
      <c r="S890" s="736"/>
      <c r="T890" s="30"/>
      <c r="U890" s="30"/>
      <c r="V890" s="30"/>
      <c r="W890" s="30"/>
      <c r="X890" s="30"/>
      <c r="Y890" s="30"/>
      <c r="Z890" s="30"/>
      <c r="AA890" s="30"/>
      <c r="AB890" s="1005"/>
    </row>
    <row r="891" spans="1:28">
      <c r="A891" s="29"/>
      <c r="B891" s="30"/>
      <c r="C891" s="30"/>
      <c r="D891" s="736"/>
      <c r="E891" s="30"/>
      <c r="F891" s="30"/>
      <c r="G891" s="30"/>
      <c r="H891" s="30"/>
      <c r="I891" s="30"/>
      <c r="J891" s="30"/>
      <c r="K891" s="30"/>
      <c r="L891" s="30"/>
      <c r="M891" s="30"/>
      <c r="N891" s="37"/>
      <c r="O891" s="30"/>
      <c r="P891" s="30"/>
      <c r="Q891" s="30"/>
      <c r="R891" s="30"/>
      <c r="S891" s="736"/>
      <c r="T891" s="30"/>
      <c r="U891" s="30"/>
      <c r="V891" s="30"/>
      <c r="W891" s="30"/>
      <c r="X891" s="30"/>
      <c r="Y891" s="30"/>
      <c r="Z891" s="30"/>
      <c r="AA891" s="30"/>
      <c r="AB891" s="1005"/>
    </row>
    <row r="892" spans="1:28">
      <c r="A892" s="29"/>
      <c r="B892" s="30"/>
      <c r="C892" s="30"/>
      <c r="D892" s="736"/>
      <c r="E892" s="30"/>
      <c r="F892" s="30"/>
      <c r="G892" s="30"/>
      <c r="H892" s="30"/>
      <c r="I892" s="30"/>
      <c r="J892" s="30"/>
      <c r="K892" s="30"/>
      <c r="L892" s="30"/>
      <c r="M892" s="30"/>
      <c r="N892" s="37"/>
      <c r="O892" s="30"/>
      <c r="P892" s="30"/>
      <c r="Q892" s="30"/>
      <c r="R892" s="30"/>
      <c r="S892" s="736"/>
      <c r="T892" s="30"/>
      <c r="U892" s="30"/>
      <c r="V892" s="30"/>
      <c r="W892" s="30"/>
      <c r="X892" s="30"/>
      <c r="Y892" s="30"/>
      <c r="Z892" s="30"/>
      <c r="AA892" s="30"/>
      <c r="AB892" s="1005"/>
    </row>
    <row r="893" spans="1:28">
      <c r="A893" s="29"/>
      <c r="B893" s="30"/>
      <c r="C893" s="30"/>
      <c r="D893" s="736"/>
      <c r="E893" s="30"/>
      <c r="F893" s="30"/>
      <c r="G893" s="30"/>
      <c r="H893" s="30"/>
      <c r="I893" s="30"/>
      <c r="J893" s="30"/>
      <c r="K893" s="30"/>
      <c r="L893" s="30"/>
      <c r="M893" s="30"/>
      <c r="N893" s="37"/>
      <c r="O893" s="30"/>
      <c r="P893" s="30"/>
      <c r="Q893" s="30"/>
      <c r="R893" s="30"/>
      <c r="S893" s="736"/>
      <c r="T893" s="30"/>
      <c r="U893" s="30"/>
      <c r="V893" s="30"/>
      <c r="W893" s="30"/>
      <c r="X893" s="30"/>
      <c r="Y893" s="30"/>
      <c r="Z893" s="30"/>
      <c r="AA893" s="30"/>
      <c r="AB893" s="1005"/>
    </row>
    <row r="894" spans="1:28">
      <c r="A894" s="29"/>
      <c r="B894" s="30"/>
      <c r="C894" s="30"/>
      <c r="D894" s="736"/>
      <c r="E894" s="30"/>
      <c r="F894" s="30"/>
      <c r="G894" s="30"/>
      <c r="H894" s="30"/>
      <c r="I894" s="30"/>
      <c r="J894" s="30"/>
      <c r="K894" s="30"/>
      <c r="L894" s="30"/>
      <c r="M894" s="30"/>
      <c r="N894" s="37"/>
      <c r="O894" s="30"/>
      <c r="P894" s="30"/>
      <c r="Q894" s="30"/>
      <c r="R894" s="30"/>
      <c r="S894" s="736"/>
      <c r="T894" s="30"/>
      <c r="U894" s="30"/>
      <c r="V894" s="30"/>
      <c r="W894" s="30"/>
      <c r="X894" s="30"/>
      <c r="Y894" s="30"/>
      <c r="Z894" s="30"/>
      <c r="AA894" s="30"/>
      <c r="AB894" s="1005"/>
    </row>
    <row r="895" spans="1:28">
      <c r="A895" s="29"/>
      <c r="B895" s="30"/>
      <c r="C895" s="30"/>
      <c r="D895" s="736"/>
      <c r="E895" s="30"/>
      <c r="F895" s="30"/>
      <c r="G895" s="30"/>
      <c r="H895" s="30"/>
      <c r="I895" s="30"/>
      <c r="J895" s="30"/>
      <c r="K895" s="30"/>
      <c r="L895" s="30"/>
      <c r="M895" s="30"/>
      <c r="N895" s="37"/>
      <c r="O895" s="30"/>
      <c r="P895" s="30"/>
      <c r="Q895" s="30"/>
      <c r="R895" s="30"/>
      <c r="S895" s="736"/>
      <c r="T895" s="30"/>
      <c r="U895" s="30"/>
      <c r="V895" s="30"/>
      <c r="W895" s="30"/>
      <c r="X895" s="30"/>
      <c r="Y895" s="30"/>
      <c r="Z895" s="30"/>
      <c r="AA895" s="30"/>
      <c r="AB895" s="1005"/>
    </row>
    <row r="896" spans="1:28">
      <c r="A896" s="29"/>
      <c r="B896" s="30"/>
      <c r="C896" s="30"/>
      <c r="D896" s="736"/>
      <c r="E896" s="30"/>
      <c r="F896" s="30"/>
      <c r="G896" s="30"/>
      <c r="H896" s="30"/>
      <c r="I896" s="30"/>
      <c r="J896" s="30"/>
      <c r="K896" s="30"/>
      <c r="L896" s="30"/>
      <c r="M896" s="30"/>
      <c r="N896" s="37"/>
      <c r="O896" s="30"/>
      <c r="P896" s="30"/>
      <c r="Q896" s="30"/>
      <c r="R896" s="30"/>
      <c r="S896" s="736"/>
      <c r="T896" s="30"/>
      <c r="U896" s="30"/>
      <c r="V896" s="30"/>
      <c r="W896" s="30"/>
      <c r="X896" s="30"/>
      <c r="Y896" s="30"/>
      <c r="Z896" s="30"/>
      <c r="AA896" s="30"/>
      <c r="AB896" s="1005"/>
    </row>
    <row r="897" spans="1:28">
      <c r="A897" s="29"/>
      <c r="B897" s="30"/>
      <c r="C897" s="30"/>
      <c r="D897" s="736"/>
      <c r="E897" s="30"/>
      <c r="F897" s="30"/>
      <c r="G897" s="30"/>
      <c r="H897" s="30"/>
      <c r="I897" s="30"/>
      <c r="J897" s="30"/>
      <c r="K897" s="30"/>
      <c r="L897" s="30"/>
      <c r="M897" s="30"/>
      <c r="N897" s="37"/>
      <c r="O897" s="30"/>
      <c r="P897" s="30"/>
      <c r="Q897" s="30"/>
      <c r="R897" s="30"/>
      <c r="S897" s="736"/>
      <c r="T897" s="30"/>
      <c r="U897" s="30"/>
      <c r="V897" s="30"/>
      <c r="W897" s="30"/>
      <c r="X897" s="30"/>
      <c r="Y897" s="30"/>
      <c r="Z897" s="30"/>
      <c r="AA897" s="30"/>
      <c r="AB897" s="1005"/>
    </row>
    <row r="898" spans="1:28">
      <c r="A898" s="29"/>
      <c r="B898" s="30"/>
      <c r="C898" s="30"/>
      <c r="D898" s="736"/>
      <c r="E898" s="30"/>
      <c r="F898" s="30"/>
      <c r="G898" s="30"/>
      <c r="H898" s="30"/>
      <c r="I898" s="30"/>
      <c r="J898" s="30"/>
      <c r="K898" s="30"/>
      <c r="L898" s="30"/>
      <c r="M898" s="30"/>
      <c r="N898" s="37"/>
      <c r="O898" s="30"/>
      <c r="P898" s="30"/>
      <c r="Q898" s="30"/>
      <c r="R898" s="30"/>
      <c r="S898" s="736"/>
      <c r="T898" s="30"/>
      <c r="U898" s="30"/>
      <c r="V898" s="30"/>
      <c r="W898" s="30"/>
      <c r="X898" s="30"/>
      <c r="Y898" s="30"/>
      <c r="Z898" s="30"/>
      <c r="AA898" s="30"/>
      <c r="AB898" s="1005"/>
    </row>
    <row r="899" spans="1:28">
      <c r="A899" s="29"/>
      <c r="B899" s="30"/>
      <c r="C899" s="30"/>
      <c r="D899" s="736"/>
      <c r="E899" s="30"/>
      <c r="F899" s="30"/>
      <c r="G899" s="30"/>
      <c r="H899" s="30"/>
      <c r="I899" s="30"/>
      <c r="J899" s="30"/>
      <c r="K899" s="30"/>
      <c r="L899" s="30"/>
      <c r="M899" s="30"/>
      <c r="N899" s="37"/>
      <c r="O899" s="30"/>
      <c r="P899" s="30"/>
      <c r="Q899" s="30"/>
      <c r="R899" s="30"/>
      <c r="S899" s="736"/>
      <c r="T899" s="30"/>
      <c r="U899" s="30"/>
      <c r="V899" s="30"/>
      <c r="W899" s="30"/>
      <c r="X899" s="30"/>
      <c r="Y899" s="30"/>
      <c r="Z899" s="30"/>
      <c r="AA899" s="30"/>
      <c r="AB899" s="1005"/>
    </row>
    <row r="900" spans="1:28">
      <c r="A900" s="29"/>
      <c r="B900" s="30"/>
      <c r="C900" s="30"/>
      <c r="D900" s="736"/>
      <c r="E900" s="30"/>
      <c r="F900" s="30"/>
      <c r="G900" s="30"/>
      <c r="H900" s="30"/>
      <c r="I900" s="30"/>
      <c r="J900" s="30"/>
      <c r="K900" s="30"/>
      <c r="L900" s="30"/>
      <c r="M900" s="30"/>
      <c r="N900" s="37"/>
      <c r="O900" s="30"/>
      <c r="P900" s="30"/>
      <c r="Q900" s="30"/>
      <c r="R900" s="30"/>
      <c r="S900" s="736"/>
      <c r="T900" s="30"/>
      <c r="U900" s="30"/>
      <c r="V900" s="30"/>
      <c r="W900" s="30"/>
      <c r="X900" s="30"/>
      <c r="Y900" s="30"/>
      <c r="Z900" s="30"/>
      <c r="AA900" s="30"/>
      <c r="AB900" s="1005"/>
    </row>
    <row r="901" spans="1:28">
      <c r="A901" s="29"/>
      <c r="B901" s="30"/>
      <c r="C901" s="30"/>
      <c r="D901" s="736"/>
      <c r="E901" s="30"/>
      <c r="F901" s="30"/>
      <c r="G901" s="30"/>
      <c r="H901" s="30"/>
      <c r="I901" s="30"/>
      <c r="J901" s="30"/>
      <c r="K901" s="30"/>
      <c r="L901" s="30"/>
      <c r="M901" s="30"/>
      <c r="N901" s="37"/>
      <c r="O901" s="30"/>
      <c r="P901" s="30"/>
      <c r="Q901" s="30"/>
      <c r="R901" s="30"/>
      <c r="S901" s="736"/>
      <c r="T901" s="30"/>
      <c r="U901" s="30"/>
      <c r="V901" s="30"/>
      <c r="W901" s="30"/>
      <c r="X901" s="30"/>
      <c r="Y901" s="30"/>
      <c r="Z901" s="30"/>
      <c r="AA901" s="30"/>
      <c r="AB901" s="1005"/>
    </row>
    <row r="902" spans="1:28">
      <c r="A902" s="29"/>
      <c r="B902" s="30"/>
      <c r="C902" s="30"/>
      <c r="D902" s="736"/>
      <c r="E902" s="30"/>
      <c r="F902" s="30"/>
      <c r="G902" s="30"/>
      <c r="H902" s="30"/>
      <c r="I902" s="30"/>
      <c r="J902" s="30"/>
      <c r="K902" s="30"/>
      <c r="L902" s="30"/>
      <c r="M902" s="30"/>
      <c r="N902" s="37"/>
      <c r="O902" s="30"/>
      <c r="P902" s="30"/>
      <c r="Q902" s="30"/>
      <c r="R902" s="30"/>
      <c r="S902" s="736"/>
      <c r="T902" s="30"/>
      <c r="U902" s="30"/>
      <c r="V902" s="30"/>
      <c r="W902" s="30"/>
      <c r="X902" s="30"/>
      <c r="Y902" s="30"/>
      <c r="Z902" s="30"/>
      <c r="AA902" s="30"/>
      <c r="AB902" s="1005"/>
    </row>
    <row r="903" spans="1:28">
      <c r="A903" s="29"/>
      <c r="B903" s="30"/>
      <c r="C903" s="30"/>
      <c r="D903" s="736"/>
      <c r="E903" s="30"/>
      <c r="F903" s="30"/>
      <c r="G903" s="30"/>
      <c r="H903" s="30"/>
      <c r="I903" s="30"/>
      <c r="J903" s="30"/>
      <c r="K903" s="30"/>
      <c r="L903" s="30"/>
      <c r="M903" s="30"/>
      <c r="N903" s="37"/>
      <c r="O903" s="30"/>
      <c r="P903" s="30"/>
      <c r="Q903" s="30"/>
      <c r="R903" s="30"/>
      <c r="S903" s="736"/>
      <c r="T903" s="30"/>
      <c r="U903" s="30"/>
      <c r="V903" s="30"/>
      <c r="W903" s="30"/>
      <c r="X903" s="30"/>
      <c r="Y903" s="30"/>
      <c r="Z903" s="30"/>
      <c r="AA903" s="30"/>
      <c r="AB903" s="1005"/>
    </row>
    <row r="904" spans="1:28">
      <c r="A904" s="29"/>
      <c r="B904" s="30"/>
      <c r="C904" s="30"/>
      <c r="D904" s="736"/>
      <c r="E904" s="30"/>
      <c r="F904" s="30"/>
      <c r="G904" s="30"/>
      <c r="H904" s="30"/>
      <c r="I904" s="30"/>
      <c r="J904" s="30"/>
      <c r="K904" s="30"/>
      <c r="L904" s="30"/>
      <c r="M904" s="30"/>
      <c r="N904" s="37"/>
      <c r="O904" s="30"/>
      <c r="P904" s="30"/>
      <c r="Q904" s="30"/>
      <c r="R904" s="30"/>
      <c r="S904" s="736"/>
      <c r="T904" s="30"/>
      <c r="U904" s="30"/>
      <c r="V904" s="30"/>
      <c r="W904" s="30"/>
      <c r="X904" s="30"/>
      <c r="Y904" s="30"/>
      <c r="Z904" s="30"/>
      <c r="AA904" s="30"/>
      <c r="AB904" s="1005"/>
    </row>
    <row r="905" spans="1:28">
      <c r="A905" s="29"/>
      <c r="B905" s="30"/>
      <c r="C905" s="30"/>
      <c r="D905" s="736"/>
      <c r="E905" s="30"/>
      <c r="F905" s="30"/>
      <c r="G905" s="30"/>
      <c r="H905" s="30"/>
      <c r="I905" s="30"/>
      <c r="J905" s="30"/>
      <c r="K905" s="30"/>
      <c r="L905" s="30"/>
      <c r="M905" s="30"/>
      <c r="N905" s="37"/>
      <c r="O905" s="30"/>
      <c r="P905" s="30"/>
      <c r="Q905" s="30"/>
      <c r="R905" s="30"/>
      <c r="S905" s="736"/>
      <c r="T905" s="30"/>
      <c r="U905" s="30"/>
      <c r="V905" s="30"/>
      <c r="W905" s="30"/>
      <c r="X905" s="30"/>
      <c r="Y905" s="30"/>
      <c r="Z905" s="30"/>
      <c r="AA905" s="30"/>
      <c r="AB905" s="1005"/>
    </row>
    <row r="906" spans="1:28">
      <c r="A906" s="29"/>
      <c r="B906" s="30"/>
      <c r="C906" s="30"/>
      <c r="D906" s="736"/>
      <c r="E906" s="30"/>
      <c r="F906" s="30"/>
      <c r="G906" s="30"/>
      <c r="H906" s="30"/>
      <c r="I906" s="30"/>
      <c r="J906" s="30"/>
      <c r="K906" s="30"/>
      <c r="L906" s="30"/>
      <c r="M906" s="30"/>
      <c r="N906" s="37"/>
      <c r="O906" s="30"/>
      <c r="P906" s="30"/>
      <c r="Q906" s="30"/>
      <c r="R906" s="30"/>
      <c r="S906" s="736"/>
      <c r="T906" s="30"/>
      <c r="U906" s="30"/>
      <c r="V906" s="30"/>
      <c r="W906" s="30"/>
      <c r="X906" s="30"/>
      <c r="Y906" s="30"/>
      <c r="Z906" s="30"/>
      <c r="AA906" s="30"/>
      <c r="AB906" s="1005"/>
    </row>
    <row r="907" spans="1:28">
      <c r="A907" s="29"/>
      <c r="B907" s="30"/>
      <c r="C907" s="30"/>
      <c r="D907" s="736"/>
      <c r="E907" s="30"/>
      <c r="F907" s="30"/>
      <c r="G907" s="30"/>
      <c r="H907" s="30"/>
      <c r="I907" s="30"/>
      <c r="J907" s="30"/>
      <c r="K907" s="30"/>
      <c r="L907" s="30"/>
      <c r="M907" s="30"/>
      <c r="N907" s="37"/>
      <c r="O907" s="30"/>
      <c r="P907" s="30"/>
      <c r="Q907" s="30"/>
      <c r="R907" s="30"/>
      <c r="S907" s="736"/>
      <c r="T907" s="30"/>
      <c r="U907" s="30"/>
      <c r="V907" s="30"/>
      <c r="W907" s="30"/>
      <c r="X907" s="30"/>
      <c r="Y907" s="30"/>
      <c r="Z907" s="30"/>
      <c r="AA907" s="30"/>
      <c r="AB907" s="1005"/>
    </row>
    <row r="908" spans="1:28">
      <c r="A908" s="29"/>
      <c r="B908" s="30"/>
      <c r="C908" s="30"/>
      <c r="D908" s="736"/>
      <c r="E908" s="30"/>
      <c r="F908" s="30"/>
      <c r="G908" s="30"/>
      <c r="H908" s="30"/>
      <c r="I908" s="30"/>
      <c r="J908" s="30"/>
      <c r="K908" s="30"/>
      <c r="L908" s="30"/>
      <c r="M908" s="30"/>
      <c r="N908" s="37"/>
      <c r="O908" s="30"/>
      <c r="P908" s="30"/>
      <c r="Q908" s="30"/>
      <c r="R908" s="30"/>
      <c r="S908" s="736"/>
      <c r="T908" s="30"/>
      <c r="U908" s="30"/>
      <c r="V908" s="30"/>
      <c r="W908" s="30"/>
      <c r="X908" s="30"/>
      <c r="Y908" s="30"/>
      <c r="Z908" s="30"/>
      <c r="AA908" s="30"/>
      <c r="AB908" s="1005"/>
    </row>
    <row r="909" spans="1:28">
      <c r="A909" s="29"/>
      <c r="B909" s="30"/>
      <c r="C909" s="30"/>
      <c r="D909" s="736"/>
      <c r="E909" s="30"/>
      <c r="F909" s="30"/>
      <c r="G909" s="30"/>
      <c r="H909" s="30"/>
      <c r="I909" s="30"/>
      <c r="J909" s="30"/>
      <c r="K909" s="30"/>
      <c r="L909" s="30"/>
      <c r="M909" s="30"/>
      <c r="N909" s="37"/>
      <c r="O909" s="30"/>
      <c r="P909" s="30"/>
      <c r="Q909" s="30"/>
      <c r="R909" s="30"/>
      <c r="S909" s="736"/>
      <c r="T909" s="30"/>
      <c r="U909" s="30"/>
      <c r="V909" s="30"/>
      <c r="W909" s="30"/>
      <c r="X909" s="30"/>
      <c r="Y909" s="30"/>
      <c r="Z909" s="30"/>
      <c r="AA909" s="30"/>
      <c r="AB909" s="1005"/>
    </row>
    <row r="910" spans="1:28">
      <c r="A910" s="29"/>
      <c r="B910" s="30"/>
      <c r="C910" s="30"/>
      <c r="D910" s="736"/>
      <c r="E910" s="30"/>
      <c r="F910" s="30"/>
      <c r="G910" s="30"/>
      <c r="H910" s="30"/>
      <c r="I910" s="30"/>
      <c r="J910" s="30"/>
      <c r="K910" s="30"/>
      <c r="L910" s="30"/>
      <c r="M910" s="30"/>
      <c r="N910" s="37"/>
      <c r="O910" s="30"/>
      <c r="P910" s="30"/>
      <c r="Q910" s="30"/>
      <c r="R910" s="30"/>
      <c r="S910" s="736"/>
      <c r="T910" s="30"/>
      <c r="U910" s="30"/>
      <c r="V910" s="30"/>
      <c r="W910" s="30"/>
      <c r="X910" s="30"/>
      <c r="Y910" s="30"/>
      <c r="Z910" s="30"/>
      <c r="AA910" s="30"/>
      <c r="AB910" s="1005"/>
    </row>
    <row r="911" spans="1:28">
      <c r="A911" s="29"/>
      <c r="B911" s="30"/>
      <c r="C911" s="30"/>
      <c r="D911" s="736"/>
      <c r="E911" s="30"/>
      <c r="F911" s="30"/>
      <c r="G911" s="30"/>
      <c r="H911" s="30"/>
      <c r="I911" s="30"/>
      <c r="J911" s="30"/>
      <c r="K911" s="30"/>
      <c r="L911" s="30"/>
      <c r="M911" s="30"/>
      <c r="N911" s="37"/>
      <c r="O911" s="30"/>
      <c r="P911" s="30"/>
      <c r="Q911" s="30"/>
      <c r="R911" s="30"/>
      <c r="S911" s="736"/>
      <c r="T911" s="30"/>
      <c r="U911" s="30"/>
      <c r="V911" s="30"/>
      <c r="W911" s="30"/>
      <c r="X911" s="30"/>
      <c r="Y911" s="30"/>
      <c r="Z911" s="30"/>
      <c r="AA911" s="30"/>
      <c r="AB911" s="1005"/>
    </row>
    <row r="912" spans="1:28">
      <c r="A912" s="29"/>
      <c r="B912" s="30"/>
      <c r="C912" s="30"/>
      <c r="D912" s="736"/>
      <c r="E912" s="30"/>
      <c r="F912" s="30"/>
      <c r="G912" s="30"/>
      <c r="H912" s="30"/>
      <c r="I912" s="30"/>
      <c r="J912" s="30"/>
      <c r="K912" s="30"/>
      <c r="L912" s="30"/>
      <c r="M912" s="30"/>
      <c r="N912" s="37"/>
      <c r="O912" s="30"/>
      <c r="P912" s="30"/>
      <c r="Q912" s="30"/>
      <c r="R912" s="30"/>
      <c r="S912" s="736"/>
      <c r="T912" s="30"/>
      <c r="U912" s="30"/>
      <c r="V912" s="30"/>
      <c r="W912" s="30"/>
      <c r="X912" s="30"/>
      <c r="Y912" s="30"/>
      <c r="Z912" s="30"/>
      <c r="AA912" s="30"/>
      <c r="AB912" s="1005"/>
    </row>
    <row r="913" spans="1:28">
      <c r="A913" s="29"/>
      <c r="B913" s="30"/>
      <c r="C913" s="30"/>
      <c r="D913" s="736"/>
      <c r="E913" s="30"/>
      <c r="F913" s="30"/>
      <c r="G913" s="30"/>
      <c r="H913" s="30"/>
      <c r="I913" s="30"/>
      <c r="J913" s="30"/>
      <c r="K913" s="30"/>
      <c r="L913" s="30"/>
      <c r="M913" s="30"/>
      <c r="N913" s="37"/>
      <c r="O913" s="30"/>
      <c r="P913" s="30"/>
      <c r="Q913" s="30"/>
      <c r="R913" s="30"/>
      <c r="S913" s="736"/>
      <c r="T913" s="30"/>
      <c r="U913" s="30"/>
      <c r="V913" s="30"/>
      <c r="W913" s="30"/>
      <c r="X913" s="30"/>
      <c r="Y913" s="30"/>
      <c r="Z913" s="30"/>
      <c r="AA913" s="30"/>
      <c r="AB913" s="1005"/>
    </row>
    <row r="914" spans="1:28">
      <c r="A914" s="29"/>
      <c r="B914" s="30"/>
      <c r="C914" s="30"/>
      <c r="D914" s="736"/>
      <c r="E914" s="30"/>
      <c r="F914" s="30"/>
      <c r="G914" s="30"/>
      <c r="H914" s="30"/>
      <c r="I914" s="30"/>
      <c r="J914" s="30"/>
      <c r="K914" s="30"/>
      <c r="L914" s="30"/>
      <c r="M914" s="30"/>
      <c r="N914" s="37"/>
      <c r="O914" s="30"/>
      <c r="P914" s="30"/>
      <c r="Q914" s="30"/>
      <c r="R914" s="30"/>
      <c r="S914" s="736"/>
      <c r="T914" s="30"/>
      <c r="U914" s="30"/>
      <c r="V914" s="30"/>
      <c r="W914" s="30"/>
      <c r="X914" s="30"/>
      <c r="Y914" s="30"/>
      <c r="Z914" s="30"/>
      <c r="AA914" s="30"/>
      <c r="AB914" s="1005"/>
    </row>
    <row r="915" spans="1:28">
      <c r="A915" s="29"/>
      <c r="B915" s="30"/>
      <c r="C915" s="30"/>
      <c r="D915" s="736"/>
      <c r="E915" s="30"/>
      <c r="F915" s="30"/>
      <c r="G915" s="30"/>
      <c r="H915" s="30"/>
      <c r="I915" s="30"/>
      <c r="J915" s="30"/>
      <c r="K915" s="30"/>
      <c r="L915" s="30"/>
      <c r="M915" s="30"/>
      <c r="N915" s="37"/>
      <c r="O915" s="30"/>
      <c r="P915" s="30"/>
      <c r="Q915" s="30"/>
      <c r="R915" s="30"/>
      <c r="S915" s="736"/>
      <c r="T915" s="30"/>
      <c r="U915" s="30"/>
      <c r="V915" s="30"/>
      <c r="W915" s="30"/>
      <c r="X915" s="30"/>
      <c r="Y915" s="30"/>
      <c r="Z915" s="30"/>
      <c r="AA915" s="30"/>
      <c r="AB915" s="1005"/>
    </row>
    <row r="916" spans="1:28">
      <c r="A916" s="29"/>
      <c r="B916" s="30"/>
      <c r="C916" s="30"/>
      <c r="D916" s="736"/>
      <c r="E916" s="30"/>
      <c r="F916" s="30"/>
      <c r="G916" s="30"/>
      <c r="H916" s="30"/>
      <c r="I916" s="30"/>
      <c r="J916" s="30"/>
      <c r="K916" s="30"/>
      <c r="L916" s="30"/>
      <c r="M916" s="30"/>
      <c r="N916" s="37"/>
      <c r="O916" s="30"/>
      <c r="P916" s="30"/>
      <c r="Q916" s="30"/>
      <c r="R916" s="30"/>
      <c r="S916" s="736"/>
      <c r="T916" s="30"/>
      <c r="U916" s="30"/>
      <c r="V916" s="30"/>
      <c r="W916" s="30"/>
      <c r="X916" s="30"/>
      <c r="Y916" s="30"/>
      <c r="Z916" s="30"/>
      <c r="AA916" s="30"/>
      <c r="AB916" s="1005"/>
    </row>
    <row r="917" spans="1:28">
      <c r="A917" s="29"/>
      <c r="B917" s="30"/>
      <c r="C917" s="30"/>
      <c r="D917" s="736"/>
      <c r="E917" s="30"/>
      <c r="F917" s="30"/>
      <c r="G917" s="30"/>
      <c r="H917" s="30"/>
      <c r="I917" s="30"/>
      <c r="J917" s="30"/>
      <c r="K917" s="30"/>
      <c r="L917" s="30"/>
      <c r="M917" s="30"/>
      <c r="N917" s="37"/>
      <c r="O917" s="30"/>
      <c r="P917" s="30"/>
      <c r="Q917" s="30"/>
      <c r="R917" s="30"/>
      <c r="S917" s="736"/>
      <c r="T917" s="30"/>
      <c r="U917" s="30"/>
      <c r="V917" s="30"/>
      <c r="W917" s="30"/>
      <c r="X917" s="30"/>
      <c r="Y917" s="30"/>
      <c r="Z917" s="30"/>
      <c r="AA917" s="30"/>
      <c r="AB917" s="1005"/>
    </row>
    <row r="918" spans="1:28">
      <c r="A918" s="29"/>
      <c r="B918" s="30"/>
      <c r="C918" s="30"/>
      <c r="D918" s="736"/>
      <c r="E918" s="30"/>
      <c r="F918" s="30"/>
      <c r="G918" s="30"/>
      <c r="H918" s="30"/>
      <c r="I918" s="30"/>
      <c r="J918" s="30"/>
      <c r="K918" s="30"/>
      <c r="L918" s="30"/>
      <c r="M918" s="30"/>
      <c r="N918" s="37"/>
      <c r="O918" s="30"/>
      <c r="P918" s="30"/>
      <c r="Q918" s="30"/>
      <c r="R918" s="30"/>
      <c r="S918" s="736"/>
      <c r="T918" s="30"/>
      <c r="U918" s="30"/>
      <c r="V918" s="30"/>
      <c r="W918" s="30"/>
      <c r="X918" s="30"/>
      <c r="Y918" s="30"/>
      <c r="Z918" s="30"/>
      <c r="AA918" s="30"/>
      <c r="AB918" s="1005"/>
    </row>
    <row r="919" spans="1:28">
      <c r="A919" s="29"/>
      <c r="B919" s="30"/>
      <c r="C919" s="30"/>
      <c r="D919" s="736"/>
      <c r="E919" s="30"/>
      <c r="F919" s="30"/>
      <c r="G919" s="30"/>
      <c r="H919" s="30"/>
      <c r="I919" s="30"/>
      <c r="J919" s="30"/>
      <c r="K919" s="30"/>
      <c r="L919" s="30"/>
      <c r="M919" s="30"/>
      <c r="N919" s="37"/>
      <c r="O919" s="30"/>
      <c r="P919" s="30"/>
      <c r="Q919" s="30"/>
      <c r="R919" s="30"/>
      <c r="S919" s="736"/>
      <c r="T919" s="30"/>
      <c r="U919" s="30"/>
      <c r="V919" s="30"/>
      <c r="W919" s="30"/>
      <c r="X919" s="30"/>
      <c r="Y919" s="30"/>
      <c r="Z919" s="30"/>
      <c r="AA919" s="30"/>
      <c r="AB919" s="1005"/>
    </row>
    <row r="920" spans="1:28">
      <c r="A920" s="29"/>
      <c r="B920" s="30"/>
      <c r="C920" s="30"/>
      <c r="D920" s="736"/>
      <c r="E920" s="30"/>
      <c r="F920" s="30"/>
      <c r="G920" s="30"/>
      <c r="H920" s="30"/>
      <c r="I920" s="30"/>
      <c r="J920" s="30"/>
      <c r="K920" s="30"/>
      <c r="L920" s="30"/>
      <c r="M920" s="30"/>
      <c r="N920" s="37"/>
      <c r="O920" s="30"/>
      <c r="P920" s="30"/>
      <c r="Q920" s="30"/>
      <c r="R920" s="30"/>
      <c r="S920" s="736"/>
      <c r="T920" s="30"/>
      <c r="U920" s="30"/>
      <c r="V920" s="30"/>
      <c r="W920" s="30"/>
      <c r="X920" s="30"/>
      <c r="Y920" s="30"/>
      <c r="Z920" s="30"/>
      <c r="AA920" s="30"/>
      <c r="AB920" s="1005"/>
    </row>
    <row r="921" spans="1:28">
      <c r="A921" s="29"/>
      <c r="B921" s="30"/>
      <c r="C921" s="30"/>
      <c r="D921" s="736"/>
      <c r="E921" s="30"/>
      <c r="F921" s="30"/>
      <c r="G921" s="30"/>
      <c r="H921" s="30"/>
      <c r="I921" s="30"/>
      <c r="J921" s="30"/>
      <c r="K921" s="30"/>
      <c r="L921" s="30"/>
      <c r="M921" s="30"/>
      <c r="N921" s="37"/>
      <c r="O921" s="30"/>
      <c r="P921" s="30"/>
      <c r="Q921" s="30"/>
      <c r="R921" s="30"/>
      <c r="S921" s="736"/>
      <c r="T921" s="30"/>
      <c r="U921" s="30"/>
      <c r="V921" s="30"/>
      <c r="W921" s="30"/>
      <c r="X921" s="30"/>
      <c r="Y921" s="30"/>
      <c r="Z921" s="30"/>
      <c r="AA921" s="30"/>
      <c r="AB921" s="1005"/>
    </row>
    <row r="922" spans="1:28">
      <c r="A922" s="29"/>
      <c r="B922" s="30"/>
      <c r="C922" s="30"/>
      <c r="D922" s="736"/>
      <c r="E922" s="30"/>
      <c r="F922" s="30"/>
      <c r="G922" s="30"/>
      <c r="H922" s="30"/>
      <c r="I922" s="30"/>
      <c r="J922" s="30"/>
      <c r="K922" s="30"/>
      <c r="L922" s="30"/>
      <c r="M922" s="30"/>
      <c r="N922" s="37"/>
      <c r="O922" s="30"/>
      <c r="P922" s="30"/>
      <c r="Q922" s="30"/>
      <c r="R922" s="30"/>
      <c r="S922" s="736"/>
      <c r="T922" s="30"/>
      <c r="U922" s="30"/>
      <c r="V922" s="30"/>
      <c r="W922" s="30"/>
      <c r="X922" s="30"/>
      <c r="Y922" s="30"/>
      <c r="Z922" s="30"/>
      <c r="AA922" s="30"/>
      <c r="AB922" s="1005"/>
    </row>
    <row r="923" spans="1:28">
      <c r="A923" s="29"/>
      <c r="B923" s="30"/>
      <c r="C923" s="30"/>
      <c r="D923" s="736"/>
      <c r="E923" s="30"/>
      <c r="F923" s="30"/>
      <c r="G923" s="30"/>
      <c r="H923" s="30"/>
      <c r="I923" s="30"/>
      <c r="J923" s="30"/>
      <c r="K923" s="30"/>
      <c r="L923" s="30"/>
      <c r="M923" s="30"/>
      <c r="N923" s="37"/>
      <c r="O923" s="30"/>
      <c r="P923" s="30"/>
      <c r="Q923" s="30"/>
      <c r="R923" s="30"/>
      <c r="S923" s="736"/>
      <c r="T923" s="30"/>
      <c r="U923" s="30"/>
      <c r="V923" s="30"/>
      <c r="W923" s="30"/>
      <c r="X923" s="30"/>
      <c r="Y923" s="30"/>
      <c r="Z923" s="30"/>
      <c r="AA923" s="30"/>
      <c r="AB923" s="1005"/>
    </row>
    <row r="924" spans="1:28">
      <c r="A924" s="29"/>
      <c r="B924" s="30"/>
      <c r="C924" s="30"/>
      <c r="D924" s="736"/>
      <c r="E924" s="30"/>
      <c r="F924" s="30"/>
      <c r="G924" s="30"/>
      <c r="H924" s="30"/>
      <c r="I924" s="30"/>
      <c r="J924" s="30"/>
      <c r="K924" s="30"/>
      <c r="L924" s="30"/>
      <c r="M924" s="30"/>
      <c r="N924" s="37"/>
      <c r="O924" s="30"/>
      <c r="P924" s="30"/>
      <c r="Q924" s="30"/>
      <c r="R924" s="30"/>
      <c r="S924" s="736"/>
      <c r="T924" s="30"/>
      <c r="U924" s="30"/>
      <c r="V924" s="30"/>
      <c r="W924" s="30"/>
      <c r="X924" s="30"/>
      <c r="Y924" s="30"/>
      <c r="Z924" s="30"/>
      <c r="AA924" s="30"/>
      <c r="AB924" s="1005"/>
    </row>
    <row r="925" spans="1:28">
      <c r="A925" s="29"/>
      <c r="B925" s="30"/>
      <c r="C925" s="30"/>
      <c r="D925" s="736"/>
      <c r="E925" s="30"/>
      <c r="F925" s="30"/>
      <c r="G925" s="30"/>
      <c r="H925" s="30"/>
      <c r="I925" s="30"/>
      <c r="J925" s="30"/>
      <c r="K925" s="30"/>
      <c r="L925" s="30"/>
      <c r="M925" s="30"/>
      <c r="N925" s="37"/>
      <c r="O925" s="30"/>
      <c r="P925" s="30"/>
      <c r="Q925" s="30"/>
      <c r="R925" s="30"/>
      <c r="S925" s="736"/>
      <c r="T925" s="30"/>
      <c r="U925" s="30"/>
      <c r="V925" s="30"/>
      <c r="W925" s="30"/>
      <c r="X925" s="30"/>
      <c r="Y925" s="30"/>
      <c r="Z925" s="30"/>
      <c r="AA925" s="30"/>
      <c r="AB925" s="1005"/>
    </row>
    <row r="926" spans="1:28">
      <c r="A926" s="29"/>
      <c r="B926" s="30"/>
      <c r="C926" s="30"/>
      <c r="D926" s="736"/>
      <c r="E926" s="30"/>
      <c r="F926" s="30"/>
      <c r="G926" s="30"/>
      <c r="H926" s="30"/>
      <c r="I926" s="30"/>
      <c r="J926" s="30"/>
      <c r="K926" s="30"/>
      <c r="L926" s="30"/>
      <c r="M926" s="30"/>
      <c r="N926" s="37"/>
      <c r="O926" s="30"/>
      <c r="P926" s="30"/>
      <c r="Q926" s="30"/>
      <c r="R926" s="30"/>
      <c r="S926" s="736"/>
      <c r="T926" s="30"/>
      <c r="U926" s="30"/>
      <c r="V926" s="30"/>
      <c r="W926" s="30"/>
      <c r="X926" s="30"/>
      <c r="Y926" s="30"/>
      <c r="Z926" s="30"/>
      <c r="AA926" s="30"/>
      <c r="AB926" s="1005"/>
    </row>
    <row r="927" spans="1:28">
      <c r="A927" s="29"/>
      <c r="B927" s="30"/>
      <c r="C927" s="30"/>
      <c r="D927" s="736"/>
      <c r="E927" s="30"/>
      <c r="F927" s="30"/>
      <c r="G927" s="30"/>
      <c r="H927" s="30"/>
      <c r="I927" s="30"/>
      <c r="J927" s="30"/>
      <c r="K927" s="30"/>
      <c r="L927" s="30"/>
      <c r="M927" s="30"/>
      <c r="N927" s="37"/>
      <c r="O927" s="30"/>
      <c r="P927" s="30"/>
      <c r="Q927" s="30"/>
      <c r="R927" s="30"/>
      <c r="S927" s="736"/>
      <c r="T927" s="30"/>
      <c r="U927" s="30"/>
      <c r="V927" s="30"/>
      <c r="W927" s="30"/>
      <c r="X927" s="30"/>
      <c r="Y927" s="30"/>
      <c r="Z927" s="30"/>
      <c r="AA927" s="30"/>
      <c r="AB927" s="1005"/>
    </row>
    <row r="928" spans="1:28">
      <c r="A928" s="29"/>
      <c r="B928" s="30"/>
      <c r="C928" s="30"/>
      <c r="D928" s="736"/>
      <c r="E928" s="30"/>
      <c r="F928" s="30"/>
      <c r="G928" s="30"/>
      <c r="H928" s="30"/>
      <c r="I928" s="30"/>
      <c r="J928" s="30"/>
      <c r="K928" s="30"/>
      <c r="L928" s="30"/>
      <c r="M928" s="30"/>
      <c r="N928" s="37"/>
      <c r="O928" s="30"/>
      <c r="P928" s="30"/>
      <c r="Q928" s="30"/>
      <c r="R928" s="30"/>
      <c r="S928" s="736"/>
      <c r="T928" s="30"/>
      <c r="U928" s="30"/>
      <c r="V928" s="30"/>
      <c r="W928" s="30"/>
      <c r="X928" s="30"/>
      <c r="Y928" s="30"/>
      <c r="Z928" s="30"/>
      <c r="AA928" s="30"/>
      <c r="AB928" s="1005"/>
    </row>
    <row r="929" spans="1:28">
      <c r="A929" s="29"/>
      <c r="B929" s="30"/>
      <c r="C929" s="30"/>
      <c r="D929" s="736"/>
      <c r="E929" s="30"/>
      <c r="F929" s="30"/>
      <c r="G929" s="30"/>
      <c r="H929" s="30"/>
      <c r="I929" s="30"/>
      <c r="J929" s="30"/>
      <c r="K929" s="30"/>
      <c r="L929" s="30"/>
      <c r="M929" s="30"/>
      <c r="N929" s="37"/>
      <c r="O929" s="30"/>
      <c r="P929" s="30"/>
      <c r="Q929" s="30"/>
      <c r="R929" s="30"/>
      <c r="S929" s="736"/>
      <c r="T929" s="30"/>
      <c r="U929" s="30"/>
      <c r="V929" s="30"/>
      <c r="W929" s="30"/>
      <c r="X929" s="30"/>
      <c r="Y929" s="30"/>
      <c r="Z929" s="30"/>
      <c r="AA929" s="30"/>
      <c r="AB929" s="1005"/>
    </row>
    <row r="930" spans="1:28">
      <c r="A930" s="29"/>
      <c r="B930" s="30"/>
      <c r="C930" s="30"/>
      <c r="D930" s="736"/>
      <c r="E930" s="30"/>
      <c r="F930" s="30"/>
      <c r="G930" s="30"/>
      <c r="H930" s="30"/>
      <c r="I930" s="30"/>
      <c r="J930" s="30"/>
      <c r="K930" s="30"/>
      <c r="L930" s="30"/>
      <c r="M930" s="30"/>
      <c r="N930" s="37"/>
      <c r="O930" s="30"/>
      <c r="P930" s="30"/>
      <c r="Q930" s="30"/>
      <c r="R930" s="30"/>
      <c r="S930" s="736"/>
      <c r="T930" s="30"/>
      <c r="U930" s="30"/>
      <c r="V930" s="30"/>
      <c r="W930" s="30"/>
      <c r="X930" s="30"/>
      <c r="Y930" s="30"/>
      <c r="Z930" s="30"/>
      <c r="AA930" s="30"/>
      <c r="AB930" s="1005"/>
    </row>
    <row r="931" spans="1:28">
      <c r="A931" s="29"/>
      <c r="B931" s="30"/>
      <c r="C931" s="30"/>
      <c r="D931" s="736"/>
      <c r="E931" s="30"/>
      <c r="F931" s="30"/>
      <c r="G931" s="30"/>
      <c r="H931" s="30"/>
      <c r="I931" s="30"/>
      <c r="J931" s="30"/>
      <c r="K931" s="30"/>
      <c r="L931" s="30"/>
      <c r="M931" s="30"/>
      <c r="N931" s="37"/>
      <c r="O931" s="30"/>
      <c r="P931" s="30"/>
      <c r="Q931" s="30"/>
      <c r="R931" s="30"/>
      <c r="S931" s="736"/>
      <c r="T931" s="30"/>
      <c r="U931" s="30"/>
      <c r="V931" s="30"/>
      <c r="W931" s="30"/>
      <c r="X931" s="30"/>
      <c r="Y931" s="30"/>
      <c r="Z931" s="30"/>
      <c r="AA931" s="30"/>
      <c r="AB931" s="1005"/>
    </row>
    <row r="932" spans="1:28">
      <c r="A932" s="29"/>
      <c r="B932" s="30"/>
      <c r="C932" s="30"/>
      <c r="D932" s="736"/>
      <c r="E932" s="30"/>
      <c r="F932" s="30"/>
      <c r="G932" s="30"/>
      <c r="H932" s="30"/>
      <c r="I932" s="30"/>
      <c r="J932" s="30"/>
      <c r="K932" s="30"/>
      <c r="L932" s="30"/>
      <c r="M932" s="30"/>
      <c r="N932" s="37"/>
      <c r="O932" s="30"/>
      <c r="P932" s="30"/>
      <c r="Q932" s="30"/>
      <c r="R932" s="30"/>
      <c r="S932" s="736"/>
      <c r="T932" s="30"/>
      <c r="U932" s="30"/>
      <c r="V932" s="30"/>
      <c r="W932" s="30"/>
      <c r="X932" s="30"/>
      <c r="Y932" s="30"/>
      <c r="Z932" s="30"/>
      <c r="AA932" s="30"/>
      <c r="AB932" s="1005"/>
    </row>
    <row r="933" spans="1:28">
      <c r="A933" s="29"/>
      <c r="B933" s="30"/>
      <c r="C933" s="30"/>
      <c r="D933" s="736"/>
      <c r="E933" s="30"/>
      <c r="F933" s="30"/>
      <c r="G933" s="30"/>
      <c r="H933" s="30"/>
      <c r="I933" s="30"/>
      <c r="J933" s="30"/>
      <c r="K933" s="30"/>
      <c r="L933" s="30"/>
      <c r="M933" s="30"/>
      <c r="N933" s="37"/>
      <c r="O933" s="30"/>
      <c r="P933" s="30"/>
      <c r="Q933" s="30"/>
      <c r="R933" s="30"/>
      <c r="S933" s="736"/>
      <c r="T933" s="30"/>
      <c r="U933" s="30"/>
      <c r="V933" s="30"/>
      <c r="W933" s="30"/>
      <c r="X933" s="30"/>
      <c r="Y933" s="30"/>
      <c r="Z933" s="30"/>
      <c r="AA933" s="30"/>
      <c r="AB933" s="1005"/>
    </row>
    <row r="934" spans="1:28">
      <c r="A934" s="29"/>
      <c r="B934" s="30"/>
      <c r="C934" s="30"/>
      <c r="D934" s="736"/>
      <c r="E934" s="30"/>
      <c r="F934" s="30"/>
      <c r="G934" s="30"/>
      <c r="H934" s="30"/>
      <c r="I934" s="30"/>
      <c r="J934" s="30"/>
      <c r="K934" s="30"/>
      <c r="L934" s="30"/>
      <c r="M934" s="30"/>
      <c r="N934" s="37"/>
      <c r="O934" s="30"/>
      <c r="P934" s="30"/>
      <c r="Q934" s="30"/>
      <c r="R934" s="30"/>
      <c r="S934" s="736"/>
      <c r="T934" s="30"/>
      <c r="U934" s="30"/>
      <c r="V934" s="30"/>
      <c r="W934" s="30"/>
      <c r="X934" s="30"/>
      <c r="Y934" s="30"/>
      <c r="Z934" s="30"/>
      <c r="AA934" s="30"/>
      <c r="AB934" s="1005"/>
    </row>
    <row r="935" spans="1:28">
      <c r="A935" s="29"/>
      <c r="B935" s="30"/>
      <c r="C935" s="30"/>
      <c r="D935" s="736"/>
      <c r="E935" s="30"/>
      <c r="F935" s="30"/>
      <c r="G935" s="30"/>
      <c r="H935" s="30"/>
      <c r="I935" s="30"/>
      <c r="J935" s="30"/>
      <c r="K935" s="30"/>
      <c r="L935" s="30"/>
      <c r="M935" s="30"/>
      <c r="N935" s="37"/>
      <c r="O935" s="30"/>
      <c r="P935" s="30"/>
      <c r="Q935" s="30"/>
      <c r="R935" s="30"/>
      <c r="S935" s="736"/>
      <c r="T935" s="30"/>
      <c r="U935" s="30"/>
      <c r="V935" s="30"/>
      <c r="W935" s="30"/>
      <c r="X935" s="30"/>
      <c r="Y935" s="30"/>
      <c r="Z935" s="30"/>
      <c r="AA935" s="30"/>
      <c r="AB935" s="1005"/>
    </row>
    <row r="936" spans="1:28">
      <c r="A936" s="29"/>
      <c r="B936" s="30"/>
      <c r="C936" s="30"/>
      <c r="D936" s="736"/>
      <c r="E936" s="30"/>
      <c r="F936" s="30"/>
      <c r="G936" s="30"/>
      <c r="H936" s="30"/>
      <c r="I936" s="30"/>
      <c r="J936" s="30"/>
      <c r="K936" s="30"/>
      <c r="L936" s="30"/>
      <c r="M936" s="30"/>
      <c r="N936" s="37"/>
      <c r="O936" s="30"/>
      <c r="P936" s="30"/>
      <c r="Q936" s="30"/>
      <c r="R936" s="30"/>
      <c r="S936" s="736"/>
      <c r="T936" s="30"/>
      <c r="U936" s="30"/>
      <c r="V936" s="30"/>
      <c r="W936" s="30"/>
      <c r="X936" s="30"/>
      <c r="Y936" s="30"/>
      <c r="Z936" s="30"/>
      <c r="AA936" s="30"/>
      <c r="AB936" s="1005"/>
    </row>
    <row r="937" spans="1:28">
      <c r="A937" s="29"/>
      <c r="B937" s="30"/>
      <c r="C937" s="30"/>
      <c r="D937" s="736"/>
      <c r="E937" s="30"/>
      <c r="F937" s="30"/>
      <c r="G937" s="30"/>
      <c r="H937" s="30"/>
      <c r="I937" s="30"/>
      <c r="J937" s="30"/>
      <c r="K937" s="30"/>
      <c r="L937" s="30"/>
      <c r="M937" s="30"/>
      <c r="N937" s="37"/>
      <c r="O937" s="30"/>
      <c r="P937" s="30"/>
      <c r="Q937" s="30"/>
      <c r="R937" s="30"/>
      <c r="S937" s="736"/>
      <c r="T937" s="30"/>
      <c r="U937" s="30"/>
      <c r="V937" s="30"/>
      <c r="W937" s="30"/>
      <c r="X937" s="30"/>
      <c r="Y937" s="30"/>
      <c r="Z937" s="30"/>
      <c r="AA937" s="30"/>
      <c r="AB937" s="1005"/>
    </row>
    <row r="938" spans="1:28">
      <c r="A938" s="29"/>
      <c r="B938" s="30"/>
      <c r="C938" s="30"/>
      <c r="D938" s="736"/>
      <c r="E938" s="30"/>
      <c r="F938" s="30"/>
      <c r="G938" s="30"/>
      <c r="H938" s="30"/>
      <c r="I938" s="30"/>
      <c r="J938" s="30"/>
      <c r="K938" s="30"/>
      <c r="L938" s="30"/>
      <c r="M938" s="30"/>
      <c r="N938" s="37"/>
      <c r="O938" s="30"/>
      <c r="P938" s="30"/>
      <c r="Q938" s="30"/>
      <c r="R938" s="30"/>
      <c r="S938" s="736"/>
      <c r="T938" s="30"/>
      <c r="U938" s="30"/>
      <c r="V938" s="30"/>
      <c r="W938" s="30"/>
      <c r="X938" s="30"/>
      <c r="Y938" s="30"/>
      <c r="Z938" s="30"/>
      <c r="AA938" s="30"/>
      <c r="AB938" s="1005"/>
    </row>
    <row r="939" spans="1:28">
      <c r="A939" s="29"/>
      <c r="B939" s="30"/>
      <c r="C939" s="30"/>
      <c r="D939" s="736"/>
      <c r="E939" s="30"/>
      <c r="F939" s="30"/>
      <c r="G939" s="30"/>
      <c r="H939" s="30"/>
      <c r="I939" s="30"/>
      <c r="J939" s="30"/>
      <c r="K939" s="30"/>
      <c r="L939" s="30"/>
      <c r="M939" s="30"/>
      <c r="N939" s="37"/>
      <c r="O939" s="30"/>
      <c r="P939" s="30"/>
      <c r="Q939" s="30"/>
      <c r="R939" s="30"/>
      <c r="S939" s="736"/>
      <c r="T939" s="30"/>
      <c r="U939" s="30"/>
      <c r="V939" s="30"/>
      <c r="W939" s="30"/>
      <c r="X939" s="30"/>
      <c r="Y939" s="30"/>
      <c r="Z939" s="30"/>
      <c r="AA939" s="30"/>
      <c r="AB939" s="1005"/>
    </row>
    <row r="940" spans="1:28">
      <c r="A940" s="29"/>
      <c r="B940" s="30"/>
      <c r="C940" s="30"/>
      <c r="D940" s="736"/>
      <c r="E940" s="30"/>
      <c r="F940" s="30"/>
      <c r="G940" s="30"/>
      <c r="H940" s="30"/>
      <c r="I940" s="30"/>
      <c r="J940" s="30"/>
      <c r="K940" s="30"/>
      <c r="L940" s="30"/>
      <c r="M940" s="30"/>
      <c r="N940" s="37"/>
      <c r="O940" s="30"/>
      <c r="P940" s="30"/>
      <c r="Q940" s="30"/>
      <c r="R940" s="30"/>
      <c r="S940" s="736"/>
      <c r="T940" s="30"/>
      <c r="U940" s="30"/>
      <c r="V940" s="30"/>
      <c r="W940" s="30"/>
      <c r="X940" s="30"/>
      <c r="Y940" s="30"/>
      <c r="Z940" s="30"/>
      <c r="AA940" s="30"/>
      <c r="AB940" s="1005"/>
    </row>
    <row r="941" spans="1:28">
      <c r="A941" s="29"/>
      <c r="B941" s="30"/>
      <c r="C941" s="30"/>
      <c r="D941" s="736"/>
      <c r="E941" s="30"/>
      <c r="F941" s="30"/>
      <c r="G941" s="30"/>
      <c r="H941" s="30"/>
      <c r="I941" s="30"/>
      <c r="J941" s="30"/>
      <c r="K941" s="30"/>
      <c r="L941" s="30"/>
      <c r="M941" s="30"/>
      <c r="N941" s="37"/>
      <c r="O941" s="30"/>
      <c r="P941" s="30"/>
      <c r="Q941" s="30"/>
      <c r="R941" s="30"/>
      <c r="S941" s="736"/>
      <c r="T941" s="30"/>
      <c r="U941" s="30"/>
      <c r="V941" s="30"/>
      <c r="W941" s="30"/>
      <c r="X941" s="30"/>
      <c r="Y941" s="30"/>
      <c r="Z941" s="30"/>
      <c r="AA941" s="30"/>
      <c r="AB941" s="1005"/>
    </row>
    <row r="942" spans="1:28">
      <c r="A942" s="29"/>
      <c r="B942" s="30"/>
      <c r="C942" s="30"/>
      <c r="D942" s="736"/>
      <c r="E942" s="30"/>
      <c r="F942" s="30"/>
      <c r="G942" s="30"/>
      <c r="H942" s="30"/>
      <c r="I942" s="30"/>
      <c r="J942" s="30"/>
      <c r="K942" s="30"/>
      <c r="L942" s="30"/>
      <c r="M942" s="30"/>
      <c r="N942" s="37"/>
      <c r="O942" s="30"/>
      <c r="P942" s="30"/>
      <c r="Q942" s="30"/>
      <c r="R942" s="30"/>
      <c r="S942" s="736"/>
      <c r="T942" s="30"/>
      <c r="U942" s="30"/>
      <c r="V942" s="30"/>
      <c r="W942" s="30"/>
      <c r="X942" s="30"/>
      <c r="Y942" s="30"/>
      <c r="Z942" s="30"/>
      <c r="AA942" s="30"/>
      <c r="AB942" s="1005"/>
    </row>
    <row r="943" spans="1:28">
      <c r="A943" s="29"/>
      <c r="B943" s="30"/>
      <c r="C943" s="30"/>
      <c r="D943" s="736"/>
      <c r="E943" s="30"/>
      <c r="F943" s="30"/>
      <c r="G943" s="30"/>
      <c r="H943" s="30"/>
      <c r="I943" s="30"/>
      <c r="J943" s="30"/>
      <c r="K943" s="30"/>
      <c r="L943" s="30"/>
      <c r="M943" s="30"/>
      <c r="N943" s="37"/>
      <c r="O943" s="30"/>
      <c r="P943" s="30"/>
      <c r="Q943" s="30"/>
      <c r="R943" s="30"/>
      <c r="S943" s="736"/>
      <c r="T943" s="30"/>
      <c r="U943" s="30"/>
      <c r="V943" s="30"/>
      <c r="W943" s="30"/>
      <c r="X943" s="30"/>
      <c r="Y943" s="30"/>
      <c r="Z943" s="30"/>
      <c r="AA943" s="30"/>
      <c r="AB943" s="1005"/>
    </row>
    <row r="944" spans="1:28">
      <c r="A944" s="29"/>
      <c r="B944" s="30"/>
      <c r="C944" s="30"/>
      <c r="D944" s="736"/>
      <c r="E944" s="30"/>
      <c r="F944" s="30"/>
      <c r="G944" s="30"/>
      <c r="H944" s="30"/>
      <c r="I944" s="30"/>
      <c r="J944" s="30"/>
      <c r="K944" s="30"/>
      <c r="L944" s="30"/>
      <c r="M944" s="30"/>
      <c r="N944" s="37"/>
      <c r="O944" s="30"/>
      <c r="P944" s="30"/>
      <c r="Q944" s="30"/>
      <c r="R944" s="30"/>
      <c r="S944" s="736"/>
      <c r="T944" s="30"/>
      <c r="U944" s="30"/>
      <c r="V944" s="30"/>
      <c r="W944" s="30"/>
      <c r="X944" s="30"/>
      <c r="Y944" s="30"/>
      <c r="Z944" s="30"/>
      <c r="AA944" s="30"/>
      <c r="AB944" s="1005"/>
    </row>
    <row r="945" spans="1:28">
      <c r="A945" s="29"/>
      <c r="B945" s="30"/>
      <c r="C945" s="30"/>
      <c r="D945" s="736"/>
      <c r="E945" s="30"/>
      <c r="F945" s="30"/>
      <c r="G945" s="30"/>
      <c r="H945" s="30"/>
      <c r="I945" s="30"/>
      <c r="J945" s="30"/>
      <c r="K945" s="30"/>
      <c r="L945" s="30"/>
      <c r="M945" s="30"/>
      <c r="N945" s="37"/>
      <c r="O945" s="30"/>
      <c r="P945" s="30"/>
      <c r="Q945" s="30"/>
      <c r="R945" s="30"/>
      <c r="S945" s="736"/>
      <c r="T945" s="30"/>
      <c r="U945" s="30"/>
      <c r="V945" s="30"/>
      <c r="W945" s="30"/>
      <c r="X945" s="30"/>
      <c r="Y945" s="30"/>
      <c r="Z945" s="30"/>
      <c r="AA945" s="30"/>
      <c r="AB945" s="1005"/>
    </row>
    <row r="946" spans="1:28">
      <c r="A946" s="29"/>
      <c r="B946" s="30"/>
      <c r="C946" s="30"/>
      <c r="D946" s="736"/>
      <c r="E946" s="30"/>
      <c r="F946" s="30"/>
      <c r="G946" s="30"/>
      <c r="H946" s="30"/>
      <c r="I946" s="30"/>
      <c r="J946" s="30"/>
      <c r="K946" s="30"/>
      <c r="L946" s="30"/>
      <c r="M946" s="30"/>
      <c r="N946" s="37"/>
      <c r="O946" s="30"/>
      <c r="P946" s="30"/>
      <c r="Q946" s="30"/>
      <c r="R946" s="30"/>
      <c r="S946" s="736"/>
      <c r="T946" s="30"/>
      <c r="U946" s="30"/>
      <c r="V946" s="30"/>
      <c r="W946" s="30"/>
      <c r="X946" s="30"/>
      <c r="Y946" s="30"/>
      <c r="Z946" s="30"/>
      <c r="AA946" s="30"/>
      <c r="AB946" s="1005"/>
    </row>
    <row r="947" spans="1:28">
      <c r="A947" s="29"/>
      <c r="B947" s="30"/>
      <c r="C947" s="30"/>
      <c r="D947" s="736"/>
      <c r="E947" s="30"/>
      <c r="F947" s="30"/>
      <c r="G947" s="30"/>
      <c r="H947" s="30"/>
      <c r="I947" s="30"/>
      <c r="J947" s="30"/>
      <c r="K947" s="30"/>
      <c r="L947" s="30"/>
      <c r="M947" s="30"/>
      <c r="N947" s="37"/>
      <c r="O947" s="30"/>
      <c r="P947" s="30"/>
      <c r="Q947" s="30"/>
      <c r="R947" s="30"/>
      <c r="S947" s="736"/>
      <c r="T947" s="30"/>
      <c r="U947" s="30"/>
      <c r="V947" s="30"/>
      <c r="W947" s="30"/>
      <c r="X947" s="30"/>
      <c r="Y947" s="30"/>
      <c r="Z947" s="30"/>
      <c r="AA947" s="30"/>
      <c r="AB947" s="1005"/>
    </row>
    <row r="948" spans="1:28">
      <c r="A948" s="29"/>
      <c r="B948" s="30"/>
      <c r="C948" s="30"/>
      <c r="D948" s="736"/>
      <c r="E948" s="30"/>
      <c r="F948" s="30"/>
      <c r="G948" s="30"/>
      <c r="H948" s="30"/>
      <c r="I948" s="30"/>
      <c r="J948" s="30"/>
      <c r="K948" s="30"/>
      <c r="L948" s="30"/>
      <c r="M948" s="30"/>
      <c r="N948" s="37"/>
      <c r="O948" s="30"/>
      <c r="P948" s="30"/>
      <c r="Q948" s="30"/>
      <c r="R948" s="30"/>
      <c r="S948" s="736"/>
      <c r="T948" s="30"/>
      <c r="U948" s="30"/>
      <c r="V948" s="30"/>
      <c r="W948" s="30"/>
      <c r="X948" s="30"/>
      <c r="Y948" s="30"/>
      <c r="Z948" s="30"/>
      <c r="AA948" s="30"/>
      <c r="AB948" s="1005"/>
    </row>
    <row r="949" spans="1:28">
      <c r="A949" s="29"/>
      <c r="B949" s="30"/>
      <c r="C949" s="30"/>
      <c r="D949" s="736"/>
      <c r="E949" s="30"/>
      <c r="F949" s="30"/>
      <c r="G949" s="30"/>
      <c r="H949" s="30"/>
      <c r="I949" s="30"/>
      <c r="J949" s="30"/>
      <c r="K949" s="30"/>
      <c r="L949" s="30"/>
      <c r="M949" s="30"/>
      <c r="N949" s="37"/>
      <c r="O949" s="30"/>
      <c r="P949" s="30"/>
      <c r="Q949" s="30"/>
      <c r="R949" s="30"/>
      <c r="S949" s="736"/>
      <c r="T949" s="30"/>
      <c r="U949" s="30"/>
      <c r="V949" s="30"/>
      <c r="W949" s="30"/>
      <c r="X949" s="30"/>
      <c r="Y949" s="30"/>
      <c r="Z949" s="30"/>
      <c r="AA949" s="30"/>
      <c r="AB949" s="1005"/>
    </row>
    <row r="950" spans="1:28">
      <c r="A950" s="29"/>
      <c r="B950" s="30"/>
      <c r="C950" s="30"/>
      <c r="D950" s="736"/>
      <c r="E950" s="30"/>
      <c r="F950" s="30"/>
      <c r="G950" s="30"/>
      <c r="H950" s="30"/>
      <c r="I950" s="30"/>
      <c r="J950" s="30"/>
      <c r="K950" s="30"/>
      <c r="L950" s="30"/>
      <c r="M950" s="30"/>
      <c r="N950" s="37"/>
      <c r="O950" s="30"/>
      <c r="P950" s="30"/>
      <c r="Q950" s="30"/>
      <c r="R950" s="30"/>
      <c r="S950" s="736"/>
      <c r="T950" s="30"/>
      <c r="U950" s="30"/>
      <c r="V950" s="30"/>
      <c r="W950" s="30"/>
      <c r="X950" s="30"/>
      <c r="Y950" s="30"/>
      <c r="Z950" s="30"/>
      <c r="AA950" s="30"/>
      <c r="AB950" s="1005"/>
    </row>
    <row r="951" spans="1:28">
      <c r="A951" s="29"/>
      <c r="B951" s="30"/>
      <c r="C951" s="30"/>
      <c r="D951" s="736"/>
      <c r="E951" s="30"/>
      <c r="F951" s="30"/>
      <c r="G951" s="30"/>
      <c r="H951" s="30"/>
      <c r="I951" s="30"/>
      <c r="J951" s="30"/>
      <c r="K951" s="30"/>
      <c r="L951" s="30"/>
      <c r="M951" s="30"/>
      <c r="N951" s="37"/>
      <c r="O951" s="30"/>
      <c r="P951" s="30"/>
      <c r="Q951" s="30"/>
      <c r="R951" s="30"/>
      <c r="S951" s="736"/>
      <c r="T951" s="30"/>
      <c r="U951" s="30"/>
      <c r="V951" s="30"/>
      <c r="W951" s="30"/>
      <c r="X951" s="30"/>
      <c r="Y951" s="30"/>
      <c r="Z951" s="30"/>
      <c r="AA951" s="30"/>
      <c r="AB951" s="1005"/>
    </row>
    <row r="952" spans="1:28">
      <c r="A952" s="29"/>
      <c r="B952" s="30"/>
      <c r="C952" s="30"/>
      <c r="D952" s="736"/>
      <c r="E952" s="30"/>
      <c r="F952" s="30"/>
      <c r="G952" s="30"/>
      <c r="H952" s="30"/>
      <c r="I952" s="30"/>
      <c r="J952" s="30"/>
      <c r="K952" s="30"/>
      <c r="L952" s="30"/>
      <c r="M952" s="30"/>
      <c r="N952" s="37"/>
      <c r="O952" s="30"/>
      <c r="P952" s="30"/>
      <c r="Q952" s="30"/>
      <c r="R952" s="30"/>
      <c r="S952" s="736"/>
      <c r="T952" s="30"/>
      <c r="U952" s="30"/>
      <c r="V952" s="30"/>
      <c r="W952" s="30"/>
      <c r="X952" s="30"/>
      <c r="Y952" s="30"/>
      <c r="Z952" s="30"/>
      <c r="AA952" s="30"/>
      <c r="AB952" s="1005"/>
    </row>
    <row r="953" spans="1:28">
      <c r="A953" s="29"/>
      <c r="B953" s="30"/>
      <c r="C953" s="30"/>
      <c r="D953" s="736"/>
      <c r="E953" s="30"/>
      <c r="F953" s="30"/>
      <c r="G953" s="30"/>
      <c r="H953" s="30"/>
      <c r="I953" s="30"/>
      <c r="J953" s="30"/>
      <c r="K953" s="30"/>
      <c r="L953" s="30"/>
      <c r="M953" s="30"/>
      <c r="N953" s="37"/>
      <c r="O953" s="30"/>
      <c r="P953" s="30"/>
      <c r="Q953" s="30"/>
      <c r="R953" s="30"/>
      <c r="S953" s="736"/>
      <c r="T953" s="30"/>
      <c r="U953" s="30"/>
      <c r="V953" s="30"/>
      <c r="W953" s="30"/>
      <c r="X953" s="30"/>
      <c r="Y953" s="30"/>
      <c r="Z953" s="30"/>
      <c r="AA953" s="30"/>
      <c r="AB953" s="1005"/>
    </row>
    <row r="954" spans="1:28">
      <c r="A954" s="29"/>
      <c r="B954" s="30"/>
      <c r="C954" s="30"/>
      <c r="D954" s="736"/>
      <c r="E954" s="30"/>
      <c r="F954" s="30"/>
      <c r="G954" s="30"/>
      <c r="H954" s="30"/>
      <c r="I954" s="30"/>
      <c r="J954" s="30"/>
      <c r="K954" s="30"/>
      <c r="L954" s="30"/>
      <c r="M954" s="30"/>
      <c r="N954" s="37"/>
      <c r="O954" s="30"/>
      <c r="P954" s="30"/>
      <c r="Q954" s="30"/>
      <c r="R954" s="30"/>
      <c r="S954" s="736"/>
      <c r="T954" s="30"/>
      <c r="U954" s="30"/>
      <c r="V954" s="30"/>
      <c r="W954" s="30"/>
      <c r="X954" s="30"/>
      <c r="Y954" s="30"/>
      <c r="Z954" s="30"/>
      <c r="AA954" s="30"/>
      <c r="AB954" s="1005"/>
    </row>
    <row r="955" spans="1:28">
      <c r="A955" s="29"/>
      <c r="B955" s="30"/>
      <c r="C955" s="30"/>
      <c r="D955" s="736"/>
      <c r="E955" s="30"/>
      <c r="F955" s="30"/>
      <c r="G955" s="30"/>
      <c r="H955" s="30"/>
      <c r="I955" s="30"/>
      <c r="J955" s="30"/>
      <c r="K955" s="30"/>
      <c r="L955" s="30"/>
      <c r="M955" s="30"/>
      <c r="N955" s="37"/>
      <c r="O955" s="30"/>
      <c r="P955" s="30"/>
      <c r="Q955" s="30"/>
      <c r="R955" s="30"/>
      <c r="S955" s="736"/>
      <c r="T955" s="30"/>
      <c r="U955" s="30"/>
      <c r="V955" s="30"/>
      <c r="W955" s="30"/>
      <c r="X955" s="30"/>
      <c r="Y955" s="30"/>
      <c r="Z955" s="30"/>
      <c r="AA955" s="30"/>
      <c r="AB955" s="1005"/>
    </row>
    <row r="956" spans="1:28">
      <c r="A956" s="29"/>
      <c r="B956" s="30"/>
      <c r="C956" s="30"/>
      <c r="D956" s="736"/>
      <c r="E956" s="30"/>
      <c r="F956" s="30"/>
      <c r="G956" s="30"/>
      <c r="H956" s="30"/>
      <c r="I956" s="30"/>
      <c r="J956" s="30"/>
      <c r="K956" s="30"/>
      <c r="L956" s="30"/>
      <c r="M956" s="30"/>
      <c r="N956" s="37"/>
      <c r="O956" s="30"/>
      <c r="P956" s="30"/>
      <c r="Q956" s="30"/>
      <c r="R956" s="30"/>
      <c r="S956" s="736"/>
      <c r="T956" s="30"/>
      <c r="U956" s="30"/>
      <c r="V956" s="30"/>
      <c r="W956" s="30"/>
      <c r="X956" s="30"/>
      <c r="Y956" s="30"/>
      <c r="Z956" s="30"/>
      <c r="AA956" s="30"/>
      <c r="AB956" s="1005"/>
    </row>
    <row r="957" spans="1:28">
      <c r="A957" s="29"/>
      <c r="B957" s="30"/>
      <c r="C957" s="30"/>
      <c r="D957" s="736"/>
      <c r="E957" s="30"/>
      <c r="F957" s="30"/>
      <c r="G957" s="30"/>
      <c r="H957" s="30"/>
      <c r="I957" s="30"/>
      <c r="J957" s="30"/>
      <c r="K957" s="30"/>
      <c r="L957" s="30"/>
      <c r="M957" s="30"/>
      <c r="N957" s="37"/>
      <c r="O957" s="30"/>
      <c r="P957" s="30"/>
      <c r="Q957" s="30"/>
      <c r="R957" s="30"/>
      <c r="S957" s="736"/>
      <c r="T957" s="30"/>
      <c r="U957" s="30"/>
      <c r="V957" s="30"/>
      <c r="W957" s="30"/>
      <c r="X957" s="30"/>
      <c r="Y957" s="30"/>
      <c r="Z957" s="30"/>
      <c r="AA957" s="30"/>
      <c r="AB957" s="1005"/>
    </row>
    <row r="958" spans="1:28">
      <c r="A958" s="29"/>
      <c r="B958" s="30"/>
      <c r="C958" s="30"/>
      <c r="D958" s="736"/>
      <c r="E958" s="30"/>
      <c r="F958" s="30"/>
      <c r="G958" s="30"/>
      <c r="H958" s="30"/>
      <c r="I958" s="30"/>
      <c r="J958" s="30"/>
      <c r="K958" s="30"/>
      <c r="L958" s="30"/>
      <c r="M958" s="30"/>
      <c r="N958" s="37"/>
      <c r="O958" s="30"/>
      <c r="P958" s="30"/>
      <c r="Q958" s="30"/>
      <c r="R958" s="30"/>
      <c r="S958" s="736"/>
      <c r="T958" s="30"/>
      <c r="U958" s="30"/>
      <c r="V958" s="30"/>
      <c r="W958" s="30"/>
      <c r="X958" s="30"/>
      <c r="Y958" s="30"/>
      <c r="Z958" s="30"/>
      <c r="AA958" s="30"/>
      <c r="AB958" s="1005"/>
    </row>
    <row r="959" spans="1:28">
      <c r="A959" s="29"/>
      <c r="B959" s="30"/>
      <c r="C959" s="30"/>
      <c r="D959" s="736"/>
      <c r="E959" s="30"/>
      <c r="F959" s="30"/>
      <c r="G959" s="30"/>
      <c r="H959" s="30"/>
      <c r="I959" s="30"/>
      <c r="J959" s="30"/>
      <c r="K959" s="30"/>
      <c r="L959" s="30"/>
      <c r="M959" s="30"/>
      <c r="N959" s="37"/>
      <c r="O959" s="30"/>
      <c r="P959" s="30"/>
      <c r="Q959" s="30"/>
      <c r="R959" s="30"/>
      <c r="S959" s="736"/>
      <c r="T959" s="30"/>
      <c r="U959" s="30"/>
      <c r="V959" s="30"/>
      <c r="W959" s="30"/>
      <c r="X959" s="30"/>
      <c r="Y959" s="30"/>
      <c r="Z959" s="30"/>
      <c r="AA959" s="30"/>
      <c r="AB959" s="1005"/>
    </row>
    <row r="960" spans="1:28">
      <c r="A960" s="29"/>
      <c r="B960" s="30"/>
      <c r="C960" s="30"/>
      <c r="D960" s="736"/>
      <c r="E960" s="30"/>
      <c r="F960" s="30"/>
      <c r="G960" s="30"/>
      <c r="H960" s="30"/>
      <c r="I960" s="30"/>
      <c r="J960" s="30"/>
      <c r="K960" s="30"/>
      <c r="L960" s="30"/>
      <c r="M960" s="30"/>
      <c r="N960" s="37"/>
      <c r="O960" s="30"/>
      <c r="P960" s="30"/>
      <c r="Q960" s="30"/>
      <c r="R960" s="30"/>
      <c r="S960" s="736"/>
      <c r="T960" s="30"/>
      <c r="U960" s="30"/>
      <c r="V960" s="30"/>
      <c r="W960" s="30"/>
      <c r="X960" s="30"/>
      <c r="Y960" s="30"/>
      <c r="Z960" s="30"/>
      <c r="AA960" s="30"/>
      <c r="AB960" s="1005"/>
    </row>
    <row r="961" spans="1:28">
      <c r="A961" s="29"/>
      <c r="B961" s="30"/>
      <c r="C961" s="30"/>
      <c r="D961" s="736"/>
      <c r="E961" s="30"/>
      <c r="F961" s="30"/>
      <c r="G961" s="30"/>
      <c r="H961" s="30"/>
      <c r="I961" s="30"/>
      <c r="J961" s="30"/>
      <c r="K961" s="30"/>
      <c r="L961" s="30"/>
      <c r="M961" s="30"/>
      <c r="N961" s="37"/>
      <c r="O961" s="30"/>
      <c r="P961" s="30"/>
      <c r="Q961" s="30"/>
      <c r="R961" s="30"/>
      <c r="S961" s="736"/>
      <c r="T961" s="30"/>
      <c r="U961" s="30"/>
      <c r="V961" s="30"/>
      <c r="W961" s="30"/>
      <c r="X961" s="30"/>
      <c r="Y961" s="30"/>
      <c r="Z961" s="30"/>
      <c r="AA961" s="30"/>
      <c r="AB961" s="1005"/>
    </row>
    <row r="962" spans="1:28">
      <c r="A962" s="29"/>
      <c r="B962" s="30"/>
      <c r="C962" s="30"/>
      <c r="D962" s="736"/>
      <c r="E962" s="30"/>
      <c r="F962" s="30"/>
      <c r="G962" s="30"/>
      <c r="H962" s="30"/>
      <c r="I962" s="30"/>
      <c r="J962" s="30"/>
      <c r="K962" s="30"/>
      <c r="L962" s="30"/>
      <c r="M962" s="30"/>
      <c r="N962" s="37"/>
      <c r="O962" s="30"/>
      <c r="P962" s="30"/>
      <c r="Q962" s="30"/>
      <c r="R962" s="30"/>
      <c r="S962" s="736"/>
      <c r="T962" s="30"/>
      <c r="U962" s="30"/>
      <c r="V962" s="30"/>
      <c r="W962" s="30"/>
      <c r="X962" s="30"/>
      <c r="Y962" s="30"/>
      <c r="Z962" s="30"/>
      <c r="AA962" s="30"/>
      <c r="AB962" s="1005"/>
    </row>
    <row r="963" spans="1:28">
      <c r="A963" s="29"/>
      <c r="B963" s="30"/>
      <c r="C963" s="30"/>
      <c r="D963" s="736"/>
      <c r="E963" s="30"/>
      <c r="F963" s="30"/>
      <c r="G963" s="30"/>
      <c r="H963" s="30"/>
      <c r="I963" s="30"/>
      <c r="J963" s="30"/>
      <c r="K963" s="30"/>
      <c r="L963" s="30"/>
      <c r="M963" s="30"/>
      <c r="N963" s="37"/>
      <c r="O963" s="30"/>
      <c r="P963" s="30"/>
      <c r="Q963" s="30"/>
      <c r="R963" s="30"/>
      <c r="S963" s="736"/>
      <c r="T963" s="30"/>
      <c r="U963" s="30"/>
      <c r="V963" s="30"/>
      <c r="W963" s="30"/>
      <c r="X963" s="30"/>
      <c r="Y963" s="30"/>
      <c r="Z963" s="30"/>
      <c r="AA963" s="30"/>
      <c r="AB963" s="1005"/>
    </row>
    <row r="964" spans="1:28">
      <c r="A964" s="29"/>
      <c r="B964" s="30"/>
      <c r="C964" s="30"/>
      <c r="D964" s="736"/>
      <c r="E964" s="30"/>
      <c r="F964" s="30"/>
      <c r="G964" s="30"/>
      <c r="H964" s="30"/>
      <c r="I964" s="30"/>
      <c r="J964" s="30"/>
      <c r="K964" s="30"/>
      <c r="L964" s="30"/>
      <c r="M964" s="30"/>
      <c r="N964" s="37"/>
      <c r="O964" s="30"/>
      <c r="P964" s="30"/>
      <c r="Q964" s="30"/>
      <c r="R964" s="30"/>
      <c r="S964" s="736"/>
      <c r="T964" s="30"/>
      <c r="U964" s="30"/>
      <c r="V964" s="30"/>
      <c r="W964" s="30"/>
      <c r="X964" s="30"/>
      <c r="Y964" s="30"/>
      <c r="Z964" s="30"/>
      <c r="AA964" s="30"/>
      <c r="AB964" s="1005"/>
    </row>
    <row r="965" spans="1:28">
      <c r="A965" s="29"/>
      <c r="B965" s="30"/>
      <c r="C965" s="30"/>
      <c r="D965" s="736"/>
      <c r="E965" s="30"/>
      <c r="F965" s="30"/>
      <c r="G965" s="30"/>
      <c r="H965" s="30"/>
      <c r="I965" s="30"/>
      <c r="J965" s="30"/>
      <c r="K965" s="30"/>
      <c r="L965" s="30"/>
      <c r="M965" s="30"/>
      <c r="N965" s="37"/>
      <c r="O965" s="30"/>
      <c r="P965" s="30"/>
      <c r="Q965" s="30"/>
      <c r="R965" s="30"/>
      <c r="S965" s="736"/>
      <c r="T965" s="30"/>
      <c r="U965" s="30"/>
      <c r="V965" s="30"/>
      <c r="W965" s="30"/>
      <c r="X965" s="30"/>
      <c r="Y965" s="30"/>
      <c r="Z965" s="30"/>
      <c r="AA965" s="30"/>
      <c r="AB965" s="1005"/>
    </row>
    <row r="966" spans="1:28">
      <c r="A966" s="29"/>
      <c r="B966" s="30"/>
      <c r="C966" s="30"/>
      <c r="D966" s="736"/>
      <c r="E966" s="30"/>
      <c r="F966" s="30"/>
      <c r="G966" s="30"/>
      <c r="H966" s="30"/>
      <c r="I966" s="30"/>
      <c r="J966" s="30"/>
      <c r="K966" s="30"/>
      <c r="L966" s="30"/>
      <c r="M966" s="30"/>
      <c r="N966" s="37"/>
      <c r="O966" s="30"/>
      <c r="P966" s="30"/>
      <c r="Q966" s="30"/>
      <c r="R966" s="30"/>
      <c r="S966" s="736"/>
      <c r="T966" s="30"/>
      <c r="U966" s="30"/>
      <c r="V966" s="30"/>
      <c r="W966" s="30"/>
      <c r="X966" s="30"/>
      <c r="Y966" s="30"/>
      <c r="Z966" s="30"/>
      <c r="AA966" s="30"/>
      <c r="AB966" s="1005"/>
    </row>
    <row r="967" spans="1:28">
      <c r="A967" s="29"/>
      <c r="B967" s="30"/>
      <c r="C967" s="30"/>
      <c r="D967" s="736"/>
      <c r="E967" s="30"/>
      <c r="F967" s="30"/>
      <c r="G967" s="30"/>
      <c r="H967" s="30"/>
      <c r="I967" s="30"/>
      <c r="J967" s="30"/>
      <c r="K967" s="30"/>
      <c r="L967" s="30"/>
      <c r="M967" s="30"/>
      <c r="N967" s="37"/>
      <c r="O967" s="30"/>
      <c r="P967" s="30"/>
      <c r="Q967" s="30"/>
      <c r="R967" s="30"/>
      <c r="S967" s="736"/>
      <c r="T967" s="30"/>
      <c r="U967" s="30"/>
      <c r="V967" s="30"/>
      <c r="W967" s="30"/>
      <c r="X967" s="30"/>
      <c r="Y967" s="30"/>
      <c r="Z967" s="30"/>
      <c r="AA967" s="30"/>
      <c r="AB967" s="1005"/>
    </row>
    <row r="968" spans="1:28">
      <c r="A968" s="29"/>
      <c r="B968" s="30"/>
      <c r="C968" s="30"/>
      <c r="D968" s="736"/>
      <c r="E968" s="30"/>
      <c r="F968" s="30"/>
      <c r="G968" s="30"/>
      <c r="H968" s="30"/>
      <c r="I968" s="30"/>
      <c r="J968" s="30"/>
      <c r="K968" s="30"/>
      <c r="L968" s="30"/>
      <c r="M968" s="30"/>
      <c r="N968" s="37"/>
      <c r="O968" s="30"/>
      <c r="P968" s="30"/>
      <c r="Q968" s="30"/>
      <c r="R968" s="30"/>
      <c r="S968" s="736"/>
      <c r="T968" s="30"/>
      <c r="U968" s="30"/>
      <c r="V968" s="30"/>
      <c r="W968" s="30"/>
      <c r="X968" s="30"/>
      <c r="Y968" s="30"/>
      <c r="Z968" s="30"/>
      <c r="AA968" s="30"/>
      <c r="AB968" s="1005"/>
    </row>
    <row r="969" spans="1:28">
      <c r="A969" s="29"/>
      <c r="B969" s="30"/>
      <c r="C969" s="30"/>
      <c r="D969" s="736"/>
      <c r="E969" s="30"/>
      <c r="F969" s="30"/>
      <c r="G969" s="30"/>
      <c r="H969" s="30"/>
      <c r="I969" s="30"/>
      <c r="J969" s="30"/>
      <c r="K969" s="30"/>
      <c r="L969" s="30"/>
      <c r="M969" s="30"/>
      <c r="N969" s="37"/>
      <c r="O969" s="30"/>
      <c r="P969" s="30"/>
      <c r="Q969" s="30"/>
      <c r="R969" s="30"/>
      <c r="S969" s="736"/>
      <c r="T969" s="30"/>
      <c r="U969" s="30"/>
      <c r="V969" s="30"/>
      <c r="W969" s="30"/>
      <c r="X969" s="30"/>
      <c r="Y969" s="30"/>
      <c r="Z969" s="30"/>
      <c r="AA969" s="30"/>
      <c r="AB969" s="1005"/>
    </row>
    <row r="970" spans="1:28">
      <c r="A970" s="29"/>
      <c r="B970" s="30"/>
      <c r="C970" s="30"/>
      <c r="D970" s="736"/>
      <c r="E970" s="30"/>
      <c r="F970" s="30"/>
      <c r="G970" s="30"/>
      <c r="H970" s="30"/>
      <c r="I970" s="30"/>
      <c r="J970" s="30"/>
      <c r="K970" s="30"/>
      <c r="L970" s="30"/>
      <c r="M970" s="30"/>
      <c r="N970" s="37"/>
      <c r="O970" s="30"/>
      <c r="P970" s="30"/>
      <c r="Q970" s="30"/>
      <c r="R970" s="30"/>
      <c r="S970" s="736"/>
      <c r="T970" s="30"/>
      <c r="U970" s="30"/>
      <c r="V970" s="30"/>
      <c r="W970" s="30"/>
      <c r="X970" s="30"/>
      <c r="Y970" s="30"/>
      <c r="Z970" s="30"/>
      <c r="AA970" s="30"/>
      <c r="AB970" s="1005"/>
    </row>
    <row r="971" spans="1:28">
      <c r="A971" s="29"/>
      <c r="B971" s="30"/>
      <c r="C971" s="30"/>
      <c r="D971" s="736"/>
      <c r="E971" s="30"/>
      <c r="F971" s="30"/>
      <c r="G971" s="30"/>
      <c r="H971" s="30"/>
      <c r="I971" s="30"/>
      <c r="J971" s="30"/>
      <c r="K971" s="30"/>
      <c r="L971" s="30"/>
      <c r="M971" s="30"/>
      <c r="N971" s="37"/>
      <c r="O971" s="30"/>
      <c r="P971" s="30"/>
      <c r="Q971" s="30"/>
      <c r="R971" s="30"/>
      <c r="S971" s="736"/>
      <c r="T971" s="30"/>
      <c r="U971" s="30"/>
      <c r="V971" s="30"/>
      <c r="W971" s="30"/>
      <c r="X971" s="30"/>
      <c r="Y971" s="30"/>
      <c r="Z971" s="30"/>
      <c r="AA971" s="30"/>
      <c r="AB971" s="1005"/>
    </row>
    <row r="972" spans="1:28">
      <c r="A972" s="29"/>
      <c r="B972" s="30"/>
      <c r="C972" s="30"/>
      <c r="D972" s="736"/>
      <c r="E972" s="30"/>
      <c r="F972" s="30"/>
      <c r="G972" s="30"/>
      <c r="H972" s="30"/>
      <c r="I972" s="30"/>
      <c r="J972" s="30"/>
      <c r="K972" s="30"/>
      <c r="L972" s="30"/>
      <c r="M972" s="30"/>
      <c r="N972" s="37"/>
      <c r="O972" s="30"/>
      <c r="P972" s="30"/>
      <c r="Q972" s="30"/>
      <c r="R972" s="30"/>
      <c r="S972" s="736"/>
      <c r="T972" s="30"/>
      <c r="U972" s="30"/>
      <c r="V972" s="30"/>
      <c r="W972" s="30"/>
      <c r="X972" s="30"/>
      <c r="Y972" s="30"/>
      <c r="Z972" s="30"/>
      <c r="AA972" s="30"/>
      <c r="AB972" s="1005"/>
    </row>
    <row r="973" spans="1:28">
      <c r="A973" s="29"/>
      <c r="B973" s="30"/>
      <c r="C973" s="30"/>
      <c r="D973" s="736"/>
      <c r="E973" s="30"/>
      <c r="F973" s="30"/>
      <c r="G973" s="30"/>
      <c r="H973" s="30"/>
      <c r="I973" s="30"/>
      <c r="J973" s="30"/>
      <c r="K973" s="30"/>
      <c r="L973" s="30"/>
      <c r="M973" s="30"/>
      <c r="N973" s="37"/>
      <c r="O973" s="30"/>
      <c r="P973" s="30"/>
      <c r="Q973" s="30"/>
      <c r="R973" s="30"/>
      <c r="S973" s="736"/>
      <c r="T973" s="30"/>
      <c r="U973" s="30"/>
      <c r="V973" s="30"/>
      <c r="W973" s="30"/>
      <c r="X973" s="30"/>
      <c r="Y973" s="30"/>
      <c r="Z973" s="30"/>
      <c r="AA973" s="30"/>
      <c r="AB973" s="1005"/>
    </row>
    <row r="974" spans="1:28">
      <c r="A974" s="29"/>
      <c r="B974" s="30"/>
      <c r="C974" s="30"/>
      <c r="D974" s="736"/>
      <c r="E974" s="30"/>
      <c r="F974" s="30"/>
      <c r="G974" s="30"/>
      <c r="H974" s="30"/>
      <c r="I974" s="30"/>
      <c r="J974" s="30"/>
      <c r="K974" s="30"/>
      <c r="L974" s="30"/>
      <c r="M974" s="30"/>
      <c r="N974" s="37"/>
      <c r="O974" s="30"/>
      <c r="P974" s="30"/>
      <c r="Q974" s="30"/>
      <c r="R974" s="30"/>
      <c r="S974" s="736"/>
      <c r="T974" s="30"/>
      <c r="U974" s="30"/>
      <c r="V974" s="30"/>
      <c r="W974" s="30"/>
      <c r="X974" s="30"/>
      <c r="Y974" s="30"/>
      <c r="Z974" s="30"/>
      <c r="AA974" s="30"/>
      <c r="AB974" s="1005"/>
    </row>
    <row r="975" spans="1:28">
      <c r="A975" s="29"/>
      <c r="B975" s="30"/>
      <c r="C975" s="30"/>
      <c r="D975" s="736"/>
      <c r="E975" s="30"/>
      <c r="F975" s="30"/>
      <c r="G975" s="30"/>
      <c r="H975" s="30"/>
      <c r="I975" s="30"/>
      <c r="J975" s="30"/>
      <c r="K975" s="30"/>
      <c r="L975" s="30"/>
      <c r="M975" s="30"/>
      <c r="N975" s="37"/>
      <c r="O975" s="30"/>
      <c r="P975" s="30"/>
      <c r="Q975" s="30"/>
      <c r="R975" s="30"/>
      <c r="S975" s="736"/>
      <c r="T975" s="30"/>
      <c r="U975" s="30"/>
      <c r="V975" s="30"/>
      <c r="W975" s="30"/>
      <c r="X975" s="30"/>
      <c r="Y975" s="30"/>
      <c r="Z975" s="30"/>
      <c r="AA975" s="30"/>
      <c r="AB975" s="1005"/>
    </row>
    <row r="976" spans="1:28">
      <c r="A976" s="29"/>
      <c r="B976" s="30"/>
      <c r="C976" s="30"/>
      <c r="D976" s="736"/>
      <c r="E976" s="30"/>
      <c r="F976" s="30"/>
      <c r="G976" s="30"/>
      <c r="H976" s="30"/>
      <c r="I976" s="30"/>
      <c r="J976" s="30"/>
      <c r="K976" s="30"/>
      <c r="L976" s="30"/>
      <c r="M976" s="30"/>
      <c r="N976" s="37"/>
      <c r="O976" s="30"/>
      <c r="P976" s="30"/>
      <c r="Q976" s="30"/>
      <c r="R976" s="30"/>
      <c r="S976" s="736"/>
      <c r="T976" s="30"/>
      <c r="U976" s="30"/>
      <c r="V976" s="30"/>
      <c r="W976" s="30"/>
      <c r="X976" s="30"/>
      <c r="Y976" s="30"/>
      <c r="Z976" s="30"/>
      <c r="AA976" s="30"/>
      <c r="AB976" s="1005"/>
    </row>
    <row r="977" spans="1:28">
      <c r="A977" s="29"/>
      <c r="B977" s="30"/>
      <c r="C977" s="30"/>
      <c r="D977" s="736"/>
      <c r="E977" s="30"/>
      <c r="F977" s="30"/>
      <c r="G977" s="30"/>
      <c r="H977" s="30"/>
      <c r="I977" s="30"/>
      <c r="J977" s="30"/>
      <c r="K977" s="30"/>
      <c r="L977" s="30"/>
      <c r="M977" s="30"/>
      <c r="N977" s="37"/>
      <c r="O977" s="30"/>
      <c r="P977" s="30"/>
      <c r="Q977" s="30"/>
      <c r="R977" s="30"/>
      <c r="S977" s="736"/>
      <c r="T977" s="30"/>
      <c r="U977" s="30"/>
      <c r="V977" s="30"/>
      <c r="W977" s="30"/>
      <c r="X977" s="30"/>
      <c r="Y977" s="30"/>
      <c r="Z977" s="30"/>
      <c r="AA977" s="30"/>
      <c r="AB977" s="1005"/>
    </row>
    <row r="978" spans="1:28">
      <c r="A978" s="29"/>
      <c r="B978" s="30"/>
      <c r="C978" s="30"/>
      <c r="D978" s="736"/>
      <c r="E978" s="30"/>
      <c r="F978" s="30"/>
      <c r="G978" s="30"/>
      <c r="H978" s="30"/>
      <c r="I978" s="30"/>
      <c r="J978" s="30"/>
      <c r="K978" s="30"/>
      <c r="L978" s="30"/>
      <c r="M978" s="30"/>
      <c r="N978" s="37"/>
      <c r="O978" s="30"/>
      <c r="P978" s="30"/>
      <c r="Q978" s="30"/>
      <c r="R978" s="30"/>
      <c r="S978" s="736"/>
      <c r="T978" s="30"/>
      <c r="U978" s="30"/>
      <c r="V978" s="30"/>
      <c r="W978" s="30"/>
      <c r="X978" s="30"/>
      <c r="Y978" s="30"/>
      <c r="Z978" s="30"/>
      <c r="AA978" s="30"/>
      <c r="AB978" s="1005"/>
    </row>
    <row r="979" spans="1:28">
      <c r="A979" s="29"/>
      <c r="B979" s="30"/>
      <c r="C979" s="30"/>
      <c r="D979" s="736"/>
      <c r="E979" s="30"/>
      <c r="F979" s="30"/>
      <c r="G979" s="30"/>
      <c r="H979" s="30"/>
      <c r="I979" s="30"/>
      <c r="J979" s="30"/>
      <c r="K979" s="30"/>
      <c r="L979" s="30"/>
      <c r="M979" s="30"/>
      <c r="N979" s="37"/>
      <c r="O979" s="30"/>
      <c r="P979" s="30"/>
      <c r="Q979" s="30"/>
      <c r="R979" s="30"/>
      <c r="S979" s="736"/>
      <c r="T979" s="30"/>
      <c r="U979" s="30"/>
      <c r="V979" s="30"/>
      <c r="W979" s="30"/>
      <c r="X979" s="30"/>
      <c r="Y979" s="30"/>
      <c r="Z979" s="30"/>
      <c r="AA979" s="30"/>
      <c r="AB979" s="1005"/>
    </row>
    <row r="980" spans="1:28">
      <c r="A980" s="29"/>
      <c r="B980" s="30"/>
      <c r="C980" s="30"/>
      <c r="D980" s="736"/>
      <c r="E980" s="30"/>
      <c r="F980" s="30"/>
      <c r="G980" s="30"/>
      <c r="H980" s="30"/>
      <c r="I980" s="30"/>
      <c r="J980" s="30"/>
      <c r="K980" s="30"/>
      <c r="L980" s="30"/>
      <c r="M980" s="30"/>
      <c r="N980" s="37"/>
      <c r="O980" s="30"/>
      <c r="P980" s="30"/>
      <c r="Q980" s="30"/>
      <c r="R980" s="30"/>
      <c r="S980" s="736"/>
      <c r="T980" s="30"/>
      <c r="U980" s="30"/>
      <c r="V980" s="30"/>
      <c r="W980" s="30"/>
      <c r="X980" s="30"/>
      <c r="Y980" s="30"/>
      <c r="Z980" s="30"/>
      <c r="AA980" s="30"/>
      <c r="AB980" s="1005"/>
    </row>
    <row r="981" spans="1:28">
      <c r="A981" s="29"/>
      <c r="B981" s="30"/>
      <c r="C981" s="30"/>
      <c r="D981" s="736"/>
      <c r="E981" s="30"/>
      <c r="F981" s="30"/>
      <c r="G981" s="30"/>
      <c r="H981" s="30"/>
      <c r="I981" s="30"/>
      <c r="J981" s="30"/>
      <c r="K981" s="30"/>
      <c r="L981" s="30"/>
      <c r="M981" s="30"/>
      <c r="N981" s="37"/>
      <c r="O981" s="30"/>
      <c r="P981" s="30"/>
      <c r="Q981" s="30"/>
      <c r="R981" s="30"/>
      <c r="S981" s="736"/>
      <c r="T981" s="30"/>
      <c r="U981" s="30"/>
      <c r="V981" s="30"/>
      <c r="W981" s="30"/>
      <c r="X981" s="30"/>
      <c r="Y981" s="30"/>
      <c r="Z981" s="30"/>
      <c r="AA981" s="30"/>
      <c r="AB981" s="1005"/>
    </row>
    <row r="982" spans="1:28">
      <c r="A982" s="29"/>
      <c r="B982" s="30"/>
      <c r="C982" s="30"/>
      <c r="D982" s="736"/>
      <c r="E982" s="30"/>
      <c r="F982" s="30"/>
      <c r="G982" s="30"/>
      <c r="H982" s="30"/>
      <c r="I982" s="30"/>
      <c r="J982" s="30"/>
      <c r="K982" s="30"/>
      <c r="L982" s="30"/>
      <c r="M982" s="30"/>
      <c r="N982" s="37"/>
      <c r="O982" s="30"/>
      <c r="P982" s="30"/>
      <c r="Q982" s="30"/>
      <c r="R982" s="30"/>
      <c r="S982" s="736"/>
      <c r="T982" s="30"/>
      <c r="U982" s="30"/>
      <c r="V982" s="30"/>
      <c r="W982" s="30"/>
      <c r="X982" s="30"/>
      <c r="Y982" s="30"/>
      <c r="Z982" s="30"/>
      <c r="AA982" s="30"/>
      <c r="AB982" s="1005"/>
    </row>
    <row r="983" spans="1:28">
      <c r="A983" s="29"/>
      <c r="B983" s="30"/>
      <c r="C983" s="30"/>
      <c r="D983" s="736"/>
      <c r="E983" s="30"/>
      <c r="F983" s="30"/>
      <c r="G983" s="30"/>
      <c r="H983" s="30"/>
      <c r="I983" s="30"/>
      <c r="J983" s="30"/>
      <c r="K983" s="30"/>
      <c r="L983" s="30"/>
      <c r="M983" s="30"/>
      <c r="N983" s="37"/>
      <c r="O983" s="30"/>
      <c r="P983" s="30"/>
      <c r="Q983" s="30"/>
      <c r="R983" s="30"/>
      <c r="S983" s="736"/>
      <c r="T983" s="30"/>
      <c r="U983" s="30"/>
      <c r="V983" s="30"/>
      <c r="W983" s="30"/>
      <c r="X983" s="30"/>
      <c r="Y983" s="30"/>
      <c r="Z983" s="30"/>
      <c r="AA983" s="30"/>
      <c r="AB983" s="1005"/>
    </row>
    <row r="984" spans="1:28">
      <c r="A984" s="29"/>
      <c r="B984" s="30"/>
      <c r="C984" s="30"/>
      <c r="D984" s="736"/>
      <c r="E984" s="30"/>
      <c r="F984" s="30"/>
      <c r="G984" s="30"/>
      <c r="H984" s="30"/>
      <c r="I984" s="30"/>
      <c r="J984" s="30"/>
      <c r="K984" s="30"/>
      <c r="L984" s="30"/>
      <c r="M984" s="30"/>
      <c r="N984" s="37"/>
      <c r="O984" s="30"/>
      <c r="P984" s="30"/>
      <c r="Q984" s="30"/>
      <c r="R984" s="30"/>
      <c r="S984" s="736"/>
      <c r="T984" s="30"/>
      <c r="U984" s="30"/>
      <c r="V984" s="30"/>
      <c r="W984" s="30"/>
      <c r="X984" s="30"/>
      <c r="Y984" s="30"/>
      <c r="Z984" s="30"/>
      <c r="AA984" s="30"/>
      <c r="AB984" s="1005"/>
    </row>
    <row r="985" spans="1:28">
      <c r="A985" s="29"/>
      <c r="B985" s="30"/>
      <c r="C985" s="30"/>
      <c r="D985" s="736"/>
      <c r="E985" s="30"/>
      <c r="F985" s="30"/>
      <c r="G985" s="30"/>
      <c r="H985" s="30"/>
      <c r="I985" s="30"/>
      <c r="J985" s="30"/>
      <c r="K985" s="30"/>
      <c r="L985" s="30"/>
      <c r="M985" s="30"/>
      <c r="N985" s="37"/>
      <c r="O985" s="30"/>
      <c r="P985" s="30"/>
      <c r="Q985" s="30"/>
      <c r="R985" s="30"/>
      <c r="S985" s="736"/>
      <c r="T985" s="30"/>
      <c r="U985" s="30"/>
      <c r="V985" s="30"/>
      <c r="W985" s="30"/>
      <c r="X985" s="30"/>
      <c r="Y985" s="30"/>
      <c r="Z985" s="30"/>
      <c r="AA985" s="30"/>
      <c r="AB985" s="1005"/>
    </row>
    <row r="986" spans="1:28">
      <c r="A986" s="29"/>
      <c r="B986" s="30"/>
      <c r="C986" s="30"/>
      <c r="D986" s="736"/>
      <c r="E986" s="30"/>
      <c r="F986" s="30"/>
      <c r="G986" s="30"/>
      <c r="H986" s="30"/>
      <c r="I986" s="30"/>
      <c r="J986" s="30"/>
      <c r="K986" s="30"/>
      <c r="L986" s="30"/>
      <c r="M986" s="30"/>
      <c r="N986" s="37"/>
      <c r="O986" s="30"/>
      <c r="P986" s="30"/>
      <c r="Q986" s="30"/>
      <c r="R986" s="30"/>
      <c r="S986" s="736"/>
      <c r="T986" s="30"/>
      <c r="U986" s="30"/>
      <c r="V986" s="30"/>
      <c r="W986" s="30"/>
      <c r="X986" s="30"/>
      <c r="Y986" s="30"/>
      <c r="Z986" s="30"/>
      <c r="AA986" s="30"/>
      <c r="AB986" s="1005"/>
    </row>
    <row r="987" spans="1:28">
      <c r="A987" s="29"/>
      <c r="B987" s="30"/>
      <c r="C987" s="30"/>
      <c r="D987" s="736"/>
      <c r="E987" s="30"/>
      <c r="F987" s="30"/>
      <c r="G987" s="30"/>
      <c r="H987" s="30"/>
      <c r="I987" s="30"/>
      <c r="J987" s="30"/>
      <c r="K987" s="30"/>
      <c r="L987" s="30"/>
      <c r="M987" s="30"/>
      <c r="N987" s="37"/>
      <c r="O987" s="30"/>
      <c r="P987" s="30"/>
      <c r="Q987" s="30"/>
      <c r="R987" s="30"/>
      <c r="S987" s="736"/>
      <c r="T987" s="30"/>
      <c r="U987" s="30"/>
      <c r="V987" s="30"/>
      <c r="W987" s="30"/>
      <c r="X987" s="30"/>
      <c r="Y987" s="30"/>
      <c r="Z987" s="30"/>
      <c r="AA987" s="30"/>
      <c r="AB987" s="1005"/>
    </row>
    <row r="988" spans="1:28">
      <c r="A988" s="29"/>
      <c r="B988" s="30"/>
      <c r="C988" s="30"/>
      <c r="D988" s="736"/>
      <c r="E988" s="30"/>
      <c r="F988" s="30"/>
      <c r="G988" s="30"/>
      <c r="H988" s="30"/>
      <c r="I988" s="30"/>
      <c r="J988" s="30"/>
      <c r="K988" s="30"/>
      <c r="L988" s="30"/>
      <c r="M988" s="30"/>
      <c r="N988" s="37"/>
      <c r="O988" s="30"/>
      <c r="P988" s="30"/>
      <c r="Q988" s="30"/>
      <c r="R988" s="30"/>
      <c r="S988" s="736"/>
      <c r="T988" s="30"/>
      <c r="U988" s="30"/>
      <c r="V988" s="30"/>
      <c r="W988" s="30"/>
      <c r="X988" s="30"/>
      <c r="Y988" s="30"/>
      <c r="Z988" s="30"/>
      <c r="AA988" s="30"/>
      <c r="AB988" s="1005"/>
    </row>
    <row r="989" spans="1:28">
      <c r="A989" s="29"/>
      <c r="B989" s="30"/>
      <c r="C989" s="30"/>
      <c r="D989" s="736"/>
      <c r="E989" s="30"/>
      <c r="F989" s="30"/>
      <c r="G989" s="30"/>
      <c r="H989" s="30"/>
      <c r="I989" s="30"/>
      <c r="J989" s="30"/>
      <c r="K989" s="30"/>
      <c r="L989" s="30"/>
      <c r="M989" s="30"/>
      <c r="N989" s="37"/>
      <c r="O989" s="30"/>
      <c r="P989" s="30"/>
      <c r="Q989" s="30"/>
      <c r="R989" s="30"/>
      <c r="S989" s="736"/>
      <c r="T989" s="30"/>
      <c r="U989" s="30"/>
      <c r="V989" s="30"/>
      <c r="W989" s="30"/>
      <c r="X989" s="30"/>
      <c r="Y989" s="30"/>
      <c r="Z989" s="30"/>
      <c r="AA989" s="30"/>
      <c r="AB989" s="1005"/>
    </row>
    <row r="990" spans="1:28">
      <c r="A990" s="29"/>
      <c r="B990" s="30"/>
      <c r="C990" s="30"/>
      <c r="D990" s="736"/>
      <c r="E990" s="30"/>
      <c r="F990" s="30"/>
      <c r="G990" s="30"/>
      <c r="H990" s="30"/>
      <c r="I990" s="30"/>
      <c r="J990" s="30"/>
      <c r="K990" s="30"/>
      <c r="L990" s="30"/>
      <c r="M990" s="30"/>
      <c r="N990" s="37"/>
      <c r="O990" s="30"/>
      <c r="P990" s="30"/>
      <c r="Q990" s="30"/>
      <c r="R990" s="30"/>
      <c r="S990" s="736"/>
      <c r="T990" s="30"/>
      <c r="U990" s="30"/>
      <c r="V990" s="30"/>
      <c r="W990" s="30"/>
      <c r="X990" s="30"/>
      <c r="Y990" s="30"/>
      <c r="Z990" s="30"/>
      <c r="AA990" s="30"/>
      <c r="AB990" s="1005"/>
    </row>
    <row r="991" spans="1:28">
      <c r="A991" s="29"/>
      <c r="B991" s="30"/>
      <c r="C991" s="30"/>
      <c r="D991" s="736"/>
      <c r="E991" s="30"/>
      <c r="F991" s="30"/>
      <c r="G991" s="30"/>
      <c r="H991" s="30"/>
      <c r="I991" s="30"/>
      <c r="J991" s="30"/>
      <c r="K991" s="30"/>
      <c r="L991" s="30"/>
      <c r="M991" s="30"/>
      <c r="N991" s="37"/>
      <c r="O991" s="30"/>
      <c r="P991" s="30"/>
      <c r="Q991" s="30"/>
      <c r="R991" s="30"/>
      <c r="S991" s="736"/>
      <c r="T991" s="30"/>
      <c r="U991" s="30"/>
      <c r="V991" s="30"/>
      <c r="W991" s="30"/>
      <c r="X991" s="30"/>
      <c r="Y991" s="30"/>
      <c r="Z991" s="30"/>
      <c r="AA991" s="30"/>
      <c r="AB991" s="1005"/>
    </row>
    <row r="992" spans="1:28">
      <c r="A992" s="29"/>
      <c r="B992" s="30"/>
      <c r="C992" s="30"/>
      <c r="D992" s="736"/>
      <c r="E992" s="30"/>
      <c r="F992" s="30"/>
      <c r="G992" s="30"/>
      <c r="H992" s="30"/>
      <c r="I992" s="30"/>
      <c r="J992" s="30"/>
      <c r="K992" s="30"/>
      <c r="L992" s="30"/>
      <c r="M992" s="30"/>
      <c r="N992" s="37"/>
      <c r="O992" s="30"/>
      <c r="P992" s="30"/>
      <c r="Q992" s="30"/>
      <c r="R992" s="30"/>
      <c r="S992" s="736"/>
      <c r="T992" s="30"/>
      <c r="U992" s="30"/>
      <c r="V992" s="30"/>
      <c r="W992" s="30"/>
      <c r="X992" s="30"/>
      <c r="Y992" s="30"/>
      <c r="Z992" s="30"/>
      <c r="AA992" s="30"/>
      <c r="AB992" s="1005"/>
    </row>
    <row r="993" spans="1:28">
      <c r="A993" s="29"/>
      <c r="B993" s="30"/>
      <c r="C993" s="30"/>
      <c r="D993" s="736"/>
      <c r="E993" s="30"/>
      <c r="F993" s="30"/>
      <c r="G993" s="30"/>
      <c r="H993" s="30"/>
      <c r="I993" s="30"/>
      <c r="J993" s="30"/>
      <c r="K993" s="30"/>
      <c r="L993" s="30"/>
      <c r="M993" s="30"/>
      <c r="N993" s="37"/>
      <c r="O993" s="30"/>
      <c r="P993" s="30"/>
      <c r="Q993" s="30"/>
      <c r="R993" s="30"/>
      <c r="S993" s="736"/>
      <c r="T993" s="30"/>
      <c r="U993" s="30"/>
      <c r="V993" s="30"/>
      <c r="W993" s="30"/>
      <c r="X993" s="30"/>
      <c r="Y993" s="30"/>
      <c r="Z993" s="30"/>
      <c r="AA993" s="30"/>
      <c r="AB993" s="1005"/>
    </row>
    <row r="994" spans="1:28">
      <c r="A994" s="29"/>
      <c r="B994" s="30"/>
      <c r="C994" s="30"/>
      <c r="D994" s="736"/>
      <c r="E994" s="30"/>
      <c r="F994" s="30"/>
      <c r="G994" s="30"/>
      <c r="H994" s="30"/>
      <c r="I994" s="30"/>
      <c r="J994" s="30"/>
      <c r="K994" s="30"/>
      <c r="L994" s="30"/>
      <c r="M994" s="30"/>
      <c r="N994" s="37"/>
      <c r="O994" s="30"/>
      <c r="P994" s="30"/>
      <c r="Q994" s="30"/>
      <c r="R994" s="30"/>
      <c r="S994" s="736"/>
      <c r="T994" s="30"/>
      <c r="U994" s="30"/>
      <c r="V994" s="30"/>
      <c r="W994" s="30"/>
      <c r="X994" s="30"/>
      <c r="Y994" s="30"/>
      <c r="Z994" s="30"/>
      <c r="AA994" s="30"/>
      <c r="AB994" s="1005"/>
    </row>
    <row r="995" spans="1:28">
      <c r="A995" s="29"/>
      <c r="B995" s="30"/>
      <c r="C995" s="30"/>
      <c r="D995" s="736"/>
      <c r="E995" s="30"/>
      <c r="F995" s="30"/>
      <c r="G995" s="30"/>
      <c r="H995" s="30"/>
      <c r="I995" s="30"/>
      <c r="J995" s="30"/>
      <c r="K995" s="30"/>
      <c r="L995" s="30"/>
      <c r="M995" s="30"/>
      <c r="N995" s="37"/>
      <c r="O995" s="30"/>
      <c r="P995" s="30"/>
      <c r="Q995" s="30"/>
      <c r="R995" s="30"/>
      <c r="S995" s="736"/>
      <c r="T995" s="30"/>
      <c r="U995" s="30"/>
      <c r="V995" s="30"/>
      <c r="W995" s="30"/>
      <c r="X995" s="30"/>
      <c r="Y995" s="30"/>
      <c r="Z995" s="30"/>
      <c r="AA995" s="30"/>
      <c r="AB995" s="1005"/>
    </row>
    <row r="996" spans="1:28">
      <c r="A996" s="29"/>
      <c r="B996" s="30"/>
      <c r="C996" s="30"/>
      <c r="D996" s="736"/>
      <c r="E996" s="30"/>
      <c r="F996" s="30"/>
      <c r="G996" s="30"/>
      <c r="H996" s="30"/>
      <c r="I996" s="30"/>
      <c r="J996" s="30"/>
      <c r="K996" s="30"/>
      <c r="L996" s="30"/>
      <c r="M996" s="30"/>
      <c r="N996" s="37"/>
      <c r="O996" s="30"/>
      <c r="P996" s="30"/>
      <c r="Q996" s="30"/>
      <c r="R996" s="30"/>
      <c r="S996" s="736"/>
      <c r="T996" s="30"/>
      <c r="U996" s="30"/>
      <c r="V996" s="30"/>
      <c r="W996" s="30"/>
      <c r="X996" s="30"/>
      <c r="Y996" s="30"/>
      <c r="Z996" s="30"/>
      <c r="AA996" s="30"/>
      <c r="AB996" s="1005"/>
    </row>
    <row r="997" spans="1:28">
      <c r="A997" s="29"/>
      <c r="B997" s="30"/>
      <c r="C997" s="30"/>
      <c r="D997" s="736"/>
      <c r="E997" s="30"/>
      <c r="F997" s="30"/>
      <c r="G997" s="30"/>
      <c r="H997" s="30"/>
      <c r="I997" s="30"/>
      <c r="J997" s="30"/>
      <c r="K997" s="30"/>
      <c r="L997" s="30"/>
      <c r="M997" s="30"/>
      <c r="N997" s="37"/>
      <c r="O997" s="30"/>
      <c r="P997" s="30"/>
      <c r="Q997" s="30"/>
      <c r="R997" s="30"/>
      <c r="S997" s="736"/>
      <c r="T997" s="30"/>
      <c r="U997" s="30"/>
      <c r="V997" s="30"/>
      <c r="W997" s="30"/>
      <c r="X997" s="30"/>
      <c r="Y997" s="30"/>
      <c r="Z997" s="30"/>
      <c r="AA997" s="30"/>
      <c r="AB997" s="1005"/>
    </row>
    <row r="998" spans="1:28">
      <c r="A998" s="29"/>
      <c r="B998" s="30"/>
      <c r="C998" s="30"/>
      <c r="D998" s="736"/>
      <c r="E998" s="30"/>
      <c r="F998" s="30"/>
      <c r="G998" s="30"/>
      <c r="H998" s="30"/>
      <c r="I998" s="30"/>
      <c r="J998" s="30"/>
      <c r="K998" s="30"/>
      <c r="L998" s="30"/>
      <c r="M998" s="30"/>
      <c r="N998" s="37"/>
      <c r="O998" s="30"/>
      <c r="P998" s="30"/>
      <c r="Q998" s="30"/>
      <c r="R998" s="30"/>
      <c r="S998" s="736"/>
      <c r="T998" s="30"/>
      <c r="U998" s="30"/>
      <c r="V998" s="30"/>
      <c r="W998" s="30"/>
      <c r="X998" s="30"/>
      <c r="Y998" s="30"/>
      <c r="Z998" s="30"/>
      <c r="AA998" s="30"/>
      <c r="AB998" s="1005"/>
    </row>
    <row r="999" spans="1:28">
      <c r="A999" s="29"/>
      <c r="B999" s="30"/>
      <c r="C999" s="30"/>
      <c r="D999" s="736"/>
      <c r="E999" s="30"/>
      <c r="F999" s="30"/>
      <c r="G999" s="30"/>
      <c r="H999" s="30"/>
      <c r="I999" s="30"/>
      <c r="J999" s="30"/>
      <c r="K999" s="30"/>
      <c r="L999" s="30"/>
      <c r="M999" s="30"/>
      <c r="N999" s="37"/>
      <c r="O999" s="30"/>
      <c r="P999" s="30"/>
      <c r="Q999" s="30"/>
      <c r="R999" s="30"/>
      <c r="S999" s="736"/>
      <c r="T999" s="30"/>
      <c r="U999" s="30"/>
      <c r="V999" s="30"/>
      <c r="W999" s="30"/>
      <c r="X999" s="30"/>
      <c r="Y999" s="30"/>
      <c r="Z999" s="30"/>
      <c r="AA999" s="30"/>
      <c r="AB999" s="1005"/>
    </row>
    <row r="1000" spans="1:28">
      <c r="A1000" s="29"/>
      <c r="B1000" s="30"/>
      <c r="C1000" s="30"/>
      <c r="D1000" s="736"/>
      <c r="E1000" s="30"/>
      <c r="F1000" s="30"/>
      <c r="G1000" s="30"/>
      <c r="H1000" s="30"/>
      <c r="I1000" s="30"/>
      <c r="J1000" s="30"/>
      <c r="K1000" s="30"/>
      <c r="L1000" s="30"/>
      <c r="M1000" s="30"/>
      <c r="N1000" s="37"/>
      <c r="O1000" s="30"/>
      <c r="P1000" s="30"/>
      <c r="Q1000" s="30"/>
      <c r="R1000" s="30"/>
      <c r="S1000" s="736"/>
      <c r="T1000" s="30"/>
      <c r="U1000" s="30"/>
      <c r="V1000" s="30"/>
      <c r="W1000" s="30"/>
      <c r="X1000" s="30"/>
      <c r="Y1000" s="30"/>
      <c r="Z1000" s="30"/>
      <c r="AA1000" s="30"/>
      <c r="AB1000" s="1005"/>
    </row>
    <row r="1001" spans="1:28">
      <c r="A1001" s="29"/>
      <c r="B1001" s="30"/>
      <c r="C1001" s="30"/>
      <c r="D1001" s="736"/>
      <c r="E1001" s="30"/>
      <c r="F1001" s="30"/>
      <c r="G1001" s="30"/>
      <c r="H1001" s="30"/>
      <c r="I1001" s="30"/>
      <c r="J1001" s="30"/>
      <c r="K1001" s="30"/>
      <c r="L1001" s="30"/>
      <c r="M1001" s="30"/>
      <c r="N1001" s="37"/>
      <c r="O1001" s="30"/>
      <c r="P1001" s="30"/>
      <c r="Q1001" s="30"/>
      <c r="R1001" s="30"/>
      <c r="S1001" s="736"/>
      <c r="T1001" s="30"/>
      <c r="U1001" s="30"/>
      <c r="V1001" s="30"/>
      <c r="W1001" s="30"/>
      <c r="X1001" s="30"/>
      <c r="Y1001" s="30"/>
      <c r="Z1001" s="30"/>
      <c r="AA1001" s="30"/>
      <c r="AB1001" s="1005"/>
    </row>
    <row r="1002" spans="1:28">
      <c r="A1002" s="29"/>
      <c r="B1002" s="30"/>
      <c r="C1002" s="30"/>
      <c r="D1002" s="736"/>
      <c r="E1002" s="30"/>
      <c r="F1002" s="30"/>
      <c r="G1002" s="30"/>
      <c r="H1002" s="30"/>
      <c r="I1002" s="30"/>
      <c r="J1002" s="30"/>
      <c r="K1002" s="30"/>
      <c r="L1002" s="30"/>
      <c r="M1002" s="30"/>
      <c r="N1002" s="37"/>
      <c r="O1002" s="30"/>
      <c r="P1002" s="30"/>
      <c r="Q1002" s="30"/>
      <c r="R1002" s="30"/>
      <c r="S1002" s="736"/>
      <c r="T1002" s="30"/>
      <c r="U1002" s="30"/>
      <c r="V1002" s="30"/>
      <c r="W1002" s="30"/>
      <c r="X1002" s="30"/>
      <c r="Y1002" s="30"/>
      <c r="Z1002" s="30"/>
      <c r="AA1002" s="30"/>
      <c r="AB1002" s="1005"/>
    </row>
    <row r="1003" spans="1:28">
      <c r="A1003" s="29"/>
      <c r="B1003" s="30"/>
      <c r="C1003" s="30"/>
      <c r="D1003" s="736"/>
      <c r="E1003" s="30"/>
      <c r="F1003" s="30"/>
      <c r="G1003" s="30"/>
      <c r="H1003" s="30"/>
      <c r="I1003" s="30"/>
      <c r="J1003" s="30"/>
      <c r="K1003" s="30"/>
      <c r="L1003" s="30"/>
      <c r="M1003" s="30"/>
      <c r="N1003" s="37"/>
      <c r="O1003" s="30"/>
      <c r="P1003" s="30"/>
      <c r="Q1003" s="30"/>
      <c r="R1003" s="30"/>
      <c r="S1003" s="736"/>
      <c r="T1003" s="30"/>
      <c r="U1003" s="30"/>
      <c r="V1003" s="30"/>
      <c r="W1003" s="30"/>
      <c r="X1003" s="30"/>
      <c r="Y1003" s="30"/>
      <c r="Z1003" s="30"/>
      <c r="AA1003" s="30"/>
      <c r="AB1003" s="1005"/>
    </row>
    <row r="1004" spans="1:28">
      <c r="A1004" s="29"/>
      <c r="B1004" s="30"/>
      <c r="C1004" s="30"/>
      <c r="D1004" s="736"/>
      <c r="E1004" s="30"/>
      <c r="F1004" s="30"/>
      <c r="G1004" s="30"/>
      <c r="H1004" s="30"/>
      <c r="I1004" s="30"/>
      <c r="J1004" s="30"/>
      <c r="K1004" s="30"/>
      <c r="L1004" s="30"/>
      <c r="M1004" s="30"/>
      <c r="N1004" s="37"/>
      <c r="O1004" s="30"/>
      <c r="P1004" s="30"/>
      <c r="Q1004" s="30"/>
      <c r="R1004" s="30"/>
      <c r="S1004" s="736"/>
      <c r="T1004" s="30"/>
      <c r="U1004" s="30"/>
      <c r="V1004" s="30"/>
      <c r="W1004" s="30"/>
      <c r="X1004" s="30"/>
      <c r="Y1004" s="30"/>
      <c r="Z1004" s="30"/>
      <c r="AA1004" s="30"/>
      <c r="AB1004" s="1005"/>
    </row>
    <row r="1005" spans="1:28">
      <c r="A1005" s="29"/>
      <c r="B1005" s="30"/>
      <c r="C1005" s="30"/>
      <c r="D1005" s="736"/>
      <c r="E1005" s="30"/>
      <c r="F1005" s="30"/>
      <c r="G1005" s="30"/>
      <c r="H1005" s="30"/>
      <c r="I1005" s="30"/>
      <c r="J1005" s="30"/>
      <c r="K1005" s="30"/>
      <c r="L1005" s="30"/>
      <c r="M1005" s="30"/>
      <c r="N1005" s="37"/>
      <c r="O1005" s="30"/>
      <c r="P1005" s="30"/>
      <c r="Q1005" s="30"/>
      <c r="R1005" s="30"/>
      <c r="S1005" s="736"/>
      <c r="T1005" s="30"/>
      <c r="U1005" s="30"/>
      <c r="V1005" s="30"/>
      <c r="W1005" s="30"/>
      <c r="X1005" s="30"/>
      <c r="Y1005" s="30"/>
      <c r="Z1005" s="30"/>
      <c r="AA1005" s="30"/>
      <c r="AB1005" s="1005"/>
    </row>
    <row r="1006" spans="1:28">
      <c r="A1006" s="29"/>
      <c r="B1006" s="30"/>
      <c r="C1006" s="30"/>
      <c r="D1006" s="736"/>
      <c r="E1006" s="30"/>
      <c r="F1006" s="30"/>
      <c r="G1006" s="30"/>
      <c r="H1006" s="30"/>
      <c r="I1006" s="30"/>
      <c r="J1006" s="30"/>
      <c r="K1006" s="30"/>
      <c r="L1006" s="30"/>
      <c r="M1006" s="30"/>
      <c r="N1006" s="37"/>
      <c r="O1006" s="30"/>
      <c r="P1006" s="30"/>
      <c r="Q1006" s="30"/>
      <c r="R1006" s="30"/>
      <c r="S1006" s="736"/>
      <c r="T1006" s="30"/>
      <c r="U1006" s="30"/>
      <c r="V1006" s="30"/>
      <c r="W1006" s="30"/>
      <c r="X1006" s="30"/>
      <c r="Y1006" s="30"/>
      <c r="Z1006" s="30"/>
      <c r="AA1006" s="30"/>
      <c r="AB1006" s="1005"/>
    </row>
    <row r="1007" spans="1:28">
      <c r="A1007" s="29"/>
      <c r="B1007" s="30"/>
      <c r="C1007" s="30"/>
      <c r="D1007" s="736"/>
      <c r="E1007" s="30"/>
      <c r="F1007" s="30"/>
      <c r="G1007" s="30"/>
      <c r="H1007" s="30"/>
      <c r="I1007" s="30"/>
      <c r="J1007" s="30"/>
      <c r="K1007" s="30"/>
      <c r="L1007" s="30"/>
      <c r="M1007" s="30"/>
      <c r="N1007" s="37"/>
      <c r="O1007" s="30"/>
      <c r="P1007" s="30"/>
      <c r="Q1007" s="30"/>
      <c r="R1007" s="30"/>
      <c r="S1007" s="736"/>
      <c r="T1007" s="30"/>
      <c r="U1007" s="30"/>
      <c r="V1007" s="30"/>
      <c r="W1007" s="30"/>
      <c r="X1007" s="30"/>
      <c r="Y1007" s="30"/>
      <c r="Z1007" s="30"/>
      <c r="AA1007" s="30"/>
      <c r="AB1007" s="1005"/>
    </row>
    <row r="1008" spans="1:28">
      <c r="A1008" s="29"/>
      <c r="B1008" s="30"/>
      <c r="C1008" s="30"/>
      <c r="D1008" s="736"/>
      <c r="E1008" s="30"/>
      <c r="F1008" s="30"/>
      <c r="G1008" s="30"/>
      <c r="H1008" s="30"/>
      <c r="I1008" s="30"/>
      <c r="J1008" s="30"/>
      <c r="K1008" s="30"/>
      <c r="L1008" s="30"/>
      <c r="M1008" s="30"/>
      <c r="N1008" s="37"/>
      <c r="O1008" s="30"/>
      <c r="P1008" s="30"/>
      <c r="Q1008" s="30"/>
      <c r="R1008" s="30"/>
      <c r="S1008" s="736"/>
      <c r="T1008" s="30"/>
      <c r="U1008" s="30"/>
      <c r="V1008" s="30"/>
      <c r="W1008" s="30"/>
      <c r="X1008" s="30"/>
      <c r="Y1008" s="30"/>
      <c r="Z1008" s="30"/>
      <c r="AA1008" s="30"/>
      <c r="AB1008" s="1005"/>
    </row>
    <row r="1009" spans="1:28">
      <c r="A1009" s="29"/>
      <c r="B1009" s="30"/>
      <c r="C1009" s="30"/>
      <c r="D1009" s="736"/>
      <c r="E1009" s="30"/>
      <c r="F1009" s="30"/>
      <c r="G1009" s="30"/>
      <c r="H1009" s="30"/>
      <c r="I1009" s="30"/>
      <c r="J1009" s="30"/>
      <c r="K1009" s="30"/>
      <c r="L1009" s="30"/>
      <c r="M1009" s="30"/>
      <c r="N1009" s="37"/>
      <c r="O1009" s="30"/>
      <c r="P1009" s="30"/>
      <c r="Q1009" s="30"/>
      <c r="R1009" s="30"/>
      <c r="S1009" s="736"/>
      <c r="T1009" s="30"/>
      <c r="U1009" s="30"/>
      <c r="V1009" s="30"/>
      <c r="W1009" s="30"/>
      <c r="X1009" s="30"/>
      <c r="Y1009" s="30"/>
      <c r="Z1009" s="30"/>
      <c r="AA1009" s="30"/>
      <c r="AB1009" s="1005"/>
    </row>
    <row r="1010" spans="1:28">
      <c r="A1010" s="29"/>
      <c r="B1010" s="30"/>
      <c r="C1010" s="30"/>
      <c r="D1010" s="736"/>
      <c r="E1010" s="30"/>
      <c r="F1010" s="30"/>
      <c r="G1010" s="30"/>
      <c r="H1010" s="30"/>
      <c r="I1010" s="30"/>
      <c r="J1010" s="30"/>
      <c r="K1010" s="30"/>
      <c r="L1010" s="30"/>
      <c r="M1010" s="30"/>
      <c r="N1010" s="37"/>
      <c r="O1010" s="30"/>
      <c r="P1010" s="30"/>
      <c r="Q1010" s="30"/>
      <c r="R1010" s="30"/>
      <c r="S1010" s="736"/>
      <c r="T1010" s="30"/>
      <c r="U1010" s="30"/>
      <c r="V1010" s="30"/>
      <c r="W1010" s="30"/>
      <c r="X1010" s="30"/>
      <c r="Y1010" s="30"/>
      <c r="Z1010" s="30"/>
      <c r="AA1010" s="30"/>
      <c r="AB1010" s="1005"/>
    </row>
    <row r="1011" spans="1:28">
      <c r="A1011" s="29"/>
      <c r="B1011" s="30"/>
      <c r="C1011" s="30"/>
      <c r="D1011" s="736"/>
      <c r="E1011" s="30"/>
      <c r="F1011" s="30"/>
      <c r="G1011" s="30"/>
      <c r="H1011" s="30"/>
      <c r="I1011" s="30"/>
      <c r="J1011" s="30"/>
      <c r="K1011" s="30"/>
      <c r="L1011" s="30"/>
      <c r="M1011" s="30"/>
      <c r="N1011" s="37"/>
      <c r="O1011" s="30"/>
      <c r="P1011" s="30"/>
      <c r="Q1011" s="30"/>
      <c r="R1011" s="30"/>
      <c r="S1011" s="736"/>
      <c r="T1011" s="30"/>
      <c r="U1011" s="30"/>
      <c r="V1011" s="30"/>
      <c r="W1011" s="30"/>
      <c r="X1011" s="30"/>
      <c r="Y1011" s="30"/>
      <c r="Z1011" s="30"/>
      <c r="AA1011" s="30"/>
      <c r="AB1011" s="1005"/>
    </row>
    <row r="1012" spans="1:28">
      <c r="A1012" s="29"/>
      <c r="B1012" s="30"/>
      <c r="C1012" s="30"/>
      <c r="D1012" s="736"/>
      <c r="E1012" s="30"/>
      <c r="F1012" s="30"/>
      <c r="G1012" s="30"/>
      <c r="H1012" s="30"/>
      <c r="I1012" s="30"/>
      <c r="J1012" s="30"/>
      <c r="K1012" s="30"/>
      <c r="L1012" s="30"/>
      <c r="M1012" s="30"/>
      <c r="N1012" s="37"/>
      <c r="O1012" s="30"/>
      <c r="P1012" s="30"/>
      <c r="Q1012" s="30"/>
      <c r="R1012" s="30"/>
      <c r="S1012" s="736"/>
      <c r="T1012" s="30"/>
      <c r="U1012" s="30"/>
      <c r="V1012" s="30"/>
      <c r="W1012" s="30"/>
      <c r="X1012" s="30"/>
      <c r="Y1012" s="30"/>
      <c r="Z1012" s="30"/>
      <c r="AA1012" s="30"/>
      <c r="AB1012" s="1005"/>
    </row>
    <row r="1013" spans="1:28">
      <c r="A1013" s="29"/>
      <c r="B1013" s="30"/>
      <c r="C1013" s="30"/>
      <c r="D1013" s="736"/>
      <c r="E1013" s="30"/>
      <c r="F1013" s="30"/>
      <c r="G1013" s="30"/>
      <c r="H1013" s="30"/>
      <c r="I1013" s="30"/>
      <c r="J1013" s="30"/>
      <c r="K1013" s="30"/>
      <c r="L1013" s="30"/>
      <c r="M1013" s="30"/>
      <c r="N1013" s="37"/>
      <c r="O1013" s="30"/>
      <c r="P1013" s="30"/>
      <c r="Q1013" s="30"/>
      <c r="R1013" s="30"/>
      <c r="S1013" s="736"/>
      <c r="T1013" s="30"/>
      <c r="U1013" s="30"/>
      <c r="V1013" s="30"/>
      <c r="W1013" s="30"/>
      <c r="X1013" s="30"/>
      <c r="Y1013" s="30"/>
      <c r="Z1013" s="30"/>
      <c r="AA1013" s="30"/>
      <c r="AB1013" s="1005"/>
    </row>
    <row r="1014" spans="1:28">
      <c r="A1014" s="29"/>
      <c r="B1014" s="30"/>
      <c r="C1014" s="30"/>
      <c r="D1014" s="736"/>
      <c r="E1014" s="30"/>
      <c r="F1014" s="30"/>
      <c r="G1014" s="30"/>
      <c r="H1014" s="30"/>
      <c r="I1014" s="30"/>
      <c r="J1014" s="30"/>
      <c r="K1014" s="30"/>
      <c r="L1014" s="30"/>
      <c r="M1014" s="30"/>
      <c r="N1014" s="37"/>
      <c r="O1014" s="30"/>
      <c r="P1014" s="30"/>
      <c r="Q1014" s="30"/>
      <c r="R1014" s="30"/>
      <c r="S1014" s="736"/>
      <c r="T1014" s="30"/>
      <c r="U1014" s="30"/>
      <c r="V1014" s="30"/>
      <c r="W1014" s="30"/>
      <c r="X1014" s="30"/>
      <c r="Y1014" s="30"/>
      <c r="Z1014" s="30"/>
      <c r="AA1014" s="30"/>
      <c r="AB1014" s="1005"/>
    </row>
    <row r="1015" spans="1:28">
      <c r="A1015" s="29"/>
      <c r="B1015" s="30"/>
      <c r="C1015" s="30"/>
      <c r="D1015" s="736"/>
      <c r="E1015" s="30"/>
      <c r="F1015" s="30"/>
      <c r="G1015" s="30"/>
      <c r="H1015" s="30"/>
      <c r="I1015" s="30"/>
      <c r="J1015" s="30"/>
      <c r="K1015" s="30"/>
      <c r="L1015" s="30"/>
      <c r="M1015" s="30"/>
      <c r="N1015" s="37"/>
      <c r="O1015" s="30"/>
      <c r="P1015" s="30"/>
      <c r="Q1015" s="30"/>
      <c r="R1015" s="30"/>
      <c r="S1015" s="736"/>
      <c r="T1015" s="30"/>
      <c r="U1015" s="30"/>
      <c r="V1015" s="30"/>
      <c r="W1015" s="30"/>
      <c r="X1015" s="30"/>
      <c r="Y1015" s="30"/>
      <c r="Z1015" s="30"/>
      <c r="AA1015" s="30"/>
      <c r="AB1015" s="1005"/>
    </row>
    <row r="1016" spans="1:28">
      <c r="A1016" s="29"/>
      <c r="B1016" s="30"/>
      <c r="C1016" s="30"/>
      <c r="D1016" s="736"/>
      <c r="E1016" s="30"/>
      <c r="F1016" s="30"/>
      <c r="G1016" s="30"/>
      <c r="H1016" s="30"/>
      <c r="I1016" s="30"/>
      <c r="J1016" s="30"/>
      <c r="K1016" s="30"/>
      <c r="L1016" s="30"/>
      <c r="M1016" s="30"/>
      <c r="N1016" s="37"/>
      <c r="O1016" s="30"/>
      <c r="P1016" s="30"/>
      <c r="Q1016" s="30"/>
      <c r="R1016" s="30"/>
      <c r="S1016" s="736"/>
      <c r="T1016" s="30"/>
      <c r="U1016" s="30"/>
      <c r="V1016" s="30"/>
      <c r="W1016" s="30"/>
      <c r="X1016" s="30"/>
      <c r="Y1016" s="30"/>
      <c r="Z1016" s="30"/>
      <c r="AA1016" s="30"/>
      <c r="AB1016" s="1005"/>
    </row>
    <row r="1017" spans="1:28">
      <c r="A1017" s="29"/>
      <c r="B1017" s="30"/>
      <c r="C1017" s="30"/>
      <c r="D1017" s="736"/>
      <c r="E1017" s="30"/>
      <c r="F1017" s="30"/>
      <c r="G1017" s="30"/>
      <c r="H1017" s="30"/>
      <c r="I1017" s="30"/>
      <c r="J1017" s="30"/>
      <c r="K1017" s="30"/>
      <c r="L1017" s="30"/>
      <c r="M1017" s="30"/>
      <c r="N1017" s="37"/>
      <c r="O1017" s="30"/>
      <c r="P1017" s="30"/>
      <c r="Q1017" s="30"/>
      <c r="R1017" s="30"/>
      <c r="S1017" s="736"/>
      <c r="T1017" s="30"/>
      <c r="U1017" s="30"/>
      <c r="V1017" s="30"/>
      <c r="W1017" s="30"/>
      <c r="X1017" s="30"/>
      <c r="Y1017" s="30"/>
      <c r="Z1017" s="30"/>
      <c r="AA1017" s="30"/>
      <c r="AB1017" s="1005"/>
    </row>
    <row r="1018" spans="1:28">
      <c r="A1018" s="29"/>
      <c r="B1018" s="30"/>
      <c r="C1018" s="30"/>
      <c r="D1018" s="736"/>
      <c r="E1018" s="30"/>
      <c r="F1018" s="30"/>
      <c r="G1018" s="30"/>
      <c r="H1018" s="30"/>
      <c r="I1018" s="30"/>
      <c r="J1018" s="30"/>
      <c r="K1018" s="30"/>
      <c r="L1018" s="30"/>
      <c r="M1018" s="30"/>
      <c r="N1018" s="37"/>
      <c r="O1018" s="30"/>
      <c r="P1018" s="30"/>
      <c r="Q1018" s="30"/>
      <c r="R1018" s="30"/>
      <c r="S1018" s="736"/>
      <c r="T1018" s="30"/>
      <c r="U1018" s="30"/>
      <c r="V1018" s="30"/>
      <c r="W1018" s="30"/>
      <c r="X1018" s="30"/>
      <c r="Y1018" s="30"/>
      <c r="Z1018" s="30"/>
      <c r="AA1018" s="30"/>
      <c r="AB1018" s="1005"/>
    </row>
    <row r="1019" spans="1:28">
      <c r="A1019" s="29"/>
      <c r="B1019" s="30"/>
      <c r="C1019" s="30"/>
      <c r="D1019" s="736"/>
      <c r="E1019" s="30"/>
      <c r="F1019" s="30"/>
      <c r="G1019" s="30"/>
      <c r="H1019" s="30"/>
      <c r="I1019" s="30"/>
      <c r="J1019" s="30"/>
      <c r="K1019" s="30"/>
      <c r="L1019" s="30"/>
      <c r="M1019" s="30"/>
      <c r="N1019" s="37"/>
      <c r="O1019" s="30"/>
      <c r="P1019" s="30"/>
      <c r="Q1019" s="30"/>
      <c r="R1019" s="30"/>
      <c r="S1019" s="736"/>
      <c r="T1019" s="30"/>
      <c r="U1019" s="30"/>
      <c r="V1019" s="30"/>
      <c r="W1019" s="30"/>
      <c r="X1019" s="30"/>
      <c r="Y1019" s="30"/>
      <c r="Z1019" s="30"/>
      <c r="AA1019" s="30"/>
      <c r="AB1019" s="1005"/>
    </row>
    <row r="1020" spans="1:28">
      <c r="A1020" s="29"/>
      <c r="B1020" s="30"/>
      <c r="C1020" s="30"/>
      <c r="D1020" s="736"/>
      <c r="E1020" s="30"/>
      <c r="F1020" s="30"/>
      <c r="G1020" s="30"/>
      <c r="H1020" s="30"/>
      <c r="I1020" s="30"/>
      <c r="J1020" s="30"/>
      <c r="K1020" s="30"/>
      <c r="L1020" s="30"/>
      <c r="M1020" s="30"/>
      <c r="N1020" s="37"/>
      <c r="O1020" s="30"/>
      <c r="P1020" s="30"/>
      <c r="Q1020" s="30"/>
      <c r="R1020" s="30"/>
      <c r="S1020" s="736"/>
      <c r="T1020" s="30"/>
      <c r="U1020" s="30"/>
      <c r="V1020" s="30"/>
      <c r="W1020" s="30"/>
      <c r="X1020" s="30"/>
      <c r="Y1020" s="30"/>
      <c r="Z1020" s="30"/>
      <c r="AA1020" s="30"/>
      <c r="AB1020" s="1005"/>
    </row>
    <row r="1021" spans="1:28">
      <c r="A1021" s="29"/>
      <c r="B1021" s="30"/>
      <c r="C1021" s="30"/>
      <c r="D1021" s="736"/>
      <c r="E1021" s="30"/>
      <c r="F1021" s="30"/>
      <c r="G1021" s="30"/>
      <c r="H1021" s="30"/>
      <c r="I1021" s="30"/>
      <c r="J1021" s="30"/>
      <c r="K1021" s="30"/>
      <c r="L1021" s="30"/>
      <c r="M1021" s="30"/>
      <c r="N1021" s="37"/>
      <c r="O1021" s="30"/>
      <c r="P1021" s="30"/>
      <c r="Q1021" s="30"/>
      <c r="R1021" s="30"/>
      <c r="S1021" s="736"/>
      <c r="T1021" s="30"/>
      <c r="U1021" s="30"/>
      <c r="V1021" s="30"/>
      <c r="W1021" s="30"/>
      <c r="X1021" s="30"/>
      <c r="Y1021" s="30"/>
      <c r="Z1021" s="30"/>
      <c r="AA1021" s="30"/>
      <c r="AB1021" s="1005"/>
    </row>
    <row r="1022" spans="1:28">
      <c r="A1022" s="29"/>
      <c r="B1022" s="30"/>
      <c r="C1022" s="30"/>
      <c r="D1022" s="736"/>
      <c r="E1022" s="30"/>
      <c r="F1022" s="30"/>
      <c r="G1022" s="30"/>
      <c r="H1022" s="30"/>
      <c r="I1022" s="30"/>
      <c r="J1022" s="30"/>
      <c r="K1022" s="30"/>
      <c r="L1022" s="30"/>
      <c r="M1022" s="30"/>
      <c r="N1022" s="37"/>
      <c r="O1022" s="30"/>
      <c r="P1022" s="30"/>
      <c r="Q1022" s="30"/>
      <c r="R1022" s="30"/>
      <c r="S1022" s="736"/>
      <c r="T1022" s="30"/>
      <c r="U1022" s="30"/>
      <c r="V1022" s="30"/>
      <c r="W1022" s="30"/>
      <c r="X1022" s="30"/>
      <c r="Y1022" s="30"/>
      <c r="Z1022" s="30"/>
      <c r="AA1022" s="30"/>
      <c r="AB1022" s="1005"/>
    </row>
    <row r="1023" spans="1:28">
      <c r="A1023" s="29"/>
      <c r="B1023" s="30"/>
      <c r="C1023" s="30"/>
      <c r="D1023" s="736"/>
      <c r="E1023" s="30"/>
      <c r="F1023" s="30"/>
      <c r="G1023" s="30"/>
      <c r="H1023" s="30"/>
      <c r="I1023" s="30"/>
      <c r="J1023" s="30"/>
      <c r="K1023" s="30"/>
      <c r="L1023" s="30"/>
      <c r="M1023" s="30"/>
      <c r="N1023" s="37"/>
      <c r="O1023" s="30"/>
      <c r="P1023" s="30"/>
      <c r="Q1023" s="30"/>
      <c r="R1023" s="30"/>
      <c r="S1023" s="736"/>
      <c r="T1023" s="30"/>
      <c r="U1023" s="30"/>
      <c r="V1023" s="30"/>
      <c r="W1023" s="30"/>
      <c r="X1023" s="30"/>
      <c r="Y1023" s="30"/>
      <c r="Z1023" s="30"/>
      <c r="AA1023" s="30"/>
      <c r="AB1023" s="1005"/>
    </row>
    <row r="1024" spans="1:28">
      <c r="A1024" s="29"/>
      <c r="B1024" s="30"/>
      <c r="C1024" s="30"/>
      <c r="D1024" s="736"/>
      <c r="E1024" s="30"/>
      <c r="F1024" s="30"/>
      <c r="G1024" s="30"/>
      <c r="H1024" s="30"/>
      <c r="I1024" s="30"/>
      <c r="J1024" s="30"/>
      <c r="K1024" s="30"/>
      <c r="L1024" s="30"/>
      <c r="M1024" s="30"/>
      <c r="N1024" s="37"/>
      <c r="O1024" s="30"/>
      <c r="P1024" s="30"/>
      <c r="Q1024" s="30"/>
      <c r="R1024" s="30"/>
      <c r="S1024" s="736"/>
      <c r="T1024" s="30"/>
      <c r="U1024" s="30"/>
      <c r="V1024" s="30"/>
      <c r="W1024" s="30"/>
      <c r="X1024" s="30"/>
      <c r="Y1024" s="30"/>
      <c r="Z1024" s="30"/>
      <c r="AA1024" s="30"/>
      <c r="AB1024" s="1005"/>
    </row>
    <row r="1025" spans="1:28">
      <c r="A1025" s="31"/>
      <c r="B1025" s="32"/>
      <c r="C1025" s="32"/>
      <c r="D1025" s="737"/>
      <c r="E1025" s="32"/>
      <c r="F1025" s="32"/>
      <c r="G1025" s="32"/>
      <c r="H1025" s="32"/>
      <c r="I1025" s="32"/>
      <c r="J1025" s="32"/>
      <c r="K1025" s="32"/>
      <c r="L1025" s="32"/>
      <c r="M1025" s="32"/>
      <c r="N1025" s="38"/>
      <c r="O1025" s="32"/>
      <c r="P1025" s="32"/>
      <c r="Q1025" s="32"/>
      <c r="R1025" s="32"/>
      <c r="S1025" s="737"/>
      <c r="T1025" s="32"/>
      <c r="U1025" s="32"/>
      <c r="V1025" s="32"/>
      <c r="W1025" s="32"/>
      <c r="X1025" s="32"/>
      <c r="Y1025" s="32"/>
      <c r="Z1025" s="32"/>
      <c r="AA1025" s="32"/>
      <c r="AB1025" s="1006"/>
    </row>
  </sheetData>
  <mergeCells count="2">
    <mergeCell ref="P1:AB1"/>
    <mergeCell ref="A1:N1"/>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C41C0-E2DA-4C0A-B1AC-37DB14A2F3D8}">
  <dimension ref="A1:AG19"/>
  <sheetViews>
    <sheetView topLeftCell="C1" workbookViewId="0">
      <selection activeCell="J14" sqref="J14"/>
    </sheetView>
  </sheetViews>
  <sheetFormatPr defaultRowHeight="15"/>
  <cols>
    <col min="1" max="2" width="0" hidden="1" customWidth="1"/>
    <col min="3" max="4" width="9.140625" style="39"/>
    <col min="5" max="5" width="29.28515625" customWidth="1"/>
    <col min="6" max="6" width="9.140625" style="39"/>
    <col min="7" max="7" width="37.28515625" hidden="1" customWidth="1"/>
    <col min="8" max="8" width="10.7109375" customWidth="1"/>
    <col min="9" max="9" width="10.28515625" customWidth="1"/>
    <col min="10" max="10" width="28.28515625" style="39" customWidth="1"/>
    <col min="12" max="12" width="37.28515625" customWidth="1"/>
    <col min="13" max="13" width="13" style="39" customWidth="1"/>
    <col min="14" max="14" width="34.28515625" customWidth="1"/>
    <col min="15" max="15" width="11.140625" style="39" customWidth="1"/>
    <col min="17" max="17" width="10.28515625" customWidth="1"/>
    <col min="19" max="19" width="11" customWidth="1"/>
    <col min="21" max="21" width="11.140625" customWidth="1"/>
    <col min="22" max="22" width="12.5703125" customWidth="1"/>
    <col min="23" max="23" width="13.140625" customWidth="1"/>
    <col min="25" max="25" width="10.85546875" customWidth="1"/>
    <col min="26" max="26" width="9.140625" style="39"/>
    <col min="27" max="27" width="15.5703125" customWidth="1"/>
    <col min="31" max="31" width="12.5703125" customWidth="1"/>
    <col min="32" max="32" width="10.42578125" customWidth="1"/>
    <col min="33" max="33" width="27.28515625" style="39" customWidth="1"/>
  </cols>
  <sheetData>
    <row r="1" spans="1:33" ht="30.75">
      <c r="A1" s="1452" t="s">
        <v>186</v>
      </c>
      <c r="B1" s="1454" t="s">
        <v>187</v>
      </c>
      <c r="C1" s="1455" t="s">
        <v>188</v>
      </c>
      <c r="D1" s="1454" t="s">
        <v>189</v>
      </c>
      <c r="E1" s="1451" t="s">
        <v>190</v>
      </c>
      <c r="F1" s="1451" t="s">
        <v>191</v>
      </c>
      <c r="G1" s="1451" t="s">
        <v>192</v>
      </c>
      <c r="H1" s="1451" t="s">
        <v>193</v>
      </c>
      <c r="I1" s="1451" t="s">
        <v>194</v>
      </c>
      <c r="J1" s="1451" t="s">
        <v>195</v>
      </c>
      <c r="K1" s="1451" t="s">
        <v>196</v>
      </c>
      <c r="L1" s="1463" t="s">
        <v>197</v>
      </c>
      <c r="M1" s="1451" t="s">
        <v>198</v>
      </c>
      <c r="N1" s="1451" t="s">
        <v>199</v>
      </c>
      <c r="O1" s="1460" t="s">
        <v>200</v>
      </c>
      <c r="P1" s="1458" t="s">
        <v>201</v>
      </c>
      <c r="Q1" s="1458" t="s">
        <v>202</v>
      </c>
      <c r="R1" s="1460" t="s">
        <v>203</v>
      </c>
      <c r="S1" s="1460" t="s">
        <v>204</v>
      </c>
      <c r="T1" s="1458" t="s">
        <v>205</v>
      </c>
      <c r="U1" s="1458" t="s">
        <v>206</v>
      </c>
      <c r="V1" s="1458" t="s">
        <v>207</v>
      </c>
      <c r="W1" s="1458" t="s">
        <v>208</v>
      </c>
      <c r="X1" s="1458" t="s">
        <v>205</v>
      </c>
      <c r="Y1" s="1458" t="s">
        <v>206</v>
      </c>
      <c r="Z1" s="1460" t="s">
        <v>209</v>
      </c>
      <c r="AA1" s="470" t="s">
        <v>210</v>
      </c>
      <c r="AB1" s="1461" t="s">
        <v>211</v>
      </c>
      <c r="AC1" s="1461"/>
      <c r="AD1" s="1461"/>
      <c r="AE1" s="1462" t="s">
        <v>212</v>
      </c>
      <c r="AF1" s="1462" t="s">
        <v>213</v>
      </c>
      <c r="AG1" s="1462" t="s">
        <v>214</v>
      </c>
    </row>
    <row r="2" spans="1:33" ht="24.75">
      <c r="A2" s="1453"/>
      <c r="B2" s="1454"/>
      <c r="C2" s="1456"/>
      <c r="D2" s="1454"/>
      <c r="E2" s="1451"/>
      <c r="F2" s="1451"/>
      <c r="G2" s="1451"/>
      <c r="H2" s="1451"/>
      <c r="I2" s="1451"/>
      <c r="J2" s="1451"/>
      <c r="K2" s="1451"/>
      <c r="L2" s="1463"/>
      <c r="M2" s="1451"/>
      <c r="N2" s="1451"/>
      <c r="O2" s="1460"/>
      <c r="P2" s="1459"/>
      <c r="Q2" s="1459"/>
      <c r="R2" s="1460"/>
      <c r="S2" s="1460"/>
      <c r="T2" s="1459"/>
      <c r="U2" s="1459"/>
      <c r="V2" s="1459"/>
      <c r="W2" s="1459"/>
      <c r="X2" s="1459"/>
      <c r="Y2" s="1459"/>
      <c r="Z2" s="1460"/>
      <c r="AA2" s="1402" t="s">
        <v>215</v>
      </c>
      <c r="AB2" s="1402" t="s">
        <v>216</v>
      </c>
      <c r="AC2" s="1402" t="s">
        <v>217</v>
      </c>
      <c r="AD2" s="1402" t="s">
        <v>218</v>
      </c>
      <c r="AE2" s="1462"/>
      <c r="AF2" s="1462"/>
      <c r="AG2" s="1462"/>
    </row>
    <row r="3" spans="1:33">
      <c r="A3" s="1457" t="s">
        <v>76</v>
      </c>
      <c r="B3" s="1457"/>
      <c r="C3" s="1457"/>
      <c r="D3" s="1457"/>
      <c r="E3" s="1457"/>
      <c r="F3" s="1457"/>
      <c r="G3" s="1457"/>
      <c r="H3" s="1457"/>
      <c r="I3" s="1457"/>
      <c r="J3" s="1457"/>
      <c r="K3" s="1457"/>
      <c r="L3" s="1457"/>
      <c r="M3" s="1457"/>
      <c r="N3" s="1457"/>
      <c r="O3" s="1457"/>
      <c r="P3" s="1457"/>
      <c r="Q3" s="1457"/>
      <c r="R3" s="1457"/>
      <c r="S3" s="1457"/>
      <c r="T3" s="1457"/>
      <c r="U3" s="1457"/>
      <c r="V3" s="1457"/>
      <c r="W3" s="1457"/>
      <c r="X3" s="1457"/>
      <c r="Y3" s="1457"/>
      <c r="Z3" s="1457"/>
      <c r="AA3" s="1457"/>
      <c r="AB3" s="1457"/>
      <c r="AC3" s="1457"/>
      <c r="AD3" s="1457"/>
      <c r="AE3" s="1457"/>
      <c r="AF3" s="1457"/>
      <c r="AG3" s="1457"/>
    </row>
    <row r="4" spans="1:33" s="1008" customFormat="1">
      <c r="A4" s="414" t="s">
        <v>219</v>
      </c>
      <c r="B4" s="485">
        <v>5</v>
      </c>
      <c r="C4" s="1036">
        <v>161839</v>
      </c>
      <c r="D4" s="1036">
        <v>43180625</v>
      </c>
      <c r="E4" s="1049" t="s">
        <v>220</v>
      </c>
      <c r="F4" s="1036">
        <v>40</v>
      </c>
      <c r="G4" s="1049" t="s">
        <v>221</v>
      </c>
      <c r="H4" s="1049" t="s">
        <v>222</v>
      </c>
      <c r="I4" s="1036">
        <v>989178087</v>
      </c>
      <c r="J4" s="1036" t="s">
        <v>223</v>
      </c>
      <c r="K4" s="1050">
        <v>46027</v>
      </c>
      <c r="L4" s="1051" t="s">
        <v>224</v>
      </c>
      <c r="M4" s="1052" t="s">
        <v>225</v>
      </c>
      <c r="N4" s="1051" t="s">
        <v>226</v>
      </c>
      <c r="O4" s="1050">
        <v>45666</v>
      </c>
      <c r="P4" s="1049" t="s">
        <v>227</v>
      </c>
      <c r="Q4" s="1053">
        <v>46023</v>
      </c>
      <c r="R4" s="1048" t="s">
        <v>228</v>
      </c>
      <c r="S4" s="1036" t="s">
        <v>229</v>
      </c>
      <c r="T4" s="1036" t="s">
        <v>230</v>
      </c>
      <c r="U4" s="1036" t="s">
        <v>231</v>
      </c>
      <c r="V4" s="1050">
        <v>45971</v>
      </c>
      <c r="W4" s="1036" t="s">
        <v>232</v>
      </c>
      <c r="X4" s="1036" t="s">
        <v>225</v>
      </c>
      <c r="Y4" s="1036" t="s">
        <v>233</v>
      </c>
      <c r="Z4" s="1044"/>
      <c r="AA4" s="1045"/>
      <c r="AB4" s="1045"/>
      <c r="AC4" s="1045"/>
      <c r="AD4" s="1045"/>
      <c r="AE4" s="1045"/>
      <c r="AF4" s="1045"/>
      <c r="AG4" s="1044" t="s">
        <v>234</v>
      </c>
    </row>
    <row r="5" spans="1:33">
      <c r="A5" s="1457" t="s">
        <v>77</v>
      </c>
      <c r="B5" s="1457"/>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c r="AD5" s="1457"/>
      <c r="AE5" s="1457"/>
      <c r="AF5" s="1457"/>
      <c r="AG5" s="1457"/>
    </row>
    <row r="6" spans="1:33" s="1008" customFormat="1">
      <c r="A6" s="539"/>
      <c r="B6" s="539">
        <v>6</v>
      </c>
      <c r="C6" s="539">
        <v>253906</v>
      </c>
      <c r="D6" s="539">
        <v>45413607</v>
      </c>
      <c r="E6" s="48" t="s">
        <v>235</v>
      </c>
      <c r="F6" s="539">
        <v>42</v>
      </c>
      <c r="G6" s="54" t="s">
        <v>236</v>
      </c>
      <c r="H6" s="54" t="s">
        <v>237</v>
      </c>
      <c r="I6" s="539">
        <v>967847685</v>
      </c>
      <c r="J6" s="566" t="s">
        <v>238</v>
      </c>
      <c r="K6" s="543">
        <v>46059</v>
      </c>
      <c r="L6" s="54" t="s">
        <v>239</v>
      </c>
      <c r="M6" s="539" t="s">
        <v>240</v>
      </c>
      <c r="N6" s="54" t="s">
        <v>241</v>
      </c>
      <c r="O6" s="598">
        <v>46069</v>
      </c>
      <c r="P6" s="1033"/>
      <c r="Q6" s="808">
        <v>46054</v>
      </c>
      <c r="R6" s="566" t="s">
        <v>242</v>
      </c>
      <c r="S6" s="54"/>
      <c r="T6" s="54"/>
      <c r="U6" s="54"/>
      <c r="V6" s="54"/>
      <c r="W6" s="54"/>
      <c r="X6" s="54"/>
      <c r="Y6" s="54"/>
      <c r="Z6" s="539"/>
      <c r="AA6" s="54"/>
      <c r="AB6" s="54"/>
      <c r="AC6" s="54"/>
      <c r="AD6" s="1009"/>
      <c r="AE6" s="1009"/>
      <c r="AF6" s="1009"/>
      <c r="AG6" s="1010" t="s">
        <v>243</v>
      </c>
    </row>
    <row r="7" spans="1:33" s="1008" customFormat="1">
      <c r="A7" s="1041"/>
      <c r="B7" s="1037">
        <v>16</v>
      </c>
      <c r="C7" s="1037">
        <v>295414</v>
      </c>
      <c r="D7" s="1037">
        <v>45357201</v>
      </c>
      <c r="E7" s="1035" t="s">
        <v>244</v>
      </c>
      <c r="F7" s="1037">
        <v>44</v>
      </c>
      <c r="G7" s="1035" t="s">
        <v>245</v>
      </c>
      <c r="H7" s="1035" t="s">
        <v>246</v>
      </c>
      <c r="I7" s="1037">
        <v>963865735</v>
      </c>
      <c r="J7" s="1037" t="s">
        <v>247</v>
      </c>
      <c r="K7" s="1041">
        <v>46070</v>
      </c>
      <c r="L7" s="1047" t="s">
        <v>248</v>
      </c>
      <c r="M7" s="1037" t="s">
        <v>249</v>
      </c>
      <c r="N7" s="1047" t="s">
        <v>250</v>
      </c>
      <c r="O7" s="1041">
        <v>46101</v>
      </c>
      <c r="P7" s="1037" t="s">
        <v>251</v>
      </c>
      <c r="Q7" s="1048">
        <v>46113</v>
      </c>
      <c r="R7" s="1048">
        <v>46113</v>
      </c>
      <c r="S7" s="1037" t="s">
        <v>242</v>
      </c>
      <c r="T7" s="1035"/>
      <c r="U7" s="1035"/>
      <c r="V7" s="1035"/>
      <c r="W7" s="1035"/>
      <c r="X7" s="1035"/>
      <c r="Y7" s="1035"/>
      <c r="Z7" s="1037"/>
      <c r="AA7" s="1035"/>
      <c r="AB7" s="1035"/>
      <c r="AC7" s="1035"/>
      <c r="AD7" s="1045"/>
      <c r="AE7" s="1045"/>
      <c r="AF7" s="1045"/>
      <c r="AG7" s="1044" t="s">
        <v>252</v>
      </c>
    </row>
    <row r="8" spans="1:33" s="1008" customFormat="1">
      <c r="A8" s="548">
        <v>46078</v>
      </c>
      <c r="B8" s="539">
        <v>22</v>
      </c>
      <c r="C8" s="539">
        <v>84342</v>
      </c>
      <c r="D8" s="566">
        <v>15582575</v>
      </c>
      <c r="E8" s="48" t="s">
        <v>253</v>
      </c>
      <c r="F8" s="539">
        <v>77</v>
      </c>
      <c r="G8" s="54" t="s">
        <v>254</v>
      </c>
      <c r="H8" s="54" t="s">
        <v>237</v>
      </c>
      <c r="I8" s="539">
        <v>995158608</v>
      </c>
      <c r="J8" s="566" t="s">
        <v>238</v>
      </c>
      <c r="K8" s="543">
        <v>46078</v>
      </c>
      <c r="L8" s="54" t="s">
        <v>255</v>
      </c>
      <c r="M8" s="1011" t="s">
        <v>256</v>
      </c>
      <c r="N8" s="1012" t="s">
        <v>257</v>
      </c>
      <c r="O8" s="598">
        <v>46084</v>
      </c>
      <c r="P8" s="809"/>
      <c r="Q8" s="620" t="s">
        <v>258</v>
      </c>
      <c r="R8" s="1027">
        <v>46054</v>
      </c>
      <c r="S8" s="48" t="s">
        <v>259</v>
      </c>
      <c r="T8" s="539" t="s">
        <v>260</v>
      </c>
      <c r="U8" s="54" t="s">
        <v>261</v>
      </c>
      <c r="V8" s="54"/>
      <c r="W8" s="1013"/>
      <c r="X8" s="54"/>
      <c r="Y8" s="54"/>
      <c r="Z8" s="539"/>
      <c r="AA8" s="54"/>
      <c r="AB8" s="54"/>
      <c r="AC8" s="54"/>
      <c r="AD8" s="1009"/>
      <c r="AE8" s="1009"/>
      <c r="AF8" s="1009"/>
      <c r="AG8" s="1010" t="s">
        <v>262</v>
      </c>
    </row>
    <row r="9" spans="1:33">
      <c r="A9" s="1457" t="s">
        <v>78</v>
      </c>
      <c r="B9" s="1457"/>
      <c r="C9" s="1457"/>
      <c r="D9" s="1457"/>
      <c r="E9" s="1457"/>
      <c r="F9" s="1457"/>
      <c r="G9" s="1457"/>
      <c r="H9" s="1457"/>
      <c r="I9" s="1457"/>
      <c r="J9" s="1457"/>
      <c r="K9" s="1457"/>
      <c r="L9" s="1457"/>
      <c r="M9" s="1457"/>
      <c r="N9" s="1457"/>
      <c r="O9" s="1457"/>
      <c r="P9" s="1457"/>
      <c r="Q9" s="1457"/>
      <c r="R9" s="1457"/>
      <c r="S9" s="1457"/>
      <c r="T9" s="1457"/>
      <c r="U9" s="1457"/>
      <c r="V9" s="1457"/>
      <c r="W9" s="1457"/>
      <c r="X9" s="1457"/>
      <c r="Y9" s="1457"/>
      <c r="Z9" s="1457"/>
      <c r="AA9" s="1457"/>
      <c r="AB9" s="1457"/>
      <c r="AC9" s="1457"/>
      <c r="AD9" s="1457"/>
      <c r="AE9" s="1457"/>
      <c r="AF9" s="1457"/>
      <c r="AG9" s="1457"/>
    </row>
    <row r="10" spans="1:33" s="1008" customFormat="1">
      <c r="A10" s="1014"/>
      <c r="B10" s="173">
        <v>5</v>
      </c>
      <c r="C10" s="485">
        <v>1946</v>
      </c>
      <c r="D10" s="485">
        <v>15648009</v>
      </c>
      <c r="E10" s="65" t="s">
        <v>263</v>
      </c>
      <c r="F10" s="485">
        <v>56</v>
      </c>
      <c r="G10" s="46" t="s">
        <v>264</v>
      </c>
      <c r="H10" s="46" t="s">
        <v>222</v>
      </c>
      <c r="I10" s="485">
        <v>945564882</v>
      </c>
      <c r="J10" s="1132" t="s">
        <v>238</v>
      </c>
      <c r="K10" s="151">
        <v>46097</v>
      </c>
      <c r="L10" s="46" t="s">
        <v>265</v>
      </c>
      <c r="M10" s="1015" t="s">
        <v>266</v>
      </c>
      <c r="N10" s="399" t="s">
        <v>267</v>
      </c>
      <c r="O10" s="1028">
        <v>46101</v>
      </c>
      <c r="P10" s="1031"/>
      <c r="Q10" s="1032"/>
      <c r="R10" s="1027">
        <v>46082</v>
      </c>
      <c r="S10" s="1016"/>
      <c r="T10" s="1016"/>
      <c r="U10" s="1016"/>
      <c r="V10" s="1016"/>
      <c r="W10" s="1016"/>
      <c r="X10" s="1016"/>
      <c r="Y10" s="1016"/>
      <c r="Z10" s="1029"/>
      <c r="AA10" s="1016"/>
      <c r="AB10" s="1016"/>
      <c r="AC10" s="1016"/>
      <c r="AD10" s="1016"/>
      <c r="AE10" s="1016"/>
      <c r="AF10" s="1016"/>
      <c r="AG10" s="1029" t="s">
        <v>243</v>
      </c>
    </row>
    <row r="11" spans="1:33" s="1026" customFormat="1">
      <c r="A11" s="242" t="s">
        <v>268</v>
      </c>
      <c r="B11" s="414">
        <v>7</v>
      </c>
      <c r="C11" s="414">
        <v>519669</v>
      </c>
      <c r="D11" s="414">
        <v>16016129</v>
      </c>
      <c r="E11" s="242" t="s">
        <v>269</v>
      </c>
      <c r="F11" s="414">
        <v>53</v>
      </c>
      <c r="G11" s="242" t="s">
        <v>270</v>
      </c>
      <c r="H11" s="242" t="s">
        <v>271</v>
      </c>
      <c r="I11" s="414">
        <v>978191427</v>
      </c>
      <c r="J11" s="1132" t="s">
        <v>238</v>
      </c>
      <c r="K11" s="1023">
        <v>46098</v>
      </c>
      <c r="L11" s="242" t="s">
        <v>272</v>
      </c>
      <c r="M11" s="1024" t="s">
        <v>266</v>
      </c>
      <c r="N11" s="859" t="s">
        <v>273</v>
      </c>
      <c r="O11" s="419">
        <v>46101</v>
      </c>
      <c r="P11" s="1034"/>
      <c r="Q11" s="623" t="s">
        <v>242</v>
      </c>
      <c r="R11" s="1025"/>
      <c r="S11" s="1025"/>
      <c r="T11" s="1025"/>
      <c r="U11" s="1025"/>
      <c r="V11" s="1025"/>
      <c r="W11" s="1025"/>
      <c r="X11" s="1025"/>
      <c r="Y11" s="1025"/>
      <c r="Z11" s="1030"/>
      <c r="AA11" s="1025"/>
      <c r="AB11" s="1025"/>
      <c r="AC11" s="1025"/>
      <c r="AD11" s="1025"/>
      <c r="AE11" s="1025"/>
      <c r="AF11" s="1025"/>
      <c r="AG11" s="1030" t="s">
        <v>274</v>
      </c>
    </row>
    <row r="12" spans="1:33" s="1008" customFormat="1">
      <c r="A12" s="1017" t="s">
        <v>275</v>
      </c>
      <c r="B12" s="173">
        <v>10</v>
      </c>
      <c r="C12" s="1015">
        <v>203819</v>
      </c>
      <c r="D12" s="1015">
        <v>32806584</v>
      </c>
      <c r="E12" s="1018" t="s">
        <v>276</v>
      </c>
      <c r="F12" s="1015">
        <v>62</v>
      </c>
      <c r="G12" s="1017" t="s">
        <v>277</v>
      </c>
      <c r="H12" s="1017" t="s">
        <v>278</v>
      </c>
      <c r="I12" s="1015">
        <v>922343401</v>
      </c>
      <c r="J12" s="1132" t="s">
        <v>238</v>
      </c>
      <c r="K12" s="1019">
        <v>46098</v>
      </c>
      <c r="L12" s="1017" t="s">
        <v>279</v>
      </c>
      <c r="M12" s="1015" t="s">
        <v>266</v>
      </c>
      <c r="N12" s="1020" t="s">
        <v>241</v>
      </c>
      <c r="O12" s="419">
        <v>46010</v>
      </c>
      <c r="P12" s="1034"/>
      <c r="Q12" s="808">
        <v>46054</v>
      </c>
      <c r="R12" s="1009"/>
      <c r="S12" s="1009"/>
      <c r="T12" s="1009"/>
      <c r="U12" s="1009"/>
      <c r="V12" s="1009"/>
      <c r="W12" s="1009"/>
      <c r="X12" s="1009"/>
      <c r="Y12" s="1009"/>
      <c r="Z12" s="1010"/>
      <c r="AA12" s="1009"/>
      <c r="AB12" s="1009"/>
      <c r="AC12" s="1009"/>
      <c r="AD12" s="1009"/>
      <c r="AE12" s="1009"/>
      <c r="AF12" s="1009"/>
      <c r="AG12" s="1010" t="s">
        <v>280</v>
      </c>
    </row>
    <row r="13" spans="1:33" s="1008" customFormat="1">
      <c r="A13" s="46" t="s">
        <v>219</v>
      </c>
      <c r="B13" s="173">
        <v>19</v>
      </c>
      <c r="C13" s="485">
        <v>1946</v>
      </c>
      <c r="D13" s="485">
        <v>15648009</v>
      </c>
      <c r="E13" s="65" t="s">
        <v>263</v>
      </c>
      <c r="F13" s="485">
        <v>56</v>
      </c>
      <c r="G13" s="46" t="s">
        <v>264</v>
      </c>
      <c r="H13" s="46" t="s">
        <v>222</v>
      </c>
      <c r="I13" s="1021">
        <v>945564882</v>
      </c>
      <c r="J13" s="1133" t="s">
        <v>238</v>
      </c>
      <c r="K13" s="151">
        <v>46097</v>
      </c>
      <c r="L13" s="46" t="s">
        <v>265</v>
      </c>
      <c r="M13" s="1015" t="s">
        <v>266</v>
      </c>
      <c r="N13" s="46" t="s">
        <v>267</v>
      </c>
      <c r="O13" s="419">
        <v>46101</v>
      </c>
      <c r="P13" s="1034"/>
      <c r="Q13" s="808">
        <v>46082</v>
      </c>
      <c r="R13" s="1009"/>
      <c r="S13" s="1009"/>
      <c r="T13" s="1009"/>
      <c r="U13" s="1009"/>
      <c r="V13" s="1009"/>
      <c r="W13" s="1009"/>
      <c r="X13" s="1009"/>
      <c r="Y13" s="1009"/>
      <c r="Z13" s="1010"/>
      <c r="AA13" s="1009"/>
      <c r="AB13" s="1009"/>
      <c r="AC13" s="1009"/>
      <c r="AD13" s="1009"/>
      <c r="AE13" s="1009"/>
      <c r="AF13" s="1009"/>
      <c r="AG13" s="1010" t="s">
        <v>280</v>
      </c>
    </row>
    <row r="14" spans="1:33" s="1008" customFormat="1">
      <c r="A14" s="54"/>
      <c r="B14" s="173">
        <v>25</v>
      </c>
      <c r="C14" s="539">
        <v>42846</v>
      </c>
      <c r="D14" s="539">
        <v>15594532</v>
      </c>
      <c r="E14" s="64" t="s">
        <v>281</v>
      </c>
      <c r="F14" s="539">
        <v>61</v>
      </c>
      <c r="G14" s="54" t="s">
        <v>282</v>
      </c>
      <c r="H14" s="54" t="s">
        <v>222</v>
      </c>
      <c r="I14" s="618">
        <v>973478829</v>
      </c>
      <c r="J14" s="1133" t="s">
        <v>283</v>
      </c>
      <c r="K14" s="1022">
        <v>46070</v>
      </c>
      <c r="L14" s="46" t="s">
        <v>284</v>
      </c>
      <c r="M14" s="539" t="s">
        <v>256</v>
      </c>
      <c r="N14" s="46" t="s">
        <v>250</v>
      </c>
      <c r="O14" s="598">
        <v>46086</v>
      </c>
      <c r="P14" s="623" t="s">
        <v>285</v>
      </c>
      <c r="Q14" s="732"/>
      <c r="R14" s="1009"/>
      <c r="S14" s="1009"/>
      <c r="T14" s="1009"/>
      <c r="U14" s="1009"/>
      <c r="V14" s="1009"/>
      <c r="W14" s="1009"/>
      <c r="X14" s="1009"/>
      <c r="Y14" s="1009"/>
      <c r="Z14" s="1010"/>
      <c r="AA14" s="1009"/>
      <c r="AB14" s="1009"/>
      <c r="AC14" s="1009"/>
      <c r="AD14" s="1009"/>
      <c r="AE14" s="1009"/>
      <c r="AF14" s="1009"/>
      <c r="AG14" s="1030" t="s">
        <v>274</v>
      </c>
    </row>
    <row r="15" spans="1:33" s="1008" customFormat="1" ht="23.25">
      <c r="A15" s="1035"/>
      <c r="B15" s="1036">
        <v>26</v>
      </c>
      <c r="C15" s="1037">
        <v>282108</v>
      </c>
      <c r="D15" s="1037">
        <v>43169603</v>
      </c>
      <c r="E15" s="1035" t="s">
        <v>286</v>
      </c>
      <c r="F15" s="1037">
        <v>40</v>
      </c>
      <c r="G15" s="1035" t="s">
        <v>287</v>
      </c>
      <c r="H15" s="1035" t="s">
        <v>288</v>
      </c>
      <c r="I15" s="1038">
        <v>950735869</v>
      </c>
      <c r="J15" s="1039" t="s">
        <v>289</v>
      </c>
      <c r="K15" s="1040">
        <v>46073</v>
      </c>
      <c r="L15" s="1035" t="s">
        <v>290</v>
      </c>
      <c r="M15" s="1037" t="s">
        <v>225</v>
      </c>
      <c r="N15" s="1035" t="s">
        <v>291</v>
      </c>
      <c r="O15" s="1041">
        <v>46083</v>
      </c>
      <c r="P15" s="1038" t="s">
        <v>292</v>
      </c>
      <c r="Q15" s="1042">
        <v>46082</v>
      </c>
      <c r="R15" s="1043">
        <v>46113</v>
      </c>
      <c r="S15" s="1115" t="s">
        <v>293</v>
      </c>
      <c r="T15" s="1045"/>
      <c r="U15" s="1046" t="s">
        <v>233</v>
      </c>
      <c r="V15" s="1045"/>
      <c r="W15" s="1045"/>
      <c r="X15" s="1045"/>
      <c r="Y15" s="1045"/>
      <c r="Z15" s="1044"/>
      <c r="AA15" s="1045"/>
      <c r="AB15" s="1045"/>
      <c r="AC15" s="1045"/>
      <c r="AD15" s="1045"/>
      <c r="AE15" s="1045"/>
      <c r="AF15" s="1045"/>
      <c r="AG15" s="1044" t="s">
        <v>294</v>
      </c>
    </row>
    <row r="16" spans="1:33">
      <c r="A16" s="1457" t="s">
        <v>79</v>
      </c>
      <c r="B16" s="1457"/>
      <c r="C16" s="1457"/>
      <c r="D16" s="1457"/>
      <c r="E16" s="1457"/>
      <c r="F16" s="1457"/>
      <c r="G16" s="1457"/>
      <c r="H16" s="1457"/>
      <c r="I16" s="1457"/>
      <c r="J16" s="1457"/>
      <c r="K16" s="1457"/>
      <c r="L16" s="1457"/>
      <c r="M16" s="1457"/>
      <c r="N16" s="1457"/>
      <c r="O16" s="1457"/>
      <c r="P16" s="1457"/>
      <c r="Q16" s="1457"/>
      <c r="R16" s="1457"/>
      <c r="S16" s="1457"/>
      <c r="T16" s="1457"/>
      <c r="U16" s="1457"/>
      <c r="V16" s="1457"/>
      <c r="W16" s="1457"/>
      <c r="X16" s="1457"/>
      <c r="Y16" s="1457"/>
      <c r="Z16" s="1457"/>
      <c r="AA16" s="1457"/>
      <c r="AB16" s="1457"/>
      <c r="AC16" s="1457"/>
      <c r="AD16" s="1457"/>
      <c r="AE16" s="1457"/>
      <c r="AF16" s="1457"/>
      <c r="AG16" s="1457"/>
    </row>
    <row r="17" spans="1:33">
      <c r="A17" s="1008"/>
      <c r="B17" s="1008"/>
      <c r="C17" s="485">
        <v>9469</v>
      </c>
      <c r="D17" s="1134">
        <v>15616954</v>
      </c>
      <c r="E17" s="242" t="s">
        <v>295</v>
      </c>
      <c r="F17" s="485">
        <v>58</v>
      </c>
      <c r="G17" s="485">
        <v>58</v>
      </c>
      <c r="H17" s="46" t="s">
        <v>278</v>
      </c>
      <c r="I17" s="485" t="s">
        <v>296</v>
      </c>
      <c r="J17" s="485" t="s">
        <v>238</v>
      </c>
      <c r="K17" s="1019">
        <v>46118</v>
      </c>
      <c r="L17" s="1128" t="s">
        <v>297</v>
      </c>
      <c r="M17" s="485" t="s">
        <v>225</v>
      </c>
      <c r="N17" s="46" t="s">
        <v>298</v>
      </c>
      <c r="O17" s="253">
        <v>46122</v>
      </c>
      <c r="P17" s="242" t="s">
        <v>299</v>
      </c>
      <c r="Q17" s="1017"/>
      <c r="R17" s="46"/>
      <c r="S17" s="46"/>
      <c r="T17" s="46"/>
      <c r="U17" s="1019"/>
      <c r="V17" s="1127"/>
      <c r="W17" s="1019"/>
      <c r="X17" s="1128"/>
      <c r="Y17" s="46"/>
      <c r="Z17" s="46"/>
      <c r="AA17" s="253"/>
      <c r="AB17" s="242"/>
      <c r="AC17" s="242"/>
      <c r="AD17" s="46"/>
      <c r="AE17" s="46"/>
      <c r="AF17" s="46"/>
      <c r="AG17" s="46"/>
    </row>
    <row r="18" spans="1:33">
      <c r="A18" s="1008"/>
      <c r="B18" s="1008"/>
      <c r="C18" s="1015">
        <v>77276</v>
      </c>
      <c r="D18" s="1135">
        <v>41581241</v>
      </c>
      <c r="E18" s="1130" t="s">
        <v>300</v>
      </c>
      <c r="F18" s="1131">
        <v>48</v>
      </c>
      <c r="G18" s="666">
        <v>48</v>
      </c>
      <c r="H18" s="1017" t="s">
        <v>301</v>
      </c>
      <c r="I18" s="1131">
        <v>914857332</v>
      </c>
      <c r="J18" s="1024" t="s">
        <v>302</v>
      </c>
      <c r="K18" s="1019">
        <v>46119</v>
      </c>
      <c r="L18" s="1017" t="s">
        <v>303</v>
      </c>
      <c r="M18" s="1015" t="s">
        <v>304</v>
      </c>
      <c r="N18" s="1017" t="s">
        <v>241</v>
      </c>
      <c r="O18" s="1137">
        <v>46123</v>
      </c>
      <c r="P18" s="1015" t="s">
        <v>305</v>
      </c>
      <c r="Q18" s="1138"/>
      <c r="R18" s="1017"/>
      <c r="S18" s="1017"/>
      <c r="T18" s="46"/>
      <c r="U18" s="1019"/>
      <c r="V18" s="1129"/>
      <c r="W18" s="1019"/>
      <c r="X18" s="1017"/>
      <c r="Y18" s="1017"/>
      <c r="Z18" s="1017"/>
      <c r="AA18" s="1023"/>
      <c r="AB18" s="1017"/>
      <c r="AC18" s="1017"/>
      <c r="AD18" s="1017"/>
      <c r="AE18" s="1017"/>
      <c r="AF18" s="1017"/>
      <c r="AG18" s="1017"/>
    </row>
    <row r="19" spans="1:33">
      <c r="A19" s="1008"/>
      <c r="B19" s="1008"/>
      <c r="C19" s="1015">
        <v>252143</v>
      </c>
      <c r="D19" s="1136">
        <v>41036414</v>
      </c>
      <c r="E19" s="1059" t="s">
        <v>306</v>
      </c>
      <c r="F19" s="1015">
        <v>45</v>
      </c>
      <c r="G19" s="1015">
        <v>45</v>
      </c>
      <c r="H19" s="1017" t="s">
        <v>307</v>
      </c>
      <c r="I19" s="1015">
        <v>938623394</v>
      </c>
      <c r="J19" s="485" t="s">
        <v>238</v>
      </c>
      <c r="K19" s="1019">
        <v>46121</v>
      </c>
      <c r="L19" s="1017" t="s">
        <v>308</v>
      </c>
      <c r="M19" s="1015" t="s">
        <v>225</v>
      </c>
      <c r="N19" s="46" t="s">
        <v>241</v>
      </c>
      <c r="O19" s="253">
        <v>46122</v>
      </c>
      <c r="P19" s="1017"/>
      <c r="Q19" s="1017"/>
      <c r="R19" s="46"/>
      <c r="S19" s="46"/>
      <c r="T19" s="46"/>
      <c r="U19" s="1019"/>
      <c r="V19" s="1127"/>
      <c r="W19" s="1019"/>
      <c r="X19" s="1017"/>
      <c r="Y19" s="1017"/>
      <c r="Z19" s="46"/>
      <c r="AA19" s="253"/>
      <c r="AB19" s="1017"/>
      <c r="AC19" s="1017"/>
      <c r="AD19" s="1017"/>
      <c r="AE19" s="1017"/>
      <c r="AF19" s="1017"/>
      <c r="AG19" s="1017"/>
    </row>
  </sheetData>
  <autoFilter ref="A1:AG19" xr:uid="{A62C41C0-E2DA-4C0A-B1AC-37DB14A2F3D8}">
    <filterColumn colId="27" showButton="0"/>
    <filterColumn colId="28" showButton="0"/>
  </autoFilter>
  <mergeCells count="34">
    <mergeCell ref="W1:W2"/>
    <mergeCell ref="X1:X2"/>
    <mergeCell ref="P1:P2"/>
    <mergeCell ref="K1:K2"/>
    <mergeCell ref="N1:N2"/>
    <mergeCell ref="O1:O2"/>
    <mergeCell ref="U1:U2"/>
    <mergeCell ref="V1:V2"/>
    <mergeCell ref="R1:R2"/>
    <mergeCell ref="Q1:Q2"/>
    <mergeCell ref="L1:L2"/>
    <mergeCell ref="A16:AG16"/>
    <mergeCell ref="A5:AG5"/>
    <mergeCell ref="A9:AG9"/>
    <mergeCell ref="A3:AG3"/>
    <mergeCell ref="Y1:Y2"/>
    <mergeCell ref="Z1:Z2"/>
    <mergeCell ref="AB1:AD1"/>
    <mergeCell ref="AE1:AE2"/>
    <mergeCell ref="AF1:AF2"/>
    <mergeCell ref="AG1:AG2"/>
    <mergeCell ref="S1:S2"/>
    <mergeCell ref="T1:T2"/>
    <mergeCell ref="M1:M2"/>
    <mergeCell ref="F1:F2"/>
    <mergeCell ref="G1:G2"/>
    <mergeCell ref="H1:H2"/>
    <mergeCell ref="I1:I2"/>
    <mergeCell ref="J1:J2"/>
    <mergeCell ref="A1:A2"/>
    <mergeCell ref="B1:B2"/>
    <mergeCell ref="C1:C2"/>
    <mergeCell ref="D1:D2"/>
    <mergeCell ref="E1: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200"/>
  <sheetViews>
    <sheetView workbookViewId="0">
      <pane xSplit="5" topLeftCell="F1" activePane="topRight" state="frozen"/>
      <selection pane="topRight" activeCell="I14" sqref="I14"/>
    </sheetView>
  </sheetViews>
  <sheetFormatPr defaultColWidth="14.42578125" defaultRowHeight="15" customHeight="1"/>
  <cols>
    <col min="1" max="1" width="13.5703125" style="14" hidden="1" customWidth="1"/>
    <col min="2" max="2" width="5.140625" style="14" hidden="1" customWidth="1"/>
    <col min="3" max="3" width="7.140625" style="14" hidden="1" customWidth="1"/>
    <col min="4" max="4" width="8.140625" style="14" hidden="1" customWidth="1"/>
    <col min="5" max="5" width="36.5703125" style="109" customWidth="1"/>
    <col min="6" max="6" width="4.85546875" style="15" customWidth="1"/>
    <col min="7" max="7" width="38.5703125" style="5" customWidth="1"/>
    <col min="8" max="8" width="10.7109375" style="70" bestFit="1" customWidth="1"/>
    <col min="9" max="9" width="15.85546875" style="14" customWidth="1"/>
    <col min="10" max="10" width="26" style="5" customWidth="1"/>
    <col min="11" max="11" width="13" style="70" customWidth="1"/>
    <col min="12" max="12" width="23.7109375" style="5" customWidth="1"/>
    <col min="13" max="13" width="12" style="221" customWidth="1"/>
    <col min="14" max="14" width="25.7109375" style="69" customWidth="1"/>
    <col min="15" max="16" width="14" style="14" customWidth="1"/>
    <col min="17" max="17" width="23.140625" style="14" customWidth="1"/>
    <col min="18" max="18" width="14.5703125" style="14" customWidth="1"/>
    <col min="19" max="19" width="21.7109375" style="5" customWidth="1"/>
    <col min="20" max="20" width="11.42578125" style="5" customWidth="1"/>
    <col min="21" max="24" width="13.7109375" style="5" customWidth="1"/>
    <col min="25" max="25" width="20.140625" style="5" customWidth="1"/>
    <col min="26" max="26" width="12" style="5" customWidth="1"/>
    <col min="27" max="27" width="19.5703125" style="5" customWidth="1"/>
    <col min="28" max="28" width="22.140625" style="5" customWidth="1"/>
    <col min="29" max="29" width="25.140625" style="5" customWidth="1"/>
    <col min="30" max="30" width="12.7109375" style="5" customWidth="1"/>
    <col min="31" max="31" width="16.7109375" style="5" customWidth="1"/>
    <col min="32" max="32" width="17.85546875" style="5" customWidth="1"/>
    <col min="33" max="33" width="18" style="5" customWidth="1"/>
    <col min="34" max="16384" width="14.42578125" style="5"/>
  </cols>
  <sheetData>
    <row r="1" spans="1:33" customFormat="1" ht="31.5" customHeight="1">
      <c r="A1" s="1465" t="s">
        <v>186</v>
      </c>
      <c r="B1" s="1467" t="s">
        <v>187</v>
      </c>
      <c r="C1" s="1469" t="s">
        <v>188</v>
      </c>
      <c r="D1" s="1467" t="s">
        <v>189</v>
      </c>
      <c r="E1" s="1463" t="s">
        <v>190</v>
      </c>
      <c r="F1" s="1463" t="s">
        <v>191</v>
      </c>
      <c r="G1" s="1463" t="s">
        <v>192</v>
      </c>
      <c r="H1" s="1463" t="s">
        <v>193</v>
      </c>
      <c r="I1" s="1463" t="s">
        <v>194</v>
      </c>
      <c r="J1" s="1463" t="s">
        <v>195</v>
      </c>
      <c r="K1" s="1463" t="s">
        <v>196</v>
      </c>
      <c r="L1" s="1463" t="s">
        <v>197</v>
      </c>
      <c r="M1" s="1451" t="s">
        <v>198</v>
      </c>
      <c r="N1" s="1463" t="s">
        <v>199</v>
      </c>
      <c r="O1" s="1460" t="s">
        <v>200</v>
      </c>
      <c r="P1" s="1458" t="s">
        <v>201</v>
      </c>
      <c r="Q1" s="1458" t="s">
        <v>202</v>
      </c>
      <c r="R1" s="1460" t="s">
        <v>203</v>
      </c>
      <c r="S1" s="1460" t="s">
        <v>204</v>
      </c>
      <c r="T1" s="1458" t="s">
        <v>205</v>
      </c>
      <c r="U1" s="1458" t="s">
        <v>206</v>
      </c>
      <c r="V1" s="1458" t="s">
        <v>207</v>
      </c>
      <c r="W1" s="1458" t="s">
        <v>208</v>
      </c>
      <c r="X1" s="1458" t="s">
        <v>205</v>
      </c>
      <c r="Y1" s="1458" t="s">
        <v>206</v>
      </c>
      <c r="Z1" s="1460" t="s">
        <v>209</v>
      </c>
      <c r="AA1" s="470" t="s">
        <v>210</v>
      </c>
      <c r="AB1" s="1461" t="s">
        <v>211</v>
      </c>
      <c r="AC1" s="1461"/>
      <c r="AD1" s="1461"/>
      <c r="AE1" s="1462" t="s">
        <v>212</v>
      </c>
      <c r="AF1" s="1462" t="s">
        <v>213</v>
      </c>
      <c r="AG1" s="1464" t="s">
        <v>214</v>
      </c>
    </row>
    <row r="2" spans="1:33" s="16" customFormat="1" ht="17.25" customHeight="1">
      <c r="A2" s="1466"/>
      <c r="B2" s="1467"/>
      <c r="C2" s="1470"/>
      <c r="D2" s="1468"/>
      <c r="E2" s="1463"/>
      <c r="F2" s="1463"/>
      <c r="G2" s="1463"/>
      <c r="H2" s="1463"/>
      <c r="I2" s="1463"/>
      <c r="J2" s="1463"/>
      <c r="K2" s="1463"/>
      <c r="L2" s="1463"/>
      <c r="M2" s="1451"/>
      <c r="N2" s="1463"/>
      <c r="O2" s="1460"/>
      <c r="P2" s="1459"/>
      <c r="Q2" s="1459"/>
      <c r="R2" s="1460"/>
      <c r="S2" s="1460"/>
      <c r="T2" s="1459"/>
      <c r="U2" s="1459"/>
      <c r="V2" s="1459"/>
      <c r="W2" s="1459"/>
      <c r="X2" s="1459"/>
      <c r="Y2" s="1459"/>
      <c r="Z2" s="1460"/>
      <c r="AA2" s="1402" t="s">
        <v>215</v>
      </c>
      <c r="AB2" s="110" t="s">
        <v>216</v>
      </c>
      <c r="AC2" s="110" t="s">
        <v>217</v>
      </c>
      <c r="AD2" s="1402" t="s">
        <v>218</v>
      </c>
      <c r="AE2" s="1462"/>
      <c r="AF2" s="1462"/>
      <c r="AG2" s="1464"/>
    </row>
    <row r="3" spans="1:33" ht="14.25" customHeight="1">
      <c r="A3" s="526">
        <v>46024</v>
      </c>
      <c r="B3" s="320">
        <v>1</v>
      </c>
      <c r="C3" s="158">
        <v>233570</v>
      </c>
      <c r="D3" s="156">
        <v>15603032</v>
      </c>
      <c r="E3" s="73" t="s">
        <v>309</v>
      </c>
      <c r="F3" s="158">
        <v>60</v>
      </c>
      <c r="G3" s="73" t="s">
        <v>310</v>
      </c>
      <c r="H3" s="42" t="s">
        <v>278</v>
      </c>
      <c r="I3" s="320">
        <v>9990707504</v>
      </c>
      <c r="J3" s="42" t="s">
        <v>238</v>
      </c>
      <c r="K3" s="493">
        <v>46024</v>
      </c>
      <c r="L3" s="140" t="s">
        <v>311</v>
      </c>
      <c r="M3" s="484" t="s">
        <v>312</v>
      </c>
      <c r="N3" s="140" t="s">
        <v>241</v>
      </c>
      <c r="O3" s="489">
        <v>46027</v>
      </c>
      <c r="P3" s="239"/>
      <c r="Q3" s="308">
        <v>46023</v>
      </c>
      <c r="R3" s="43"/>
      <c r="S3" s="43"/>
      <c r="T3" s="43"/>
      <c r="U3" s="43"/>
      <c r="V3" s="113"/>
      <c r="W3" s="42"/>
      <c r="X3" s="42"/>
      <c r="Y3" s="42"/>
      <c r="Z3" s="13"/>
      <c r="AA3" s="67"/>
      <c r="AB3" s="67"/>
      <c r="AC3" s="67"/>
      <c r="AD3" s="67"/>
      <c r="AE3" s="67"/>
      <c r="AF3" s="67"/>
      <c r="AG3" s="67"/>
    </row>
    <row r="4" spans="1:33" ht="15" customHeight="1">
      <c r="A4" s="493"/>
      <c r="B4" s="320">
        <v>2</v>
      </c>
      <c r="C4" s="158">
        <v>174570</v>
      </c>
      <c r="D4" s="158">
        <v>15732422</v>
      </c>
      <c r="E4" s="73" t="s">
        <v>313</v>
      </c>
      <c r="F4" s="158">
        <v>52</v>
      </c>
      <c r="G4" s="73" t="s">
        <v>314</v>
      </c>
      <c r="H4" s="42" t="s">
        <v>301</v>
      </c>
      <c r="I4" s="320" t="s">
        <v>315</v>
      </c>
      <c r="J4" s="42" t="s">
        <v>302</v>
      </c>
      <c r="K4" s="493">
        <v>45659</v>
      </c>
      <c r="L4" s="140" t="s">
        <v>316</v>
      </c>
      <c r="M4" s="484" t="s">
        <v>230</v>
      </c>
      <c r="N4" s="140" t="s">
        <v>317</v>
      </c>
      <c r="O4" s="486">
        <v>46035</v>
      </c>
      <c r="P4" s="239" t="s">
        <v>292</v>
      </c>
      <c r="Q4" s="308">
        <v>46023</v>
      </c>
      <c r="R4" s="320" t="s">
        <v>318</v>
      </c>
      <c r="S4" s="43"/>
      <c r="T4" s="43"/>
      <c r="U4" s="43"/>
      <c r="V4" s="42"/>
      <c r="W4" s="42"/>
      <c r="X4" s="42"/>
      <c r="Y4" s="42"/>
      <c r="Z4" s="67"/>
      <c r="AA4" s="67"/>
      <c r="AB4" s="67"/>
      <c r="AC4" s="67"/>
      <c r="AD4" s="67"/>
      <c r="AE4" s="67"/>
      <c r="AF4" s="67"/>
      <c r="AG4" s="67"/>
    </row>
    <row r="5" spans="1:33" ht="15" customHeight="1">
      <c r="A5" s="320"/>
      <c r="B5" s="320">
        <v>3</v>
      </c>
      <c r="C5" s="158">
        <v>206470</v>
      </c>
      <c r="D5" s="156">
        <v>42264397</v>
      </c>
      <c r="E5" s="73" t="s">
        <v>319</v>
      </c>
      <c r="F5" s="158">
        <v>43</v>
      </c>
      <c r="G5" s="73" t="s">
        <v>320</v>
      </c>
      <c r="H5" s="42" t="s">
        <v>222</v>
      </c>
      <c r="I5" s="320">
        <v>944229808</v>
      </c>
      <c r="J5" s="42" t="s">
        <v>238</v>
      </c>
      <c r="K5" s="493">
        <v>46024</v>
      </c>
      <c r="L5" s="140" t="s">
        <v>321</v>
      </c>
      <c r="M5" s="484" t="s">
        <v>230</v>
      </c>
      <c r="N5" s="140" t="s">
        <v>241</v>
      </c>
      <c r="O5" s="489">
        <v>46027</v>
      </c>
      <c r="P5" s="239"/>
      <c r="Q5" s="308">
        <v>46023</v>
      </c>
      <c r="R5" s="115">
        <v>46025</v>
      </c>
      <c r="S5" s="42" t="s">
        <v>322</v>
      </c>
      <c r="T5" s="42" t="s">
        <v>323</v>
      </c>
      <c r="U5" s="320"/>
      <c r="V5" s="320"/>
      <c r="W5" s="320"/>
      <c r="X5" s="320"/>
      <c r="Y5" s="320"/>
      <c r="Z5" s="68"/>
      <c r="AA5" s="68"/>
      <c r="AB5" s="67"/>
      <c r="AC5" s="67"/>
      <c r="AD5" s="67"/>
      <c r="AE5" s="67"/>
      <c r="AF5" s="67"/>
      <c r="AG5" s="67"/>
    </row>
    <row r="6" spans="1:33" ht="15" customHeight="1">
      <c r="A6" s="320"/>
      <c r="B6" s="320">
        <v>4</v>
      </c>
      <c r="C6" s="158">
        <v>72759</v>
      </c>
      <c r="D6" s="158">
        <v>80589147</v>
      </c>
      <c r="E6" s="73" t="s">
        <v>324</v>
      </c>
      <c r="F6" s="158">
        <v>48</v>
      </c>
      <c r="G6" s="73" t="s">
        <v>325</v>
      </c>
      <c r="H6" s="42" t="s">
        <v>326</v>
      </c>
      <c r="I6" s="320" t="s">
        <v>327</v>
      </c>
      <c r="J6" s="42" t="s">
        <v>328</v>
      </c>
      <c r="K6" s="493">
        <v>46024</v>
      </c>
      <c r="L6" s="142" t="s">
        <v>329</v>
      </c>
      <c r="M6" s="521" t="s">
        <v>312</v>
      </c>
      <c r="N6" s="142" t="s">
        <v>330</v>
      </c>
      <c r="O6" s="486">
        <v>46035</v>
      </c>
      <c r="P6" s="239" t="s">
        <v>292</v>
      </c>
      <c r="Q6" s="308">
        <v>46054</v>
      </c>
      <c r="R6" s="320" t="s">
        <v>318</v>
      </c>
      <c r="S6" s="43"/>
      <c r="T6" s="43"/>
      <c r="U6" s="43"/>
      <c r="V6" s="42"/>
      <c r="W6" s="42"/>
      <c r="X6" s="42"/>
      <c r="Y6" s="42"/>
      <c r="Z6" s="67"/>
      <c r="AA6" s="67"/>
      <c r="AB6" s="67"/>
      <c r="AC6" s="67"/>
      <c r="AD6" s="67"/>
      <c r="AE6" s="67"/>
      <c r="AF6" s="67"/>
      <c r="AG6" s="67"/>
    </row>
    <row r="7" spans="1:33" ht="15" customHeight="1">
      <c r="A7" s="526">
        <v>46027</v>
      </c>
      <c r="B7" s="320">
        <v>5</v>
      </c>
      <c r="C7" s="158">
        <v>518643</v>
      </c>
      <c r="D7" s="158">
        <v>40129751</v>
      </c>
      <c r="E7" s="73" t="s">
        <v>331</v>
      </c>
      <c r="F7" s="158">
        <v>49</v>
      </c>
      <c r="G7" s="73" t="s">
        <v>332</v>
      </c>
      <c r="H7" s="42" t="s">
        <v>222</v>
      </c>
      <c r="I7" s="320">
        <v>944324168</v>
      </c>
      <c r="J7" s="42" t="s">
        <v>223</v>
      </c>
      <c r="K7" s="493">
        <v>46027</v>
      </c>
      <c r="L7" s="140" t="s">
        <v>333</v>
      </c>
      <c r="M7" s="484" t="s">
        <v>230</v>
      </c>
      <c r="N7" s="140" t="s">
        <v>317</v>
      </c>
      <c r="O7" s="486">
        <v>46035</v>
      </c>
      <c r="P7" s="239" t="s">
        <v>292</v>
      </c>
      <c r="Q7" s="413" t="s">
        <v>334</v>
      </c>
      <c r="R7" s="320" t="s">
        <v>318</v>
      </c>
      <c r="S7" s="43"/>
      <c r="T7" s="43"/>
      <c r="U7" s="43"/>
      <c r="V7" s="42"/>
      <c r="W7" s="42"/>
      <c r="X7" s="42"/>
      <c r="Y7" s="42"/>
      <c r="Z7" s="67"/>
      <c r="AA7" s="67"/>
      <c r="AB7" s="67"/>
      <c r="AC7" s="67"/>
      <c r="AD7" s="67"/>
      <c r="AE7" s="67"/>
      <c r="AF7" s="67"/>
      <c r="AG7" s="67"/>
    </row>
    <row r="8" spans="1:33" ht="15" customHeight="1">
      <c r="A8" s="320"/>
      <c r="B8" s="320">
        <v>6</v>
      </c>
      <c r="C8" s="158">
        <v>336756</v>
      </c>
      <c r="D8" s="158">
        <v>16009187</v>
      </c>
      <c r="E8" s="73" t="s">
        <v>335</v>
      </c>
      <c r="F8" s="158">
        <v>58</v>
      </c>
      <c r="G8" s="73" t="s">
        <v>336</v>
      </c>
      <c r="H8" s="42" t="s">
        <v>301</v>
      </c>
      <c r="I8" s="320" t="s">
        <v>337</v>
      </c>
      <c r="J8" s="42" t="s">
        <v>302</v>
      </c>
      <c r="K8" s="493">
        <v>46027</v>
      </c>
      <c r="L8" s="140" t="s">
        <v>338</v>
      </c>
      <c r="M8" s="484" t="s">
        <v>312</v>
      </c>
      <c r="N8" s="140" t="s">
        <v>317</v>
      </c>
      <c r="O8" s="486">
        <v>46035</v>
      </c>
      <c r="P8" s="239" t="s">
        <v>292</v>
      </c>
      <c r="Q8" s="415" t="s">
        <v>339</v>
      </c>
      <c r="R8" s="320" t="s">
        <v>318</v>
      </c>
      <c r="S8" s="43"/>
      <c r="T8" s="43"/>
      <c r="U8" s="43"/>
      <c r="V8" s="42"/>
      <c r="W8" s="42"/>
      <c r="X8" s="42"/>
      <c r="Y8" s="42"/>
      <c r="Z8" s="67"/>
      <c r="AA8" s="67"/>
      <c r="AB8" s="67"/>
      <c r="AC8" s="67"/>
      <c r="AD8" s="67"/>
      <c r="AE8" s="67"/>
      <c r="AF8" s="67"/>
      <c r="AG8" s="67"/>
    </row>
    <row r="9" spans="1:33" ht="15" customHeight="1">
      <c r="A9" s="320"/>
      <c r="B9" s="320">
        <v>7</v>
      </c>
      <c r="C9" s="158">
        <v>114098</v>
      </c>
      <c r="D9" s="158">
        <v>42146187</v>
      </c>
      <c r="E9" s="73" t="s">
        <v>340</v>
      </c>
      <c r="F9" s="158">
        <v>42</v>
      </c>
      <c r="G9" s="73" t="s">
        <v>341</v>
      </c>
      <c r="H9" s="42" t="s">
        <v>237</v>
      </c>
      <c r="I9" s="320" t="s">
        <v>342</v>
      </c>
      <c r="J9" s="42" t="s">
        <v>343</v>
      </c>
      <c r="K9" s="493">
        <v>46027</v>
      </c>
      <c r="L9" s="140" t="s">
        <v>344</v>
      </c>
      <c r="M9" s="484" t="s">
        <v>312</v>
      </c>
      <c r="N9" s="140" t="s">
        <v>241</v>
      </c>
      <c r="O9" s="486">
        <v>46035</v>
      </c>
      <c r="P9" s="239" t="s">
        <v>292</v>
      </c>
      <c r="Q9" s="413" t="s">
        <v>334</v>
      </c>
      <c r="R9" s="320" t="s">
        <v>318</v>
      </c>
      <c r="S9" s="43"/>
      <c r="T9" s="43"/>
      <c r="U9" s="43"/>
      <c r="V9" s="42"/>
      <c r="W9" s="42"/>
      <c r="X9" s="42"/>
      <c r="Y9" s="42"/>
      <c r="Z9" s="67"/>
      <c r="AA9" s="67"/>
      <c r="AB9" s="67"/>
      <c r="AC9" s="67"/>
      <c r="AD9" s="67"/>
      <c r="AE9" s="67"/>
      <c r="AF9" s="67"/>
      <c r="AG9" s="67"/>
    </row>
    <row r="10" spans="1:33" ht="15" customHeight="1">
      <c r="A10" s="474"/>
      <c r="B10" s="320">
        <v>8</v>
      </c>
      <c r="C10" s="161">
        <v>161839</v>
      </c>
      <c r="D10" s="161">
        <v>43180625</v>
      </c>
      <c r="E10" s="160" t="s">
        <v>220</v>
      </c>
      <c r="F10" s="161">
        <v>40</v>
      </c>
      <c r="G10" s="160" t="s">
        <v>221</v>
      </c>
      <c r="H10" s="116" t="s">
        <v>222</v>
      </c>
      <c r="I10" s="474">
        <v>989178087</v>
      </c>
      <c r="J10" s="116" t="s">
        <v>223</v>
      </c>
      <c r="K10" s="495">
        <v>46027</v>
      </c>
      <c r="L10" s="840" t="s">
        <v>224</v>
      </c>
      <c r="M10" s="850" t="s">
        <v>225</v>
      </c>
      <c r="N10" s="840" t="s">
        <v>226</v>
      </c>
      <c r="O10" s="487">
        <v>45666</v>
      </c>
      <c r="P10" s="120" t="s">
        <v>227</v>
      </c>
      <c r="Q10" s="312">
        <v>46023</v>
      </c>
      <c r="R10" s="309">
        <v>46023</v>
      </c>
      <c r="S10" s="474" t="s">
        <v>229</v>
      </c>
      <c r="T10" s="474" t="s">
        <v>230</v>
      </c>
      <c r="U10" s="474" t="s">
        <v>231</v>
      </c>
      <c r="V10" s="494">
        <v>45971</v>
      </c>
      <c r="W10" s="476" t="s">
        <v>232</v>
      </c>
      <c r="X10" s="476" t="s">
        <v>225</v>
      </c>
      <c r="Y10" s="476" t="s">
        <v>233</v>
      </c>
      <c r="Z10" s="67"/>
      <c r="AA10" s="67"/>
      <c r="AB10" s="67"/>
      <c r="AC10" s="67"/>
      <c r="AD10" s="67"/>
      <c r="AE10" s="67"/>
      <c r="AF10" s="67"/>
      <c r="AG10" s="67"/>
    </row>
    <row r="11" spans="1:33" ht="15" customHeight="1">
      <c r="A11" s="527">
        <v>46029</v>
      </c>
      <c r="B11" s="320">
        <v>9</v>
      </c>
      <c r="C11" s="164">
        <v>213888</v>
      </c>
      <c r="D11" s="164">
        <v>15693802</v>
      </c>
      <c r="E11" s="163" t="s">
        <v>345</v>
      </c>
      <c r="F11" s="164">
        <v>58</v>
      </c>
      <c r="G11" s="163" t="s">
        <v>346</v>
      </c>
      <c r="H11" s="118" t="s">
        <v>237</v>
      </c>
      <c r="I11" s="475">
        <v>951212627</v>
      </c>
      <c r="J11" s="118" t="s">
        <v>347</v>
      </c>
      <c r="K11" s="496">
        <v>46027</v>
      </c>
      <c r="L11" s="841" t="s">
        <v>348</v>
      </c>
      <c r="M11" s="851" t="s">
        <v>323</v>
      </c>
      <c r="N11" s="841" t="s">
        <v>349</v>
      </c>
      <c r="O11" s="488">
        <v>46035</v>
      </c>
      <c r="P11" s="240" t="s">
        <v>292</v>
      </c>
      <c r="Q11" s="413" t="s">
        <v>334</v>
      </c>
      <c r="R11" s="475" t="s">
        <v>350</v>
      </c>
      <c r="S11" s="143"/>
      <c r="T11" s="143"/>
      <c r="U11" s="143"/>
      <c r="V11" s="118"/>
      <c r="W11" s="118"/>
      <c r="X11" s="118"/>
      <c r="Y11" s="118"/>
      <c r="Z11" s="67"/>
      <c r="AA11" s="67"/>
      <c r="AB11" s="67"/>
      <c r="AC11" s="67"/>
      <c r="AD11" s="67"/>
      <c r="AE11" s="67"/>
      <c r="AF11" s="67"/>
      <c r="AG11" s="67"/>
    </row>
    <row r="12" spans="1:33" ht="15" customHeight="1">
      <c r="A12" s="474" t="s">
        <v>219</v>
      </c>
      <c r="B12" s="320">
        <v>10</v>
      </c>
      <c r="C12" s="161">
        <v>519217</v>
      </c>
      <c r="D12" s="165" t="s">
        <v>351</v>
      </c>
      <c r="E12" s="160" t="s">
        <v>352</v>
      </c>
      <c r="F12" s="161">
        <v>53</v>
      </c>
      <c r="G12" s="160" t="s">
        <v>353</v>
      </c>
      <c r="H12" s="116" t="s">
        <v>354</v>
      </c>
      <c r="I12" s="116">
        <v>985322628</v>
      </c>
      <c r="J12" s="116" t="s">
        <v>164</v>
      </c>
      <c r="K12" s="495">
        <v>45947</v>
      </c>
      <c r="L12" s="840" t="s">
        <v>355</v>
      </c>
      <c r="M12" s="484" t="s">
        <v>260</v>
      </c>
      <c r="N12" s="840" t="s">
        <v>356</v>
      </c>
      <c r="O12" s="487">
        <v>45978</v>
      </c>
      <c r="P12" s="120" t="s">
        <v>357</v>
      </c>
      <c r="Q12" s="471" t="s">
        <v>358</v>
      </c>
      <c r="R12" s="132"/>
      <c r="S12" s="132"/>
      <c r="T12" s="132"/>
      <c r="U12" s="132"/>
      <c r="V12" s="117">
        <v>46029</v>
      </c>
      <c r="W12" s="211" t="s">
        <v>359</v>
      </c>
      <c r="X12" s="116" t="s">
        <v>225</v>
      </c>
      <c r="Y12" s="116" t="s">
        <v>360</v>
      </c>
      <c r="Z12" s="67"/>
      <c r="AA12" s="67"/>
      <c r="AB12" s="67"/>
      <c r="AC12" s="67"/>
      <c r="AD12" s="67"/>
      <c r="AE12" s="67"/>
      <c r="AF12" s="67"/>
      <c r="AG12" s="67"/>
    </row>
    <row r="13" spans="1:33" ht="15" customHeight="1">
      <c r="A13" s="504"/>
      <c r="B13" s="320">
        <v>11</v>
      </c>
      <c r="C13" s="168">
        <v>102323</v>
      </c>
      <c r="D13" s="166">
        <v>15584235</v>
      </c>
      <c r="E13" s="167" t="s">
        <v>361</v>
      </c>
      <c r="F13" s="168">
        <v>62</v>
      </c>
      <c r="G13" s="167" t="s">
        <v>362</v>
      </c>
      <c r="H13" s="119" t="s">
        <v>278</v>
      </c>
      <c r="I13" s="504">
        <v>957375090</v>
      </c>
      <c r="J13" s="119" t="s">
        <v>238</v>
      </c>
      <c r="K13" s="518">
        <v>46029</v>
      </c>
      <c r="L13" s="140" t="s">
        <v>363</v>
      </c>
      <c r="M13" s="484" t="s">
        <v>230</v>
      </c>
      <c r="N13" s="140" t="s">
        <v>317</v>
      </c>
      <c r="O13" s="522">
        <v>46031</v>
      </c>
      <c r="P13" s="129"/>
      <c r="Q13" s="310">
        <v>46054</v>
      </c>
      <c r="R13" s="504"/>
      <c r="S13" s="504"/>
      <c r="T13" s="504"/>
      <c r="U13" s="504"/>
      <c r="V13" s="504"/>
      <c r="W13" s="504"/>
      <c r="X13" s="504"/>
      <c r="Y13" s="504"/>
      <c r="Z13" s="68"/>
      <c r="AA13" s="68"/>
      <c r="AB13" s="67"/>
      <c r="AC13" s="67"/>
      <c r="AD13" s="67"/>
      <c r="AE13" s="67"/>
      <c r="AF13" s="67"/>
      <c r="AG13" s="67"/>
    </row>
    <row r="14" spans="1:33" ht="15" customHeight="1">
      <c r="A14" s="320"/>
      <c r="B14" s="320">
        <v>12</v>
      </c>
      <c r="C14" s="158">
        <v>54382</v>
      </c>
      <c r="D14" s="156">
        <v>15725364</v>
      </c>
      <c r="E14" s="73" t="s">
        <v>364</v>
      </c>
      <c r="F14" s="158">
        <v>55</v>
      </c>
      <c r="G14" s="73" t="s">
        <v>365</v>
      </c>
      <c r="H14" s="42" t="s">
        <v>278</v>
      </c>
      <c r="I14" s="320">
        <v>957710672</v>
      </c>
      <c r="J14" s="42" t="s">
        <v>238</v>
      </c>
      <c r="K14" s="493">
        <v>46029</v>
      </c>
      <c r="L14" s="140" t="s">
        <v>363</v>
      </c>
      <c r="M14" s="484" t="s">
        <v>230</v>
      </c>
      <c r="N14" s="140" t="s">
        <v>317</v>
      </c>
      <c r="O14" s="522">
        <v>46031</v>
      </c>
      <c r="P14" s="239"/>
      <c r="Q14" s="308">
        <v>46023</v>
      </c>
      <c r="R14" s="320"/>
      <c r="S14" s="320"/>
      <c r="T14" s="320"/>
      <c r="U14" s="320"/>
      <c r="V14" s="320"/>
      <c r="W14" s="320"/>
      <c r="X14" s="320"/>
      <c r="Y14" s="320"/>
      <c r="Z14" s="68"/>
      <c r="AA14" s="68"/>
      <c r="AB14" s="67"/>
      <c r="AC14" s="67"/>
      <c r="AD14" s="67"/>
      <c r="AE14" s="67"/>
      <c r="AF14" s="67"/>
      <c r="AG14" s="67"/>
    </row>
    <row r="15" spans="1:33" ht="15" customHeight="1">
      <c r="A15" s="475"/>
      <c r="B15" s="320">
        <v>13</v>
      </c>
      <c r="C15" s="164">
        <v>46455</v>
      </c>
      <c r="D15" s="162">
        <v>15737686</v>
      </c>
      <c r="E15" s="163" t="s">
        <v>366</v>
      </c>
      <c r="F15" s="164">
        <v>51</v>
      </c>
      <c r="G15" s="163" t="s">
        <v>367</v>
      </c>
      <c r="H15" s="118" t="s">
        <v>278</v>
      </c>
      <c r="I15" s="475">
        <v>972968934</v>
      </c>
      <c r="J15" s="118" t="s">
        <v>238</v>
      </c>
      <c r="K15" s="496">
        <v>46029</v>
      </c>
      <c r="L15" s="841" t="s">
        <v>368</v>
      </c>
      <c r="M15" s="851" t="s">
        <v>323</v>
      </c>
      <c r="N15" s="841" t="s">
        <v>241</v>
      </c>
      <c r="O15" s="523">
        <v>46031</v>
      </c>
      <c r="P15" s="240"/>
      <c r="Q15" s="413" t="s">
        <v>334</v>
      </c>
      <c r="R15" s="475"/>
      <c r="S15" s="475"/>
      <c r="T15" s="475"/>
      <c r="U15" s="475"/>
      <c r="V15" s="475"/>
      <c r="W15" s="475"/>
      <c r="X15" s="475"/>
      <c r="Y15" s="475"/>
      <c r="Z15" s="68"/>
      <c r="AA15" s="68"/>
      <c r="AB15" s="67"/>
      <c r="AC15" s="67"/>
      <c r="AD15" s="67"/>
      <c r="AE15" s="67"/>
      <c r="AF15" s="67"/>
      <c r="AG15" s="67"/>
    </row>
    <row r="16" spans="1:33" ht="15" customHeight="1">
      <c r="A16" s="320"/>
      <c r="B16" s="320">
        <v>14</v>
      </c>
      <c r="C16" s="158">
        <v>521700</v>
      </c>
      <c r="D16" s="156">
        <v>16016259</v>
      </c>
      <c r="E16" s="73" t="s">
        <v>369</v>
      </c>
      <c r="F16" s="158">
        <v>56</v>
      </c>
      <c r="G16" s="73" t="s">
        <v>370</v>
      </c>
      <c r="H16" s="42" t="s">
        <v>271</v>
      </c>
      <c r="I16" s="42">
        <v>952600320</v>
      </c>
      <c r="J16" s="42" t="s">
        <v>164</v>
      </c>
      <c r="K16" s="493">
        <v>46029</v>
      </c>
      <c r="L16" s="140" t="s">
        <v>371</v>
      </c>
      <c r="M16" s="484" t="s">
        <v>230</v>
      </c>
      <c r="N16" s="140" t="s">
        <v>317</v>
      </c>
      <c r="O16" s="522">
        <v>46031</v>
      </c>
      <c r="P16" s="239" t="s">
        <v>372</v>
      </c>
      <c r="Q16" s="471" t="s">
        <v>358</v>
      </c>
      <c r="R16" s="43"/>
      <c r="S16" s="43"/>
      <c r="T16" s="43"/>
      <c r="U16" s="43"/>
      <c r="V16" s="42"/>
      <c r="W16" s="42"/>
      <c r="X16" s="42"/>
      <c r="Y16" s="42"/>
      <c r="Z16" s="68"/>
      <c r="AA16" s="68"/>
      <c r="AB16" s="68"/>
      <c r="AC16" s="68"/>
      <c r="AD16" s="68"/>
      <c r="AE16" s="68"/>
      <c r="AF16" s="68"/>
      <c r="AG16" s="68"/>
    </row>
    <row r="17" spans="1:33" ht="15" customHeight="1">
      <c r="A17" s="526">
        <v>46030</v>
      </c>
      <c r="B17" s="320">
        <v>15</v>
      </c>
      <c r="C17" s="158">
        <v>521736</v>
      </c>
      <c r="D17" s="158">
        <v>43171088</v>
      </c>
      <c r="E17" s="73" t="s">
        <v>373</v>
      </c>
      <c r="F17" s="158">
        <v>43</v>
      </c>
      <c r="G17" s="73" t="s">
        <v>374</v>
      </c>
      <c r="H17" s="42" t="s">
        <v>326</v>
      </c>
      <c r="I17" s="320">
        <v>900164462</v>
      </c>
      <c r="J17" s="42" t="s">
        <v>375</v>
      </c>
      <c r="K17" s="493">
        <v>46030</v>
      </c>
      <c r="L17" s="222" t="s">
        <v>376</v>
      </c>
      <c r="M17" s="484" t="s">
        <v>230</v>
      </c>
      <c r="N17" s="140" t="s">
        <v>317</v>
      </c>
      <c r="O17" s="489">
        <v>46038</v>
      </c>
      <c r="P17" s="239" t="s">
        <v>292</v>
      </c>
      <c r="Q17" s="416" t="s">
        <v>377</v>
      </c>
      <c r="R17" s="472" t="s">
        <v>318</v>
      </c>
      <c r="S17" s="43"/>
      <c r="T17" s="43"/>
      <c r="U17" s="43"/>
      <c r="V17" s="42"/>
      <c r="W17" s="42"/>
      <c r="X17" s="42"/>
      <c r="Y17" s="42"/>
      <c r="Z17" s="67"/>
      <c r="AA17" s="67"/>
      <c r="AB17" s="67"/>
      <c r="AC17" s="67"/>
      <c r="AD17" s="67"/>
      <c r="AE17" s="67"/>
      <c r="AF17" s="67"/>
      <c r="AG17" s="67"/>
    </row>
    <row r="18" spans="1:33" ht="15" customHeight="1">
      <c r="A18" s="320"/>
      <c r="B18" s="320">
        <v>16</v>
      </c>
      <c r="C18" s="158">
        <v>158322</v>
      </c>
      <c r="D18" s="158">
        <v>15762184</v>
      </c>
      <c r="E18" s="73" t="s">
        <v>378</v>
      </c>
      <c r="F18" s="158">
        <v>48</v>
      </c>
      <c r="G18" s="73" t="s">
        <v>379</v>
      </c>
      <c r="H18" s="42" t="s">
        <v>301</v>
      </c>
      <c r="I18" s="320">
        <v>991952265</v>
      </c>
      <c r="J18" s="42" t="s">
        <v>380</v>
      </c>
      <c r="K18" s="493">
        <v>46030</v>
      </c>
      <c r="L18" s="140" t="s">
        <v>381</v>
      </c>
      <c r="M18" s="484" t="s">
        <v>312</v>
      </c>
      <c r="N18" s="140" t="s">
        <v>317</v>
      </c>
      <c r="O18" s="489">
        <v>46038</v>
      </c>
      <c r="P18" s="239" t="s">
        <v>292</v>
      </c>
      <c r="Q18" s="415" t="s">
        <v>339</v>
      </c>
      <c r="R18" s="472" t="s">
        <v>318</v>
      </c>
      <c r="S18" s="43"/>
      <c r="T18" s="43"/>
      <c r="U18" s="43"/>
      <c r="V18" s="42"/>
      <c r="W18" s="42"/>
      <c r="X18" s="42"/>
      <c r="Y18" s="42"/>
      <c r="Z18" s="67"/>
      <c r="AA18" s="67"/>
      <c r="AB18" s="67"/>
      <c r="AC18" s="67"/>
      <c r="AD18" s="67"/>
      <c r="AE18" s="67"/>
      <c r="AF18" s="67"/>
      <c r="AG18" s="67"/>
    </row>
    <row r="19" spans="1:33" ht="15" customHeight="1">
      <c r="A19" s="320"/>
      <c r="B19" s="320">
        <v>17</v>
      </c>
      <c r="C19" s="158">
        <v>307929</v>
      </c>
      <c r="D19" s="158">
        <v>40942948</v>
      </c>
      <c r="E19" s="73" t="s">
        <v>382</v>
      </c>
      <c r="F19" s="158">
        <v>47</v>
      </c>
      <c r="G19" s="73" t="s">
        <v>383</v>
      </c>
      <c r="H19" s="42" t="s">
        <v>278</v>
      </c>
      <c r="I19" s="320">
        <v>977411505</v>
      </c>
      <c r="J19" s="42" t="s">
        <v>384</v>
      </c>
      <c r="K19" s="493">
        <v>46030</v>
      </c>
      <c r="L19" s="140" t="s">
        <v>381</v>
      </c>
      <c r="M19" s="484" t="s">
        <v>312</v>
      </c>
      <c r="N19" s="140" t="s">
        <v>317</v>
      </c>
      <c r="O19" s="489">
        <v>46038</v>
      </c>
      <c r="P19" s="239" t="s">
        <v>292</v>
      </c>
      <c r="Q19" s="413" t="s">
        <v>385</v>
      </c>
      <c r="R19" s="472" t="s">
        <v>318</v>
      </c>
      <c r="S19" s="43"/>
      <c r="T19" s="43"/>
      <c r="U19" s="43"/>
      <c r="V19" s="42"/>
      <c r="W19" s="42"/>
      <c r="X19" s="42"/>
      <c r="Y19" s="42"/>
      <c r="Z19" s="67"/>
      <c r="AA19" s="67"/>
      <c r="AB19" s="67"/>
      <c r="AC19" s="67"/>
      <c r="AD19" s="67"/>
      <c r="AE19" s="67"/>
      <c r="AF19" s="67"/>
      <c r="AG19" s="67"/>
    </row>
    <row r="20" spans="1:33" ht="15" customHeight="1">
      <c r="A20" s="526">
        <v>45666</v>
      </c>
      <c r="B20" s="320">
        <v>18</v>
      </c>
      <c r="C20" s="158">
        <v>210289</v>
      </c>
      <c r="D20" s="156">
        <v>40637342</v>
      </c>
      <c r="E20" s="73" t="s">
        <v>386</v>
      </c>
      <c r="F20" s="158">
        <v>47</v>
      </c>
      <c r="G20" s="73" t="s">
        <v>387</v>
      </c>
      <c r="H20" s="42" t="s">
        <v>237</v>
      </c>
      <c r="I20" s="320">
        <v>933245309</v>
      </c>
      <c r="J20" s="42" t="s">
        <v>238</v>
      </c>
      <c r="K20" s="493">
        <v>46031</v>
      </c>
      <c r="L20" s="140" t="s">
        <v>388</v>
      </c>
      <c r="M20" s="484" t="s">
        <v>230</v>
      </c>
      <c r="N20" s="140" t="s">
        <v>241</v>
      </c>
      <c r="O20" s="489">
        <v>46038</v>
      </c>
      <c r="P20" s="239"/>
      <c r="Q20" s="308">
        <v>46023</v>
      </c>
      <c r="R20" s="320"/>
      <c r="S20" s="320"/>
      <c r="T20" s="320"/>
      <c r="U20" s="320"/>
      <c r="V20" s="320"/>
      <c r="W20" s="320"/>
      <c r="X20" s="320"/>
      <c r="Y20" s="320"/>
      <c r="Z20" s="68"/>
      <c r="AA20" s="68"/>
      <c r="AB20" s="68"/>
      <c r="AC20" s="68"/>
      <c r="AD20" s="68"/>
      <c r="AE20" s="68"/>
      <c r="AF20" s="68"/>
      <c r="AG20" s="68"/>
    </row>
    <row r="21" spans="1:33" ht="15" customHeight="1">
      <c r="A21" s="320"/>
      <c r="B21" s="320">
        <v>19</v>
      </c>
      <c r="C21" s="158">
        <v>65717</v>
      </c>
      <c r="D21" s="158">
        <v>15757461</v>
      </c>
      <c r="E21" s="73" t="s">
        <v>389</v>
      </c>
      <c r="F21" s="158">
        <v>49</v>
      </c>
      <c r="G21" s="73" t="s">
        <v>390</v>
      </c>
      <c r="H21" s="42" t="s">
        <v>326</v>
      </c>
      <c r="I21" s="320" t="s">
        <v>391</v>
      </c>
      <c r="J21" s="42" t="s">
        <v>375</v>
      </c>
      <c r="K21" s="493">
        <v>46031</v>
      </c>
      <c r="L21" s="140" t="s">
        <v>376</v>
      </c>
      <c r="M21" s="484" t="s">
        <v>230</v>
      </c>
      <c r="N21" s="140" t="s">
        <v>317</v>
      </c>
      <c r="O21" s="489">
        <v>46038</v>
      </c>
      <c r="P21" s="239" t="s">
        <v>292</v>
      </c>
      <c r="Q21" s="308">
        <v>46023</v>
      </c>
      <c r="R21" s="472" t="s">
        <v>318</v>
      </c>
      <c r="S21" s="43"/>
      <c r="T21" s="43"/>
      <c r="U21" s="43"/>
      <c r="V21" s="42"/>
      <c r="W21" s="42"/>
      <c r="X21" s="42"/>
      <c r="Y21" s="42"/>
      <c r="Z21" s="67"/>
      <c r="AA21" s="67"/>
      <c r="AB21" s="67"/>
      <c r="AC21" s="67"/>
      <c r="AD21" s="67"/>
      <c r="AE21" s="67"/>
      <c r="AF21" s="67"/>
      <c r="AG21" s="67"/>
    </row>
    <row r="22" spans="1:33" ht="15" customHeight="1">
      <c r="A22" s="475"/>
      <c r="B22" s="320">
        <v>20</v>
      </c>
      <c r="C22" s="164">
        <v>44120</v>
      </c>
      <c r="D22" s="162">
        <v>15613748</v>
      </c>
      <c r="E22" s="163" t="s">
        <v>392</v>
      </c>
      <c r="F22" s="158">
        <v>75</v>
      </c>
      <c r="G22" s="163" t="s">
        <v>393</v>
      </c>
      <c r="H22" s="118" t="s">
        <v>278</v>
      </c>
      <c r="I22" s="475" t="s">
        <v>394</v>
      </c>
      <c r="J22" s="118" t="s">
        <v>238</v>
      </c>
      <c r="K22" s="496">
        <v>46031</v>
      </c>
      <c r="L22" s="841" t="s">
        <v>395</v>
      </c>
      <c r="M22" s="851" t="s">
        <v>323</v>
      </c>
      <c r="N22" s="841" t="s">
        <v>241</v>
      </c>
      <c r="O22" s="524">
        <v>46038</v>
      </c>
      <c r="P22" s="240"/>
      <c r="Q22" s="311">
        <v>46023</v>
      </c>
      <c r="R22" s="313">
        <v>46023</v>
      </c>
      <c r="S22" s="475" t="s">
        <v>396</v>
      </c>
      <c r="T22" s="475" t="s">
        <v>230</v>
      </c>
      <c r="U22" s="475"/>
      <c r="V22" s="475"/>
      <c r="W22" s="475"/>
      <c r="X22" s="475"/>
      <c r="Y22" s="475"/>
      <c r="Z22" s="68"/>
      <c r="AA22" s="68"/>
      <c r="AB22" s="67"/>
      <c r="AC22" s="67"/>
      <c r="AD22" s="67"/>
      <c r="AE22" s="67"/>
      <c r="AF22" s="67"/>
      <c r="AG22" s="67"/>
    </row>
    <row r="23" spans="1:33" ht="15" customHeight="1">
      <c r="A23" s="474"/>
      <c r="B23" s="320">
        <v>21</v>
      </c>
      <c r="C23" s="161">
        <v>228747</v>
      </c>
      <c r="D23" s="159">
        <v>15729350</v>
      </c>
      <c r="E23" s="160" t="s">
        <v>397</v>
      </c>
      <c r="F23" s="161">
        <v>53</v>
      </c>
      <c r="G23" s="160" t="s">
        <v>398</v>
      </c>
      <c r="H23" s="116" t="s">
        <v>278</v>
      </c>
      <c r="I23" s="474" t="s">
        <v>394</v>
      </c>
      <c r="J23" s="116" t="s">
        <v>238</v>
      </c>
      <c r="K23" s="495">
        <v>46031</v>
      </c>
      <c r="L23" s="840" t="s">
        <v>399</v>
      </c>
      <c r="M23" s="484" t="s">
        <v>260</v>
      </c>
      <c r="N23" s="840" t="s">
        <v>400</v>
      </c>
      <c r="O23" s="489">
        <v>46038</v>
      </c>
      <c r="P23" s="120"/>
      <c r="Q23" s="312">
        <v>46054</v>
      </c>
      <c r="R23" s="309">
        <v>46054</v>
      </c>
      <c r="S23" s="474" t="s">
        <v>401</v>
      </c>
      <c r="T23" s="474" t="s">
        <v>312</v>
      </c>
      <c r="U23" s="474"/>
      <c r="V23" s="495">
        <v>46069</v>
      </c>
      <c r="W23" s="474" t="s">
        <v>402</v>
      </c>
      <c r="X23" s="474" t="s">
        <v>225</v>
      </c>
      <c r="Y23" s="505" t="s">
        <v>403</v>
      </c>
      <c r="Z23" s="68"/>
      <c r="AA23" s="68"/>
      <c r="AB23" s="67"/>
      <c r="AC23" s="67"/>
      <c r="AD23" s="67"/>
      <c r="AE23" s="67"/>
      <c r="AF23" s="67"/>
      <c r="AG23" s="67"/>
    </row>
    <row r="24" spans="1:33" ht="15" customHeight="1">
      <c r="A24" s="320"/>
      <c r="B24" s="320">
        <v>22</v>
      </c>
      <c r="C24" s="158">
        <v>1302260</v>
      </c>
      <c r="D24" s="156">
        <v>15724924</v>
      </c>
      <c r="E24" s="73" t="s">
        <v>404</v>
      </c>
      <c r="F24" s="158">
        <v>55</v>
      </c>
      <c r="G24" s="73" t="s">
        <v>405</v>
      </c>
      <c r="H24" s="42" t="s">
        <v>278</v>
      </c>
      <c r="I24" s="320">
        <v>912530112</v>
      </c>
      <c r="J24" s="42" t="s">
        <v>238</v>
      </c>
      <c r="K24" s="493">
        <v>46031</v>
      </c>
      <c r="L24" s="140" t="s">
        <v>376</v>
      </c>
      <c r="M24" s="484" t="s">
        <v>230</v>
      </c>
      <c r="N24" s="140" t="s">
        <v>317</v>
      </c>
      <c r="O24" s="489">
        <v>46038</v>
      </c>
      <c r="P24" s="239"/>
      <c r="Q24" s="308">
        <v>46023</v>
      </c>
      <c r="R24" s="320"/>
      <c r="S24" s="320"/>
      <c r="T24" s="320"/>
      <c r="U24" s="320"/>
      <c r="V24" s="320"/>
      <c r="W24" s="320"/>
      <c r="X24" s="320"/>
      <c r="Y24" s="320"/>
      <c r="Z24" s="68"/>
      <c r="AA24" s="68"/>
      <c r="AB24" s="67"/>
      <c r="AC24" s="67"/>
      <c r="AD24" s="67"/>
      <c r="AE24" s="67"/>
      <c r="AF24" s="67"/>
      <c r="AG24" s="67"/>
    </row>
    <row r="25" spans="1:33" ht="15" customHeight="1">
      <c r="A25" s="320"/>
      <c r="B25" s="320">
        <v>23</v>
      </c>
      <c r="C25" s="158">
        <v>521792</v>
      </c>
      <c r="D25" s="156">
        <v>15992532</v>
      </c>
      <c r="E25" s="73" t="s">
        <v>406</v>
      </c>
      <c r="F25" s="158">
        <v>50</v>
      </c>
      <c r="G25" s="73" t="s">
        <v>407</v>
      </c>
      <c r="H25" s="42" t="s">
        <v>271</v>
      </c>
      <c r="I25" s="42" t="s">
        <v>408</v>
      </c>
      <c r="J25" s="42" t="s">
        <v>164</v>
      </c>
      <c r="K25" s="493">
        <v>46031</v>
      </c>
      <c r="L25" s="140" t="s">
        <v>409</v>
      </c>
      <c r="M25" s="484" t="s">
        <v>312</v>
      </c>
      <c r="N25" s="140" t="s">
        <v>241</v>
      </c>
      <c r="O25" s="489">
        <v>46038</v>
      </c>
      <c r="P25" s="239" t="s">
        <v>410</v>
      </c>
      <c r="Q25" s="471" t="s">
        <v>358</v>
      </c>
      <c r="R25" s="43"/>
      <c r="S25" s="43"/>
      <c r="T25" s="43"/>
      <c r="U25" s="43"/>
      <c r="V25" s="42"/>
      <c r="W25" s="42"/>
      <c r="X25" s="42"/>
      <c r="Y25" s="42"/>
      <c r="Z25" s="68"/>
      <c r="AA25" s="68"/>
      <c r="AB25" s="68"/>
      <c r="AC25" s="68"/>
      <c r="AD25" s="68"/>
      <c r="AE25" s="68"/>
      <c r="AF25" s="68"/>
      <c r="AG25" s="68"/>
    </row>
    <row r="26" spans="1:33" ht="15" customHeight="1">
      <c r="A26" s="320"/>
      <c r="B26" s="320">
        <v>24</v>
      </c>
      <c r="C26" s="158">
        <v>307440</v>
      </c>
      <c r="D26" s="158">
        <v>41808236</v>
      </c>
      <c r="E26" s="73" t="s">
        <v>411</v>
      </c>
      <c r="F26" s="158">
        <v>42</v>
      </c>
      <c r="G26" s="73" t="s">
        <v>412</v>
      </c>
      <c r="H26" s="42" t="s">
        <v>326</v>
      </c>
      <c r="I26" s="320">
        <v>914637235</v>
      </c>
      <c r="J26" s="42" t="s">
        <v>375</v>
      </c>
      <c r="K26" s="493">
        <v>46031</v>
      </c>
      <c r="L26" s="222" t="s">
        <v>413</v>
      </c>
      <c r="M26" s="484" t="s">
        <v>230</v>
      </c>
      <c r="N26" s="140" t="s">
        <v>241</v>
      </c>
      <c r="O26" s="489">
        <v>46038</v>
      </c>
      <c r="P26" s="239" t="s">
        <v>292</v>
      </c>
      <c r="Q26" s="413" t="s">
        <v>334</v>
      </c>
      <c r="R26" s="472" t="s">
        <v>318</v>
      </c>
      <c r="S26" s="43"/>
      <c r="T26" s="43"/>
      <c r="U26" s="43"/>
      <c r="V26" s="42"/>
      <c r="W26" s="42"/>
      <c r="X26" s="42"/>
      <c r="Y26" s="42"/>
      <c r="Z26" s="67"/>
      <c r="AA26" s="67"/>
      <c r="AB26" s="67"/>
      <c r="AC26" s="67"/>
      <c r="AD26" s="67"/>
      <c r="AE26" s="67"/>
      <c r="AF26" s="67"/>
      <c r="AG26" s="67"/>
    </row>
    <row r="27" spans="1:33" ht="15" customHeight="1">
      <c r="A27" s="526">
        <v>46032</v>
      </c>
      <c r="B27" s="320">
        <v>25</v>
      </c>
      <c r="C27" s="158">
        <v>357215</v>
      </c>
      <c r="D27" s="158">
        <v>43381205</v>
      </c>
      <c r="E27" s="73" t="s">
        <v>414</v>
      </c>
      <c r="F27" s="158">
        <v>40</v>
      </c>
      <c r="G27" s="73" t="s">
        <v>415</v>
      </c>
      <c r="H27" s="42" t="s">
        <v>278</v>
      </c>
      <c r="I27" s="320">
        <v>991445368</v>
      </c>
      <c r="J27" s="42" t="s">
        <v>416</v>
      </c>
      <c r="K27" s="493">
        <v>46032</v>
      </c>
      <c r="L27" s="140" t="s">
        <v>376</v>
      </c>
      <c r="M27" s="484" t="s">
        <v>230</v>
      </c>
      <c r="N27" s="140" t="s">
        <v>317</v>
      </c>
      <c r="O27" s="489">
        <v>46038</v>
      </c>
      <c r="P27" s="239" t="s">
        <v>292</v>
      </c>
      <c r="Q27" s="308">
        <v>46023</v>
      </c>
      <c r="R27" s="472" t="s">
        <v>318</v>
      </c>
      <c r="S27" s="43"/>
      <c r="T27" s="43"/>
      <c r="U27" s="43"/>
      <c r="V27" s="42"/>
      <c r="W27" s="42"/>
      <c r="X27" s="42"/>
      <c r="Y27" s="42"/>
      <c r="Z27" s="67"/>
      <c r="AA27" s="67"/>
      <c r="AB27" s="67"/>
      <c r="AC27" s="67"/>
      <c r="AD27" s="67"/>
      <c r="AE27" s="67"/>
      <c r="AF27" s="67"/>
      <c r="AG27" s="67"/>
    </row>
    <row r="28" spans="1:33" ht="15" customHeight="1">
      <c r="A28" s="476" t="s">
        <v>219</v>
      </c>
      <c r="B28" s="474">
        <v>26</v>
      </c>
      <c r="C28" s="161">
        <v>161839</v>
      </c>
      <c r="D28" s="161">
        <v>43180625</v>
      </c>
      <c r="E28" s="160" t="s">
        <v>220</v>
      </c>
      <c r="F28" s="161">
        <v>40</v>
      </c>
      <c r="G28" s="160" t="s">
        <v>221</v>
      </c>
      <c r="H28" s="120" t="s">
        <v>222</v>
      </c>
      <c r="I28" s="476">
        <v>989178087</v>
      </c>
      <c r="J28" s="120" t="s">
        <v>223</v>
      </c>
      <c r="K28" s="494">
        <v>46027</v>
      </c>
      <c r="L28" s="842" t="s">
        <v>224</v>
      </c>
      <c r="M28" s="506" t="s">
        <v>225</v>
      </c>
      <c r="N28" s="842" t="s">
        <v>226</v>
      </c>
      <c r="O28" s="487">
        <v>45666</v>
      </c>
      <c r="P28" s="120" t="s">
        <v>227</v>
      </c>
      <c r="Q28" s="312">
        <v>46023</v>
      </c>
      <c r="R28" s="312">
        <v>46023</v>
      </c>
      <c r="S28" s="476" t="s">
        <v>229</v>
      </c>
      <c r="T28" s="476" t="s">
        <v>230</v>
      </c>
      <c r="U28" s="476" t="s">
        <v>231</v>
      </c>
      <c r="V28" s="494">
        <v>45971</v>
      </c>
      <c r="W28" s="476" t="s">
        <v>232</v>
      </c>
      <c r="X28" s="476" t="s">
        <v>225</v>
      </c>
      <c r="Y28" s="476" t="s">
        <v>233</v>
      </c>
      <c r="Z28" s="67"/>
      <c r="AA28" s="67"/>
      <c r="AB28" s="67"/>
      <c r="AC28" s="67"/>
      <c r="AD28" s="67"/>
      <c r="AE28" s="67"/>
      <c r="AF28" s="67"/>
      <c r="AG28" s="67"/>
    </row>
    <row r="29" spans="1:33" ht="15" customHeight="1">
      <c r="A29" s="526">
        <v>46034</v>
      </c>
      <c r="B29" s="320">
        <v>27</v>
      </c>
      <c r="C29" s="158">
        <v>521848</v>
      </c>
      <c r="D29" s="156">
        <v>16020647</v>
      </c>
      <c r="E29" s="73" t="s">
        <v>417</v>
      </c>
      <c r="F29" s="158">
        <v>49</v>
      </c>
      <c r="G29" s="73" t="s">
        <v>418</v>
      </c>
      <c r="H29" s="42" t="s">
        <v>271</v>
      </c>
      <c r="I29" s="42">
        <v>986498502</v>
      </c>
      <c r="J29" s="42" t="s">
        <v>164</v>
      </c>
      <c r="K29" s="493">
        <v>46034</v>
      </c>
      <c r="L29" s="140" t="s">
        <v>376</v>
      </c>
      <c r="M29" s="484" t="s">
        <v>230</v>
      </c>
      <c r="N29" s="140" t="s">
        <v>241</v>
      </c>
      <c r="O29" s="489">
        <v>46038</v>
      </c>
      <c r="P29" s="239" t="s">
        <v>410</v>
      </c>
      <c r="Q29" s="471" t="s">
        <v>358</v>
      </c>
      <c r="R29" s="43"/>
      <c r="S29" s="43"/>
      <c r="T29" s="43"/>
      <c r="U29" s="43"/>
      <c r="V29" s="42"/>
      <c r="W29" s="42"/>
      <c r="X29" s="42"/>
      <c r="Y29" s="42"/>
      <c r="Z29" s="67"/>
      <c r="AA29" s="67"/>
      <c r="AB29" s="67"/>
      <c r="AC29" s="67"/>
      <c r="AD29" s="67"/>
      <c r="AE29" s="67"/>
      <c r="AF29" s="67"/>
      <c r="AG29" s="67"/>
    </row>
    <row r="30" spans="1:33" ht="15" customHeight="1">
      <c r="A30" s="320"/>
      <c r="B30" s="320">
        <v>28</v>
      </c>
      <c r="C30" s="158">
        <v>521849</v>
      </c>
      <c r="D30" s="156">
        <v>42966439</v>
      </c>
      <c r="E30" s="73" t="s">
        <v>419</v>
      </c>
      <c r="F30" s="158">
        <v>40</v>
      </c>
      <c r="G30" s="73" t="s">
        <v>420</v>
      </c>
      <c r="H30" s="42" t="s">
        <v>271</v>
      </c>
      <c r="I30" s="42">
        <v>944655866</v>
      </c>
      <c r="J30" s="42" t="s">
        <v>421</v>
      </c>
      <c r="K30" s="493">
        <v>46034</v>
      </c>
      <c r="L30" s="140" t="s">
        <v>422</v>
      </c>
      <c r="M30" s="484" t="s">
        <v>260</v>
      </c>
      <c r="N30" s="140" t="s">
        <v>241</v>
      </c>
      <c r="O30" s="489">
        <v>46036</v>
      </c>
      <c r="P30" s="239" t="s">
        <v>423</v>
      </c>
      <c r="Q30" s="471" t="s">
        <v>358</v>
      </c>
      <c r="R30" s="43"/>
      <c r="S30" s="43"/>
      <c r="T30" s="43"/>
      <c r="U30" s="43"/>
      <c r="V30" s="42"/>
      <c r="W30" s="42"/>
      <c r="X30" s="42"/>
      <c r="Y30" s="42"/>
      <c r="Z30" s="67"/>
      <c r="AA30" s="67"/>
      <c r="AB30" s="67"/>
      <c r="AC30" s="67"/>
      <c r="AD30" s="67"/>
      <c r="AE30" s="67"/>
      <c r="AF30" s="67"/>
      <c r="AG30" s="67"/>
    </row>
    <row r="31" spans="1:33" ht="15" customHeight="1">
      <c r="A31" s="320"/>
      <c r="B31" s="320">
        <v>29</v>
      </c>
      <c r="C31" s="158">
        <v>521852</v>
      </c>
      <c r="D31" s="156">
        <v>42418124</v>
      </c>
      <c r="E31" s="73" t="s">
        <v>424</v>
      </c>
      <c r="F31" s="158">
        <v>44</v>
      </c>
      <c r="G31" s="73" t="s">
        <v>425</v>
      </c>
      <c r="H31" s="42" t="s">
        <v>271</v>
      </c>
      <c r="I31" s="42">
        <v>982738253</v>
      </c>
      <c r="J31" s="42" t="s">
        <v>164</v>
      </c>
      <c r="K31" s="493">
        <v>46034</v>
      </c>
      <c r="L31" s="140" t="s">
        <v>426</v>
      </c>
      <c r="M31" s="484" t="s">
        <v>230</v>
      </c>
      <c r="N31" s="140" t="s">
        <v>241</v>
      </c>
      <c r="O31" s="489">
        <v>46036</v>
      </c>
      <c r="P31" s="239" t="s">
        <v>410</v>
      </c>
      <c r="Q31" s="471" t="s">
        <v>358</v>
      </c>
      <c r="R31" s="43"/>
      <c r="S31" s="43"/>
      <c r="T31" s="43"/>
      <c r="U31" s="43"/>
      <c r="V31" s="42"/>
      <c r="W31" s="42"/>
      <c r="X31" s="42"/>
      <c r="Y31" s="42"/>
      <c r="Z31" s="67"/>
      <c r="AA31" s="67"/>
      <c r="AB31" s="67"/>
      <c r="AC31" s="67"/>
      <c r="AD31" s="67"/>
      <c r="AE31" s="67"/>
      <c r="AF31" s="67"/>
      <c r="AG31" s="67"/>
    </row>
    <row r="32" spans="1:33" ht="15" customHeight="1">
      <c r="A32" s="320"/>
      <c r="B32" s="320">
        <v>30</v>
      </c>
      <c r="C32" s="158">
        <v>141452</v>
      </c>
      <c r="D32" s="156">
        <v>46746485</v>
      </c>
      <c r="E32" s="73" t="s">
        <v>427</v>
      </c>
      <c r="F32" s="158">
        <v>42</v>
      </c>
      <c r="G32" s="73" t="s">
        <v>428</v>
      </c>
      <c r="H32" s="42" t="s">
        <v>237</v>
      </c>
      <c r="I32" s="42">
        <v>932620287</v>
      </c>
      <c r="J32" s="42" t="s">
        <v>429</v>
      </c>
      <c r="K32" s="493">
        <v>46034</v>
      </c>
      <c r="L32" s="140" t="s">
        <v>376</v>
      </c>
      <c r="M32" s="484" t="s">
        <v>230</v>
      </c>
      <c r="N32" s="140" t="s">
        <v>317</v>
      </c>
      <c r="O32" s="489">
        <v>46036</v>
      </c>
      <c r="P32" s="239" t="s">
        <v>292</v>
      </c>
      <c r="Q32" s="471" t="s">
        <v>358</v>
      </c>
      <c r="R32" s="43"/>
      <c r="S32" s="43"/>
      <c r="T32" s="43"/>
      <c r="U32" s="43"/>
      <c r="V32" s="42"/>
      <c r="W32" s="42"/>
      <c r="X32" s="42"/>
      <c r="Y32" s="42"/>
      <c r="Z32" s="67"/>
      <c r="AA32" s="67"/>
      <c r="AB32" s="67"/>
      <c r="AC32" s="67"/>
      <c r="AD32" s="67"/>
      <c r="AE32" s="67"/>
      <c r="AF32" s="67"/>
      <c r="AG32" s="67"/>
    </row>
    <row r="33" spans="1:33" ht="15" customHeight="1">
      <c r="A33" s="320"/>
      <c r="B33" s="320">
        <v>31</v>
      </c>
      <c r="C33" s="158">
        <v>133302</v>
      </c>
      <c r="D33" s="156">
        <v>41708687</v>
      </c>
      <c r="E33" s="73" t="s">
        <v>430</v>
      </c>
      <c r="F33" s="158">
        <v>43</v>
      </c>
      <c r="G33" s="73" t="s">
        <v>431</v>
      </c>
      <c r="H33" s="42" t="s">
        <v>432</v>
      </c>
      <c r="I33" s="320" t="s">
        <v>433</v>
      </c>
      <c r="J33" s="42" t="s">
        <v>238</v>
      </c>
      <c r="K33" s="493">
        <v>46034</v>
      </c>
      <c r="L33" s="140" t="s">
        <v>434</v>
      </c>
      <c r="M33" s="484" t="s">
        <v>312</v>
      </c>
      <c r="N33" s="140" t="s">
        <v>317</v>
      </c>
      <c r="O33" s="489">
        <v>46036</v>
      </c>
      <c r="P33" s="239"/>
      <c r="Q33" s="308">
        <v>46023</v>
      </c>
      <c r="R33" s="320"/>
      <c r="S33" s="320"/>
      <c r="T33" s="320"/>
      <c r="U33" s="320"/>
      <c r="V33" s="320"/>
      <c r="W33" s="320"/>
      <c r="X33" s="320"/>
      <c r="Y33" s="320"/>
      <c r="Z33" s="68"/>
      <c r="AA33" s="68"/>
      <c r="AB33" s="67"/>
      <c r="AC33" s="67"/>
      <c r="AD33" s="67"/>
      <c r="AE33" s="67"/>
      <c r="AF33" s="67"/>
      <c r="AG33" s="67"/>
    </row>
    <row r="34" spans="1:33" ht="15" customHeight="1">
      <c r="A34" s="320"/>
      <c r="B34" s="320">
        <v>32</v>
      </c>
      <c r="C34" s="158">
        <v>74762</v>
      </c>
      <c r="D34" s="156">
        <v>15721991</v>
      </c>
      <c r="E34" s="73" t="s">
        <v>435</v>
      </c>
      <c r="F34" s="158">
        <v>57</v>
      </c>
      <c r="G34" s="73" t="s">
        <v>436</v>
      </c>
      <c r="H34" s="42" t="s">
        <v>278</v>
      </c>
      <c r="I34" s="320">
        <v>989359391</v>
      </c>
      <c r="J34" s="42" t="s">
        <v>238</v>
      </c>
      <c r="K34" s="493">
        <v>46034</v>
      </c>
      <c r="L34" s="140" t="s">
        <v>437</v>
      </c>
      <c r="M34" s="484" t="s">
        <v>312</v>
      </c>
      <c r="N34" s="140" t="s">
        <v>241</v>
      </c>
      <c r="O34" s="489">
        <v>46038</v>
      </c>
      <c r="P34" s="239"/>
      <c r="Q34" s="308">
        <v>46023</v>
      </c>
      <c r="R34" s="320"/>
      <c r="S34" s="320"/>
      <c r="T34" s="320"/>
      <c r="U34" s="320"/>
      <c r="V34" s="320"/>
      <c r="W34" s="320"/>
      <c r="X34" s="320"/>
      <c r="Y34" s="320"/>
      <c r="Z34" s="68"/>
      <c r="AA34" s="68"/>
      <c r="AB34" s="67"/>
      <c r="AC34" s="67"/>
      <c r="AD34" s="67"/>
      <c r="AE34" s="67"/>
      <c r="AF34" s="67"/>
      <c r="AG34" s="67"/>
    </row>
    <row r="35" spans="1:33" ht="15" customHeight="1">
      <c r="A35" s="320"/>
      <c r="B35" s="320">
        <v>33</v>
      </c>
      <c r="C35" s="158">
        <v>265711</v>
      </c>
      <c r="D35" s="156">
        <v>15721680</v>
      </c>
      <c r="E35" s="73" t="s">
        <v>438</v>
      </c>
      <c r="F35" s="158">
        <v>56</v>
      </c>
      <c r="G35" s="73" t="s">
        <v>439</v>
      </c>
      <c r="H35" s="42" t="s">
        <v>278</v>
      </c>
      <c r="I35" s="320">
        <v>929431964</v>
      </c>
      <c r="J35" s="42" t="s">
        <v>238</v>
      </c>
      <c r="K35" s="493">
        <v>46034</v>
      </c>
      <c r="L35" s="140" t="s">
        <v>440</v>
      </c>
      <c r="M35" s="484" t="s">
        <v>312</v>
      </c>
      <c r="N35" s="140" t="s">
        <v>241</v>
      </c>
      <c r="O35" s="489">
        <v>46036</v>
      </c>
      <c r="P35" s="239"/>
      <c r="Q35" s="308">
        <v>46054</v>
      </c>
      <c r="R35" s="320"/>
      <c r="S35" s="320"/>
      <c r="T35" s="320"/>
      <c r="U35" s="320"/>
      <c r="V35" s="320"/>
      <c r="W35" s="320"/>
      <c r="X35" s="320"/>
      <c r="Y35" s="320"/>
      <c r="Z35" s="68"/>
      <c r="AA35" s="68"/>
      <c r="AB35" s="67"/>
      <c r="AC35" s="67"/>
      <c r="AD35" s="67"/>
      <c r="AE35" s="67"/>
      <c r="AF35" s="67"/>
      <c r="AG35" s="67"/>
    </row>
    <row r="36" spans="1:33" ht="15" customHeight="1">
      <c r="A36" s="477"/>
      <c r="B36" s="320">
        <v>34</v>
      </c>
      <c r="C36" s="170">
        <v>122158</v>
      </c>
      <c r="D36" s="170">
        <v>42499989</v>
      </c>
      <c r="E36" s="169" t="s">
        <v>441</v>
      </c>
      <c r="F36" s="170">
        <v>41</v>
      </c>
      <c r="G36" s="169" t="s">
        <v>442</v>
      </c>
      <c r="H36" s="121" t="s">
        <v>222</v>
      </c>
      <c r="I36" s="477">
        <v>907862190</v>
      </c>
      <c r="J36" s="121" t="s">
        <v>283</v>
      </c>
      <c r="K36" s="497">
        <v>46034</v>
      </c>
      <c r="L36" s="141" t="s">
        <v>443</v>
      </c>
      <c r="M36" s="484" t="s">
        <v>260</v>
      </c>
      <c r="N36" s="141" t="s">
        <v>241</v>
      </c>
      <c r="O36" s="489">
        <v>46036</v>
      </c>
      <c r="P36" s="239" t="s">
        <v>292</v>
      </c>
      <c r="Q36" s="417" t="s">
        <v>334</v>
      </c>
      <c r="R36" s="491"/>
      <c r="S36" s="112"/>
      <c r="T36" s="112"/>
      <c r="U36" s="112"/>
      <c r="V36" s="121"/>
      <c r="W36" s="121"/>
      <c r="X36" s="121"/>
      <c r="Y36" s="121"/>
      <c r="Z36" s="68"/>
      <c r="AA36" s="68"/>
      <c r="AB36" s="68"/>
      <c r="AC36" s="68"/>
      <c r="AD36" s="68"/>
      <c r="AE36" s="68"/>
      <c r="AF36" s="68"/>
      <c r="AG36" s="68"/>
    </row>
    <row r="37" spans="1:33" ht="15" customHeight="1">
      <c r="A37" s="526">
        <v>46035</v>
      </c>
      <c r="B37" s="320">
        <v>35</v>
      </c>
      <c r="C37" s="158">
        <v>27890</v>
      </c>
      <c r="D37" s="158">
        <v>10502835</v>
      </c>
      <c r="E37" s="73" t="s">
        <v>444</v>
      </c>
      <c r="F37" s="158">
        <v>50</v>
      </c>
      <c r="G37" s="73" t="s">
        <v>445</v>
      </c>
      <c r="H37" s="42" t="s">
        <v>278</v>
      </c>
      <c r="I37" s="320">
        <v>926647502</v>
      </c>
      <c r="J37" s="42" t="s">
        <v>384</v>
      </c>
      <c r="K37" s="493">
        <v>46035</v>
      </c>
      <c r="L37" s="140" t="s">
        <v>388</v>
      </c>
      <c r="M37" s="484" t="s">
        <v>230</v>
      </c>
      <c r="N37" s="140" t="s">
        <v>446</v>
      </c>
      <c r="O37" s="489">
        <v>46038</v>
      </c>
      <c r="P37" s="239" t="s">
        <v>292</v>
      </c>
      <c r="Q37" s="418" t="s">
        <v>447</v>
      </c>
      <c r="R37" s="472"/>
      <c r="S37" s="43"/>
      <c r="T37" s="43"/>
      <c r="U37" s="43"/>
      <c r="V37" s="42"/>
      <c r="W37" s="42"/>
      <c r="X37" s="42"/>
      <c r="Y37" s="42"/>
      <c r="Z37" s="67"/>
      <c r="AA37" s="67"/>
      <c r="AB37" s="67"/>
      <c r="AC37" s="67"/>
      <c r="AD37" s="67"/>
      <c r="AE37" s="67"/>
      <c r="AF37" s="67"/>
      <c r="AG37" s="67"/>
    </row>
    <row r="38" spans="1:33" ht="15" customHeight="1">
      <c r="A38" s="492"/>
      <c r="B38" s="485">
        <v>36</v>
      </c>
      <c r="C38" s="173">
        <v>218391</v>
      </c>
      <c r="D38" s="172">
        <v>80650621</v>
      </c>
      <c r="E38" s="171" t="s">
        <v>448</v>
      </c>
      <c r="F38" s="172">
        <v>46</v>
      </c>
      <c r="G38" s="171" t="s">
        <v>449</v>
      </c>
      <c r="H38" s="123" t="s">
        <v>326</v>
      </c>
      <c r="I38" s="478">
        <v>907963169</v>
      </c>
      <c r="J38" s="123" t="s">
        <v>450</v>
      </c>
      <c r="K38" s="492">
        <v>46035</v>
      </c>
      <c r="L38" s="843" t="s">
        <v>451</v>
      </c>
      <c r="M38" s="479" t="s">
        <v>260</v>
      </c>
      <c r="N38" s="843" t="s">
        <v>241</v>
      </c>
      <c r="O38" s="489">
        <v>46038</v>
      </c>
      <c r="P38" s="239" t="s">
        <v>292</v>
      </c>
      <c r="Q38" s="413" t="s">
        <v>334</v>
      </c>
      <c r="R38" s="492"/>
      <c r="S38" s="58"/>
      <c r="T38" s="58"/>
      <c r="U38" s="58"/>
      <c r="V38" s="123"/>
      <c r="W38" s="123"/>
      <c r="X38" s="123"/>
      <c r="Y38" s="123"/>
      <c r="Z38" s="67"/>
      <c r="AA38" s="67"/>
      <c r="AB38" s="67"/>
      <c r="AC38" s="67"/>
      <c r="AD38" s="67"/>
      <c r="AE38" s="67"/>
      <c r="AF38" s="67"/>
      <c r="AG38" s="67"/>
    </row>
    <row r="39" spans="1:33" ht="15" customHeight="1">
      <c r="A39" s="528">
        <v>46036</v>
      </c>
      <c r="B39" s="320">
        <v>37</v>
      </c>
      <c r="C39" s="173">
        <v>272053</v>
      </c>
      <c r="D39" s="172">
        <v>41019781</v>
      </c>
      <c r="E39" s="171" t="s">
        <v>452</v>
      </c>
      <c r="F39" s="172">
        <v>45</v>
      </c>
      <c r="G39" s="171" t="s">
        <v>453</v>
      </c>
      <c r="H39" s="122" t="s">
        <v>237</v>
      </c>
      <c r="I39" s="479">
        <v>927290916</v>
      </c>
      <c r="J39" s="122" t="s">
        <v>347</v>
      </c>
      <c r="K39" s="498">
        <v>46036</v>
      </c>
      <c r="L39" s="142" t="s">
        <v>454</v>
      </c>
      <c r="M39" s="484" t="s">
        <v>260</v>
      </c>
      <c r="N39" s="843" t="s">
        <v>241</v>
      </c>
      <c r="O39" s="489">
        <v>46041</v>
      </c>
      <c r="P39" s="122" t="s">
        <v>292</v>
      </c>
      <c r="Q39" s="413" t="s">
        <v>334</v>
      </c>
      <c r="R39" s="414" t="s">
        <v>455</v>
      </c>
      <c r="S39" s="46" t="s">
        <v>455</v>
      </c>
      <c r="T39" s="46" t="s">
        <v>455</v>
      </c>
      <c r="U39" s="46" t="s">
        <v>455</v>
      </c>
      <c r="V39" s="122" t="s">
        <v>455</v>
      </c>
      <c r="W39" s="122" t="s">
        <v>455</v>
      </c>
      <c r="X39" s="122" t="s">
        <v>455</v>
      </c>
      <c r="Y39" s="122" t="s">
        <v>455</v>
      </c>
      <c r="Z39" s="67"/>
      <c r="AA39" s="67"/>
      <c r="AB39" s="67"/>
      <c r="AC39" s="67"/>
      <c r="AD39" s="67"/>
      <c r="AE39" s="67"/>
      <c r="AF39" s="67"/>
      <c r="AG39" s="67"/>
    </row>
    <row r="40" spans="1:33" ht="15" customHeight="1">
      <c r="A40" s="320"/>
      <c r="B40" s="320">
        <v>38</v>
      </c>
      <c r="C40" s="158">
        <v>116008</v>
      </c>
      <c r="D40" s="156">
        <v>41701904</v>
      </c>
      <c r="E40" s="73" t="s">
        <v>456</v>
      </c>
      <c r="F40" s="158">
        <v>42</v>
      </c>
      <c r="G40" s="73" t="s">
        <v>457</v>
      </c>
      <c r="H40" s="42" t="s">
        <v>432</v>
      </c>
      <c r="I40" s="320">
        <v>938362030</v>
      </c>
      <c r="J40" s="42" t="s">
        <v>238</v>
      </c>
      <c r="K40" s="498">
        <v>46036</v>
      </c>
      <c r="L40" s="140" t="s">
        <v>458</v>
      </c>
      <c r="M40" s="484" t="s">
        <v>260</v>
      </c>
      <c r="N40" s="843" t="s">
        <v>241</v>
      </c>
      <c r="O40" s="489">
        <v>46038</v>
      </c>
      <c r="P40" s="239"/>
      <c r="Q40" s="308">
        <v>46054</v>
      </c>
      <c r="R40" s="320"/>
      <c r="S40" s="320"/>
      <c r="T40" s="320"/>
      <c r="U40" s="320"/>
      <c r="V40" s="320"/>
      <c r="W40" s="320"/>
      <c r="X40" s="320"/>
      <c r="Y40" s="320"/>
      <c r="Z40" s="68"/>
      <c r="AA40" s="68"/>
      <c r="AB40" s="67"/>
      <c r="AC40" s="67"/>
      <c r="AD40" s="67"/>
      <c r="AE40" s="67"/>
      <c r="AF40" s="67"/>
      <c r="AG40" s="67"/>
    </row>
    <row r="41" spans="1:33" ht="15" customHeight="1">
      <c r="A41" s="485"/>
      <c r="B41" s="320">
        <v>39</v>
      </c>
      <c r="C41" s="173">
        <v>521910</v>
      </c>
      <c r="D41" s="65">
        <v>16022215</v>
      </c>
      <c r="E41" s="171" t="s">
        <v>459</v>
      </c>
      <c r="F41" s="173">
        <v>48</v>
      </c>
      <c r="G41" s="171" t="s">
        <v>460</v>
      </c>
      <c r="H41" s="122" t="s">
        <v>461</v>
      </c>
      <c r="I41" s="122">
        <v>962437677</v>
      </c>
      <c r="J41" s="149" t="s">
        <v>162</v>
      </c>
      <c r="K41" s="498">
        <v>46036</v>
      </c>
      <c r="L41" s="142" t="s">
        <v>462</v>
      </c>
      <c r="M41" s="484" t="s">
        <v>230</v>
      </c>
      <c r="N41" s="140" t="s">
        <v>446</v>
      </c>
      <c r="O41" s="489">
        <v>46038</v>
      </c>
      <c r="P41" s="122" t="s">
        <v>423</v>
      </c>
      <c r="Q41" s="471" t="s">
        <v>358</v>
      </c>
      <c r="R41" s="46"/>
      <c r="S41" s="46"/>
      <c r="T41" s="46"/>
      <c r="U41" s="46"/>
      <c r="V41" s="122"/>
      <c r="W41" s="122"/>
      <c r="X41" s="122"/>
      <c r="Y41" s="122"/>
      <c r="Z41" s="67"/>
      <c r="AA41" s="67"/>
      <c r="AB41" s="67"/>
      <c r="AC41" s="67"/>
      <c r="AD41" s="67"/>
      <c r="AE41" s="67"/>
      <c r="AF41" s="67"/>
      <c r="AG41" s="67"/>
    </row>
    <row r="42" spans="1:33" ht="15" customHeight="1">
      <c r="A42" s="485"/>
      <c r="B42" s="320">
        <v>40</v>
      </c>
      <c r="C42" s="173">
        <v>521913</v>
      </c>
      <c r="D42" s="65">
        <v>16017560</v>
      </c>
      <c r="E42" s="62" t="s">
        <v>463</v>
      </c>
      <c r="F42" s="173">
        <v>55</v>
      </c>
      <c r="G42" s="154" t="s">
        <v>464</v>
      </c>
      <c r="H42" s="122" t="s">
        <v>461</v>
      </c>
      <c r="I42" s="122">
        <v>926118121</v>
      </c>
      <c r="J42" s="149" t="s">
        <v>162</v>
      </c>
      <c r="K42" s="498">
        <v>46036</v>
      </c>
      <c r="L42" s="142" t="s">
        <v>462</v>
      </c>
      <c r="M42" s="484" t="s">
        <v>230</v>
      </c>
      <c r="N42" s="140" t="s">
        <v>446</v>
      </c>
      <c r="O42" s="489">
        <v>46038</v>
      </c>
      <c r="P42" s="122" t="s">
        <v>423</v>
      </c>
      <c r="Q42" s="471" t="s">
        <v>358</v>
      </c>
      <c r="R42" s="46"/>
      <c r="S42" s="46"/>
      <c r="T42" s="46"/>
      <c r="U42" s="46"/>
      <c r="V42" s="122"/>
      <c r="W42" s="122"/>
      <c r="X42" s="122"/>
      <c r="Y42" s="122"/>
      <c r="Z42" s="67"/>
      <c r="AA42" s="67"/>
      <c r="AB42" s="67"/>
      <c r="AC42" s="67"/>
      <c r="AD42" s="67"/>
      <c r="AE42" s="67"/>
      <c r="AF42" s="67"/>
      <c r="AG42" s="67"/>
    </row>
    <row r="43" spans="1:33" ht="15" customHeight="1">
      <c r="A43" s="485" t="s">
        <v>455</v>
      </c>
      <c r="B43" s="320">
        <v>41</v>
      </c>
      <c r="C43" s="173">
        <v>195209</v>
      </c>
      <c r="D43" s="172">
        <v>15765453</v>
      </c>
      <c r="E43" s="171" t="s">
        <v>465</v>
      </c>
      <c r="F43" s="172">
        <v>48</v>
      </c>
      <c r="G43" s="171" t="s">
        <v>466</v>
      </c>
      <c r="H43" s="122" t="s">
        <v>246</v>
      </c>
      <c r="I43" s="479">
        <v>943320567</v>
      </c>
      <c r="J43" s="122" t="s">
        <v>467</v>
      </c>
      <c r="K43" s="498">
        <v>46036</v>
      </c>
      <c r="L43" s="142" t="s">
        <v>468</v>
      </c>
      <c r="M43" s="479" t="s">
        <v>312</v>
      </c>
      <c r="N43" s="142" t="s">
        <v>317</v>
      </c>
      <c r="O43" s="489">
        <v>46041</v>
      </c>
      <c r="P43" s="122" t="s">
        <v>292</v>
      </c>
      <c r="Q43" s="420" t="s">
        <v>339</v>
      </c>
      <c r="R43" s="414" t="s">
        <v>455</v>
      </c>
      <c r="S43" s="46" t="s">
        <v>455</v>
      </c>
      <c r="T43" s="46" t="s">
        <v>455</v>
      </c>
      <c r="U43" s="46" t="s">
        <v>455</v>
      </c>
      <c r="V43" s="122" t="s">
        <v>455</v>
      </c>
      <c r="W43" s="122" t="s">
        <v>455</v>
      </c>
      <c r="X43" s="122" t="s">
        <v>455</v>
      </c>
      <c r="Y43" s="122" t="s">
        <v>455</v>
      </c>
      <c r="Z43" s="67"/>
      <c r="AA43" s="67"/>
      <c r="AB43" s="67"/>
      <c r="AC43" s="67"/>
      <c r="AD43" s="67"/>
      <c r="AE43" s="67"/>
      <c r="AF43" s="67"/>
      <c r="AG43" s="67"/>
    </row>
    <row r="44" spans="1:33" ht="15" customHeight="1">
      <c r="A44" s="507"/>
      <c r="B44" s="474">
        <v>42</v>
      </c>
      <c r="C44" s="176">
        <v>291594</v>
      </c>
      <c r="D44" s="174">
        <v>42768079</v>
      </c>
      <c r="E44" s="175" t="s">
        <v>469</v>
      </c>
      <c r="F44" s="176">
        <v>41</v>
      </c>
      <c r="G44" s="175" t="s">
        <v>470</v>
      </c>
      <c r="H44" s="125" t="s">
        <v>237</v>
      </c>
      <c r="I44" s="507">
        <v>945074903</v>
      </c>
      <c r="J44" s="125" t="s">
        <v>238</v>
      </c>
      <c r="K44" s="519">
        <v>46036</v>
      </c>
      <c r="L44" s="844" t="s">
        <v>458</v>
      </c>
      <c r="M44" s="850" t="s">
        <v>260</v>
      </c>
      <c r="N44" s="840" t="s">
        <v>241</v>
      </c>
      <c r="O44" s="487">
        <v>46038</v>
      </c>
      <c r="P44" s="241"/>
      <c r="Q44" s="314">
        <v>46023</v>
      </c>
      <c r="R44" s="804">
        <v>46054</v>
      </c>
      <c r="S44" s="506" t="s">
        <v>471</v>
      </c>
      <c r="T44" s="506" t="s">
        <v>240</v>
      </c>
      <c r="U44" s="506" t="s">
        <v>472</v>
      </c>
      <c r="V44" s="507"/>
      <c r="W44" s="507"/>
      <c r="X44" s="507"/>
      <c r="Y44" s="507"/>
      <c r="Z44" s="68"/>
      <c r="AA44" s="68"/>
      <c r="AB44" s="67"/>
      <c r="AC44" s="67"/>
      <c r="AD44" s="67"/>
      <c r="AE44" s="67"/>
      <c r="AF44" s="67"/>
      <c r="AG44" s="67"/>
    </row>
    <row r="45" spans="1:33" ht="15" customHeight="1">
      <c r="A45" s="320"/>
      <c r="B45" s="320">
        <v>43</v>
      </c>
      <c r="C45" s="158">
        <v>86768</v>
      </c>
      <c r="D45" s="158">
        <v>15757334</v>
      </c>
      <c r="E45" s="73" t="s">
        <v>473</v>
      </c>
      <c r="F45" s="158">
        <v>49</v>
      </c>
      <c r="G45" s="73" t="s">
        <v>474</v>
      </c>
      <c r="H45" s="42" t="s">
        <v>222</v>
      </c>
      <c r="I45" s="320">
        <v>927052125</v>
      </c>
      <c r="J45" s="42" t="s">
        <v>223</v>
      </c>
      <c r="K45" s="493">
        <v>46036</v>
      </c>
      <c r="L45" s="140" t="s">
        <v>458</v>
      </c>
      <c r="M45" s="484" t="s">
        <v>260</v>
      </c>
      <c r="N45" s="140" t="s">
        <v>241</v>
      </c>
      <c r="O45" s="489">
        <v>46041</v>
      </c>
      <c r="P45" s="122" t="s">
        <v>292</v>
      </c>
      <c r="Q45" s="421">
        <v>46023</v>
      </c>
      <c r="R45" s="320" t="s">
        <v>350</v>
      </c>
      <c r="S45" s="43"/>
      <c r="T45" s="43"/>
      <c r="U45" s="43"/>
      <c r="V45" s="42"/>
      <c r="W45" s="42"/>
      <c r="X45" s="42"/>
      <c r="Y45" s="42"/>
      <c r="Z45" s="67"/>
      <c r="AA45" s="67"/>
      <c r="AB45" s="67"/>
      <c r="AC45" s="67"/>
      <c r="AD45" s="67"/>
      <c r="AE45" s="67"/>
      <c r="AF45" s="67"/>
      <c r="AG45" s="67"/>
    </row>
    <row r="46" spans="1:33" ht="15" customHeight="1">
      <c r="A46" s="320"/>
      <c r="B46" s="320">
        <v>44</v>
      </c>
      <c r="C46" s="158">
        <v>521927</v>
      </c>
      <c r="D46" s="156">
        <v>15997962</v>
      </c>
      <c r="E46" s="73" t="s">
        <v>475</v>
      </c>
      <c r="F46" s="158">
        <v>62</v>
      </c>
      <c r="G46" s="73" t="s">
        <v>476</v>
      </c>
      <c r="H46" s="42" t="s">
        <v>271</v>
      </c>
      <c r="I46" s="42">
        <v>936622622</v>
      </c>
      <c r="J46" s="42" t="s">
        <v>164</v>
      </c>
      <c r="K46" s="853">
        <v>46036</v>
      </c>
      <c r="L46" s="140" t="s">
        <v>477</v>
      </c>
      <c r="M46" s="484" t="s">
        <v>260</v>
      </c>
      <c r="N46" s="140" t="s">
        <v>241</v>
      </c>
      <c r="O46" s="489">
        <v>46038</v>
      </c>
      <c r="P46" s="239" t="s">
        <v>410</v>
      </c>
      <c r="Q46" s="471" t="s">
        <v>358</v>
      </c>
      <c r="R46" s="43"/>
      <c r="S46" s="43"/>
      <c r="T46" s="43"/>
      <c r="U46" s="43"/>
      <c r="V46" s="42"/>
      <c r="W46" s="42"/>
      <c r="X46" s="42"/>
      <c r="Y46" s="42"/>
      <c r="Z46" s="67"/>
      <c r="AA46" s="67"/>
      <c r="AB46" s="67"/>
      <c r="AC46" s="67"/>
      <c r="AD46" s="67"/>
      <c r="AE46" s="67"/>
      <c r="AF46" s="67"/>
      <c r="AG46" s="67"/>
    </row>
    <row r="47" spans="1:33" ht="15" customHeight="1">
      <c r="A47" s="526">
        <v>46038</v>
      </c>
      <c r="B47" s="320">
        <v>45</v>
      </c>
      <c r="C47" s="158">
        <v>287246</v>
      </c>
      <c r="D47" s="158">
        <v>46514126</v>
      </c>
      <c r="E47" s="73" t="s">
        <v>478</v>
      </c>
      <c r="F47" s="158">
        <v>41</v>
      </c>
      <c r="G47" s="73" t="s">
        <v>479</v>
      </c>
      <c r="H47" s="42" t="s">
        <v>301</v>
      </c>
      <c r="I47" s="320">
        <v>986615173</v>
      </c>
      <c r="J47" s="42" t="s">
        <v>302</v>
      </c>
      <c r="K47" s="493">
        <v>46038</v>
      </c>
      <c r="L47" s="140" t="s">
        <v>480</v>
      </c>
      <c r="M47" s="484" t="s">
        <v>260</v>
      </c>
      <c r="N47" s="140" t="s">
        <v>241</v>
      </c>
      <c r="O47" s="489">
        <v>46041</v>
      </c>
      <c r="P47" s="122" t="s">
        <v>292</v>
      </c>
      <c r="Q47" s="420" t="s">
        <v>339</v>
      </c>
      <c r="R47" s="472"/>
      <c r="S47" s="43"/>
      <c r="T47" s="43"/>
      <c r="U47" s="43"/>
      <c r="V47" s="42"/>
      <c r="W47" s="42"/>
      <c r="X47" s="42"/>
      <c r="Y47" s="42"/>
      <c r="Z47" s="67"/>
      <c r="AA47" s="67"/>
      <c r="AB47" s="67"/>
      <c r="AC47" s="67"/>
      <c r="AD47" s="67"/>
      <c r="AE47" s="67"/>
      <c r="AF47" s="67"/>
      <c r="AG47" s="67"/>
    </row>
    <row r="48" spans="1:33" ht="15" customHeight="1">
      <c r="A48" s="320"/>
      <c r="B48" s="320">
        <v>46</v>
      </c>
      <c r="C48" s="158">
        <v>116831</v>
      </c>
      <c r="D48" s="158">
        <v>15613199</v>
      </c>
      <c r="E48" s="73" t="s">
        <v>481</v>
      </c>
      <c r="F48" s="158">
        <v>65</v>
      </c>
      <c r="G48" s="73" t="s">
        <v>482</v>
      </c>
      <c r="H48" s="42" t="s">
        <v>222</v>
      </c>
      <c r="I48" s="320" t="s">
        <v>483</v>
      </c>
      <c r="J48" s="42" t="s">
        <v>223</v>
      </c>
      <c r="K48" s="493">
        <v>46038</v>
      </c>
      <c r="L48" s="140" t="s">
        <v>484</v>
      </c>
      <c r="M48" s="484" t="s">
        <v>260</v>
      </c>
      <c r="N48" s="140" t="s">
        <v>241</v>
      </c>
      <c r="O48" s="489">
        <v>46041</v>
      </c>
      <c r="P48" s="122" t="s">
        <v>292</v>
      </c>
      <c r="Q48" s="413" t="s">
        <v>334</v>
      </c>
      <c r="R48" s="472"/>
      <c r="S48" s="43"/>
      <c r="T48" s="43"/>
      <c r="U48" s="43"/>
      <c r="V48" s="42"/>
      <c r="W48" s="42"/>
      <c r="X48" s="42"/>
      <c r="Y48" s="42"/>
      <c r="Z48" s="67"/>
      <c r="AA48" s="67"/>
      <c r="AB48" s="67"/>
      <c r="AC48" s="67"/>
      <c r="AD48" s="67"/>
      <c r="AE48" s="67"/>
      <c r="AF48" s="67"/>
      <c r="AG48" s="67"/>
    </row>
    <row r="49" spans="1:33" ht="15" customHeight="1">
      <c r="A49" s="320"/>
      <c r="B49" s="320">
        <v>47</v>
      </c>
      <c r="C49" s="158">
        <v>108038</v>
      </c>
      <c r="D49" s="158">
        <v>40369830</v>
      </c>
      <c r="E49" s="73" t="s">
        <v>485</v>
      </c>
      <c r="F49" s="158">
        <v>46</v>
      </c>
      <c r="G49" s="73" t="s">
        <v>486</v>
      </c>
      <c r="H49" s="42" t="s">
        <v>301</v>
      </c>
      <c r="I49" s="320" t="s">
        <v>487</v>
      </c>
      <c r="J49" s="42" t="s">
        <v>302</v>
      </c>
      <c r="K49" s="493">
        <v>46038</v>
      </c>
      <c r="L49" s="140" t="s">
        <v>488</v>
      </c>
      <c r="M49" s="484" t="s">
        <v>260</v>
      </c>
      <c r="N49" s="140" t="s">
        <v>241</v>
      </c>
      <c r="O49" s="489">
        <v>46041</v>
      </c>
      <c r="P49" s="122" t="s">
        <v>292</v>
      </c>
      <c r="Q49" s="421">
        <v>46023</v>
      </c>
      <c r="R49" s="805" t="s">
        <v>228</v>
      </c>
      <c r="S49" s="43"/>
      <c r="T49" s="43"/>
      <c r="U49" s="43"/>
      <c r="V49" s="42"/>
      <c r="W49" s="42"/>
      <c r="X49" s="42"/>
      <c r="Y49" s="42"/>
      <c r="Z49" s="67"/>
      <c r="AA49" s="67"/>
      <c r="AB49" s="67"/>
      <c r="AC49" s="67"/>
      <c r="AD49" s="67"/>
      <c r="AE49" s="67"/>
      <c r="AF49" s="67"/>
      <c r="AG49" s="67"/>
    </row>
    <row r="50" spans="1:33" ht="15" customHeight="1">
      <c r="A50" s="320"/>
      <c r="B50" s="320">
        <v>48</v>
      </c>
      <c r="C50" s="158">
        <v>246498</v>
      </c>
      <c r="D50" s="158">
        <v>42218084</v>
      </c>
      <c r="E50" s="73" t="s">
        <v>489</v>
      </c>
      <c r="F50" s="158">
        <v>41</v>
      </c>
      <c r="G50" s="73" t="s">
        <v>490</v>
      </c>
      <c r="H50" s="42" t="s">
        <v>301</v>
      </c>
      <c r="I50" s="320" t="s">
        <v>491</v>
      </c>
      <c r="J50" s="42" t="s">
        <v>302</v>
      </c>
      <c r="K50" s="493">
        <v>46038</v>
      </c>
      <c r="L50" s="140" t="s">
        <v>480</v>
      </c>
      <c r="M50" s="484" t="s">
        <v>260</v>
      </c>
      <c r="N50" s="140" t="s">
        <v>241</v>
      </c>
      <c r="O50" s="489">
        <v>46041</v>
      </c>
      <c r="P50" s="122" t="s">
        <v>292</v>
      </c>
      <c r="Q50" s="421">
        <v>46023</v>
      </c>
      <c r="R50" s="320" t="s">
        <v>492</v>
      </c>
      <c r="S50" s="43"/>
      <c r="T50" s="43"/>
      <c r="U50" s="43"/>
      <c r="V50" s="42"/>
      <c r="W50" s="42"/>
      <c r="X50" s="42"/>
      <c r="Y50" s="42"/>
      <c r="Z50" s="67"/>
      <c r="AA50" s="67"/>
      <c r="AB50" s="67"/>
      <c r="AC50" s="67"/>
      <c r="AD50" s="67"/>
      <c r="AE50" s="67"/>
      <c r="AF50" s="67"/>
      <c r="AG50" s="67"/>
    </row>
    <row r="51" spans="1:33" ht="15" customHeight="1">
      <c r="A51" s="320"/>
      <c r="B51" s="320">
        <v>49</v>
      </c>
      <c r="C51" s="158">
        <v>129691</v>
      </c>
      <c r="D51" s="158">
        <v>80259337</v>
      </c>
      <c r="E51" s="73" t="s">
        <v>493</v>
      </c>
      <c r="F51" s="158">
        <v>46</v>
      </c>
      <c r="G51" s="73" t="s">
        <v>494</v>
      </c>
      <c r="H51" s="42" t="s">
        <v>301</v>
      </c>
      <c r="I51" s="320" t="s">
        <v>495</v>
      </c>
      <c r="J51" s="42" t="s">
        <v>302</v>
      </c>
      <c r="K51" s="493">
        <v>46038</v>
      </c>
      <c r="L51" s="140" t="s">
        <v>480</v>
      </c>
      <c r="M51" s="484" t="s">
        <v>260</v>
      </c>
      <c r="N51" s="140" t="s">
        <v>241</v>
      </c>
      <c r="O51" s="489">
        <v>46041</v>
      </c>
      <c r="P51" s="122" t="s">
        <v>292</v>
      </c>
      <c r="Q51" s="420" t="s">
        <v>339</v>
      </c>
      <c r="R51" s="320"/>
      <c r="S51" s="43"/>
      <c r="T51" s="43"/>
      <c r="U51" s="43"/>
      <c r="V51" s="42"/>
      <c r="W51" s="42"/>
      <c r="X51" s="42"/>
      <c r="Y51" s="42"/>
      <c r="Z51" s="67"/>
      <c r="AA51" s="67"/>
      <c r="AB51" s="67"/>
      <c r="AC51" s="67"/>
      <c r="AD51" s="67"/>
      <c r="AE51" s="67"/>
      <c r="AF51" s="67"/>
      <c r="AG51" s="67"/>
    </row>
    <row r="52" spans="1:33" ht="15" customHeight="1">
      <c r="A52" s="529" t="s">
        <v>455</v>
      </c>
      <c r="B52" s="320">
        <v>50</v>
      </c>
      <c r="C52" s="179">
        <v>160352</v>
      </c>
      <c r="D52" s="177">
        <v>15720013</v>
      </c>
      <c r="E52" s="178" t="s">
        <v>496</v>
      </c>
      <c r="F52" s="179">
        <v>57</v>
      </c>
      <c r="G52" s="178" t="s">
        <v>497</v>
      </c>
      <c r="H52" s="126" t="s">
        <v>326</v>
      </c>
      <c r="I52" s="508">
        <v>933614464</v>
      </c>
      <c r="J52" s="42" t="s">
        <v>238</v>
      </c>
      <c r="K52" s="499">
        <v>46038</v>
      </c>
      <c r="L52" s="140" t="s">
        <v>498</v>
      </c>
      <c r="M52" s="484" t="s">
        <v>260</v>
      </c>
      <c r="N52" s="140" t="s">
        <v>241</v>
      </c>
      <c r="O52" s="489">
        <v>46043</v>
      </c>
      <c r="P52" s="239"/>
      <c r="Q52" s="308">
        <v>46023</v>
      </c>
      <c r="R52" s="315">
        <v>46054</v>
      </c>
      <c r="S52" s="508" t="s">
        <v>499</v>
      </c>
      <c r="T52" s="508" t="s">
        <v>230</v>
      </c>
      <c r="U52" s="508" t="s">
        <v>455</v>
      </c>
      <c r="V52" s="508" t="s">
        <v>455</v>
      </c>
      <c r="W52" s="508" t="s">
        <v>455</v>
      </c>
      <c r="X52" s="508" t="s">
        <v>455</v>
      </c>
      <c r="Y52" s="508" t="s">
        <v>455</v>
      </c>
      <c r="Z52" s="68"/>
      <c r="AA52" s="68"/>
      <c r="AB52" s="67"/>
      <c r="AC52" s="67"/>
      <c r="AD52" s="67"/>
      <c r="AE52" s="67"/>
      <c r="AF52" s="67"/>
      <c r="AG52" s="67"/>
    </row>
    <row r="53" spans="1:33" ht="15" customHeight="1">
      <c r="A53" s="320"/>
      <c r="B53" s="320">
        <v>51</v>
      </c>
      <c r="C53" s="158">
        <v>212858</v>
      </c>
      <c r="D53" s="156">
        <v>43755235</v>
      </c>
      <c r="E53" s="180" t="s">
        <v>500</v>
      </c>
      <c r="F53" s="181">
        <v>43</v>
      </c>
      <c r="G53" s="180" t="s">
        <v>501</v>
      </c>
      <c r="H53" s="127" t="s">
        <v>278</v>
      </c>
      <c r="I53" s="517">
        <v>916687574</v>
      </c>
      <c r="J53" s="42" t="s">
        <v>238</v>
      </c>
      <c r="K53" s="493">
        <v>46038</v>
      </c>
      <c r="L53" s="140" t="s">
        <v>480</v>
      </c>
      <c r="M53" s="484" t="s">
        <v>260</v>
      </c>
      <c r="N53" s="140" t="s">
        <v>241</v>
      </c>
      <c r="O53" s="489">
        <v>46043</v>
      </c>
      <c r="P53" s="239"/>
      <c r="Q53" s="308">
        <v>46023</v>
      </c>
      <c r="R53" s="316">
        <v>46023</v>
      </c>
      <c r="S53" s="508" t="s">
        <v>502</v>
      </c>
      <c r="T53" s="508" t="s">
        <v>230</v>
      </c>
      <c r="U53" s="320"/>
      <c r="V53" s="320"/>
      <c r="W53" s="320"/>
      <c r="X53" s="320"/>
      <c r="Y53" s="320"/>
      <c r="Z53" s="68"/>
      <c r="AA53" s="68"/>
      <c r="AB53" s="67"/>
      <c r="AC53" s="67"/>
      <c r="AD53" s="67"/>
      <c r="AE53" s="67"/>
      <c r="AF53" s="67"/>
      <c r="AG53" s="67"/>
    </row>
    <row r="54" spans="1:33" ht="15" customHeight="1">
      <c r="A54" s="320"/>
      <c r="B54" s="320">
        <v>52</v>
      </c>
      <c r="C54" s="158">
        <v>388018</v>
      </c>
      <c r="D54" s="158">
        <v>26725348</v>
      </c>
      <c r="E54" s="73" t="s">
        <v>503</v>
      </c>
      <c r="F54" s="158">
        <v>47</v>
      </c>
      <c r="G54" s="73" t="s">
        <v>504</v>
      </c>
      <c r="H54" s="42" t="s">
        <v>301</v>
      </c>
      <c r="I54" s="320">
        <v>922839158</v>
      </c>
      <c r="J54" s="42" t="s">
        <v>302</v>
      </c>
      <c r="K54" s="499">
        <v>46038</v>
      </c>
      <c r="L54" s="140" t="s">
        <v>480</v>
      </c>
      <c r="M54" s="484" t="s">
        <v>260</v>
      </c>
      <c r="N54" s="140" t="s">
        <v>241</v>
      </c>
      <c r="O54" s="489">
        <v>46041</v>
      </c>
      <c r="P54" s="122" t="s">
        <v>292</v>
      </c>
      <c r="Q54" s="413" t="s">
        <v>505</v>
      </c>
      <c r="R54" s="320"/>
      <c r="S54" s="43"/>
      <c r="T54" s="43"/>
      <c r="U54" s="43"/>
      <c r="V54" s="42"/>
      <c r="W54" s="42"/>
      <c r="X54" s="42"/>
      <c r="Y54" s="42"/>
      <c r="Z54" s="67"/>
      <c r="AA54" s="67"/>
      <c r="AB54" s="67"/>
      <c r="AC54" s="67"/>
      <c r="AD54" s="67"/>
      <c r="AE54" s="67"/>
      <c r="AF54" s="67"/>
      <c r="AG54" s="67"/>
    </row>
    <row r="55" spans="1:33" ht="15" customHeight="1">
      <c r="A55" s="320"/>
      <c r="B55" s="320">
        <v>53</v>
      </c>
      <c r="C55" s="158">
        <v>100806</v>
      </c>
      <c r="D55" s="156">
        <v>40930935</v>
      </c>
      <c r="E55" s="73" t="s">
        <v>506</v>
      </c>
      <c r="F55" s="158">
        <v>44</v>
      </c>
      <c r="G55" s="73" t="s">
        <v>507</v>
      </c>
      <c r="H55" s="42" t="s">
        <v>237</v>
      </c>
      <c r="I55" s="320">
        <v>986532692</v>
      </c>
      <c r="J55" s="42" t="s">
        <v>238</v>
      </c>
      <c r="K55" s="493">
        <v>46038</v>
      </c>
      <c r="L55" s="140" t="s">
        <v>480</v>
      </c>
      <c r="M55" s="484" t="s">
        <v>260</v>
      </c>
      <c r="N55" s="140" t="s">
        <v>241</v>
      </c>
      <c r="O55" s="489">
        <v>46043</v>
      </c>
      <c r="P55" s="239"/>
      <c r="Q55" s="308">
        <v>46054</v>
      </c>
      <c r="R55" s="320" t="s">
        <v>508</v>
      </c>
      <c r="S55" s="320"/>
      <c r="T55" s="320"/>
      <c r="U55" s="320"/>
      <c r="V55" s="320"/>
      <c r="W55" s="320"/>
      <c r="X55" s="320"/>
      <c r="Y55" s="320"/>
      <c r="Z55" s="68"/>
      <c r="AA55" s="68"/>
      <c r="AB55" s="67"/>
      <c r="AC55" s="67"/>
      <c r="AD55" s="67"/>
      <c r="AE55" s="67"/>
      <c r="AF55" s="67"/>
      <c r="AG55" s="67"/>
    </row>
    <row r="56" spans="1:33" ht="15" customHeight="1">
      <c r="A56" s="320"/>
      <c r="B56" s="320">
        <v>54</v>
      </c>
      <c r="C56" s="158">
        <v>521974</v>
      </c>
      <c r="D56" s="156">
        <v>45727260</v>
      </c>
      <c r="E56" s="73" t="s">
        <v>509</v>
      </c>
      <c r="F56" s="158">
        <v>42</v>
      </c>
      <c r="G56" s="73" t="s">
        <v>510</v>
      </c>
      <c r="H56" s="42" t="s">
        <v>271</v>
      </c>
      <c r="I56" s="42">
        <v>939638764</v>
      </c>
      <c r="J56" s="42" t="s">
        <v>164</v>
      </c>
      <c r="K56" s="499">
        <v>46038</v>
      </c>
      <c r="L56" s="140" t="s">
        <v>511</v>
      </c>
      <c r="M56" s="484" t="s">
        <v>260</v>
      </c>
      <c r="N56" s="140" t="s">
        <v>241</v>
      </c>
      <c r="O56" s="489">
        <v>46043</v>
      </c>
      <c r="P56" s="242" t="s">
        <v>512</v>
      </c>
      <c r="Q56" s="471" t="s">
        <v>358</v>
      </c>
      <c r="R56" s="43"/>
      <c r="S56" s="43"/>
      <c r="T56" s="43"/>
      <c r="U56" s="43"/>
      <c r="V56" s="42"/>
      <c r="W56" s="42"/>
      <c r="X56" s="42"/>
      <c r="Y56" s="42"/>
      <c r="Z56" s="68"/>
      <c r="AA56" s="68"/>
      <c r="AB56" s="68"/>
      <c r="AC56" s="68"/>
      <c r="AD56" s="68"/>
      <c r="AE56" s="68"/>
      <c r="AF56" s="68"/>
      <c r="AG56" s="68"/>
    </row>
    <row r="57" spans="1:33" ht="15" customHeight="1">
      <c r="A57" s="526" t="s">
        <v>513</v>
      </c>
      <c r="B57" s="320">
        <v>55</v>
      </c>
      <c r="C57" s="158">
        <v>79535</v>
      </c>
      <c r="D57" s="158">
        <v>15716107</v>
      </c>
      <c r="E57" s="73" t="s">
        <v>514</v>
      </c>
      <c r="F57" s="158">
        <v>65</v>
      </c>
      <c r="G57" s="73" t="s">
        <v>515</v>
      </c>
      <c r="H57" s="42" t="s">
        <v>326</v>
      </c>
      <c r="I57" s="320">
        <v>991817174</v>
      </c>
      <c r="J57" s="42" t="s">
        <v>375</v>
      </c>
      <c r="K57" s="500">
        <v>46038</v>
      </c>
      <c r="L57" s="140" t="s">
        <v>516</v>
      </c>
      <c r="M57" s="484" t="s">
        <v>312</v>
      </c>
      <c r="N57" s="140" t="s">
        <v>317</v>
      </c>
      <c r="O57" s="489">
        <v>46044</v>
      </c>
      <c r="P57" s="122" t="s">
        <v>292</v>
      </c>
      <c r="Q57" s="416" t="s">
        <v>447</v>
      </c>
      <c r="R57" s="320"/>
      <c r="S57" s="43"/>
      <c r="T57" s="43"/>
      <c r="U57" s="43"/>
      <c r="V57" s="42"/>
      <c r="W57" s="42"/>
      <c r="X57" s="42"/>
      <c r="Y57" s="42"/>
      <c r="Z57" s="67"/>
      <c r="AA57" s="67"/>
      <c r="AB57" s="67"/>
      <c r="AC57" s="67"/>
      <c r="AD57" s="67"/>
      <c r="AE57" s="67"/>
      <c r="AF57" s="67"/>
      <c r="AG57" s="67"/>
    </row>
    <row r="58" spans="1:33" ht="15" customHeight="1">
      <c r="A58" s="526">
        <v>46039</v>
      </c>
      <c r="B58" s="320">
        <v>56</v>
      </c>
      <c r="C58" s="158">
        <v>136841</v>
      </c>
      <c r="D58" s="158">
        <v>15648591</v>
      </c>
      <c r="E58" s="73" t="s">
        <v>517</v>
      </c>
      <c r="F58" s="158">
        <v>55</v>
      </c>
      <c r="G58" s="73" t="s">
        <v>518</v>
      </c>
      <c r="H58" s="42" t="s">
        <v>432</v>
      </c>
      <c r="I58" s="320">
        <v>908968718</v>
      </c>
      <c r="J58" s="42" t="s">
        <v>223</v>
      </c>
      <c r="K58" s="493">
        <v>46039</v>
      </c>
      <c r="L58" s="140" t="s">
        <v>519</v>
      </c>
      <c r="M58" s="484" t="s">
        <v>260</v>
      </c>
      <c r="N58" s="140" t="s">
        <v>241</v>
      </c>
      <c r="O58" s="489">
        <v>46044</v>
      </c>
      <c r="P58" s="122" t="s">
        <v>292</v>
      </c>
      <c r="Q58" s="413" t="s">
        <v>334</v>
      </c>
      <c r="R58" s="320"/>
      <c r="S58" s="43"/>
      <c r="T58" s="43"/>
      <c r="U58" s="43"/>
      <c r="V58" s="42"/>
      <c r="W58" s="42"/>
      <c r="X58" s="42"/>
      <c r="Y58" s="42"/>
      <c r="Z58" s="67"/>
      <c r="AA58" s="67"/>
      <c r="AB58" s="67"/>
      <c r="AC58" s="67"/>
      <c r="AD58" s="67"/>
      <c r="AE58" s="67"/>
      <c r="AF58" s="67"/>
      <c r="AG58" s="67"/>
    </row>
    <row r="59" spans="1:33" ht="15" customHeight="1">
      <c r="A59" s="320"/>
      <c r="B59" s="320">
        <v>57</v>
      </c>
      <c r="C59" s="158">
        <v>521996</v>
      </c>
      <c r="D59" s="156">
        <v>40699767</v>
      </c>
      <c r="E59" s="73" t="s">
        <v>520</v>
      </c>
      <c r="F59" s="158">
        <v>45</v>
      </c>
      <c r="G59" s="73" t="s">
        <v>521</v>
      </c>
      <c r="H59" s="42" t="s">
        <v>354</v>
      </c>
      <c r="I59" s="42" t="s">
        <v>522</v>
      </c>
      <c r="J59" s="42" t="s">
        <v>162</v>
      </c>
      <c r="K59" s="493">
        <v>46039</v>
      </c>
      <c r="L59" s="140" t="s">
        <v>523</v>
      </c>
      <c r="M59" s="484" t="s">
        <v>230</v>
      </c>
      <c r="N59" s="140" t="s">
        <v>231</v>
      </c>
      <c r="O59" s="489">
        <v>46043</v>
      </c>
      <c r="P59" s="239" t="s">
        <v>524</v>
      </c>
      <c r="Q59" s="471" t="s">
        <v>358</v>
      </c>
      <c r="R59" s="43"/>
      <c r="S59" s="43"/>
      <c r="T59" s="43"/>
      <c r="U59" s="43"/>
      <c r="V59" s="42"/>
      <c r="W59" s="42"/>
      <c r="X59" s="42"/>
      <c r="Y59" s="42"/>
      <c r="Z59" s="67"/>
      <c r="AA59" s="67"/>
      <c r="AB59" s="67"/>
      <c r="AC59" s="67"/>
      <c r="AD59" s="67"/>
      <c r="AE59" s="67"/>
      <c r="AF59" s="67"/>
      <c r="AG59" s="67"/>
    </row>
    <row r="60" spans="1:33" ht="15" customHeight="1">
      <c r="A60" s="320"/>
      <c r="B60" s="320">
        <v>58</v>
      </c>
      <c r="C60" s="158">
        <v>521997</v>
      </c>
      <c r="D60" s="156">
        <v>16019374</v>
      </c>
      <c r="E60" s="73" t="s">
        <v>525</v>
      </c>
      <c r="F60" s="158">
        <v>53</v>
      </c>
      <c r="G60" s="73" t="s">
        <v>526</v>
      </c>
      <c r="H60" s="42" t="s">
        <v>354</v>
      </c>
      <c r="I60" s="42" t="s">
        <v>527</v>
      </c>
      <c r="J60" s="42" t="s">
        <v>162</v>
      </c>
      <c r="K60" s="493">
        <v>46039</v>
      </c>
      <c r="L60" s="140" t="s">
        <v>528</v>
      </c>
      <c r="M60" s="484" t="s">
        <v>260</v>
      </c>
      <c r="N60" s="140" t="s">
        <v>241</v>
      </c>
      <c r="O60" s="489">
        <v>46043</v>
      </c>
      <c r="P60" s="239" t="s">
        <v>524</v>
      </c>
      <c r="Q60" s="471" t="s">
        <v>358</v>
      </c>
      <c r="R60" s="43"/>
      <c r="S60" s="43"/>
      <c r="T60" s="43"/>
      <c r="U60" s="43"/>
      <c r="V60" s="42"/>
      <c r="W60" s="42"/>
      <c r="X60" s="42"/>
      <c r="Y60" s="42"/>
      <c r="Z60" s="67"/>
      <c r="AA60" s="67"/>
      <c r="AB60" s="67"/>
      <c r="AC60" s="67"/>
      <c r="AD60" s="67"/>
      <c r="AE60" s="67"/>
      <c r="AF60" s="67"/>
      <c r="AG60" s="67"/>
    </row>
    <row r="61" spans="1:33" ht="15" customHeight="1">
      <c r="A61" s="320"/>
      <c r="B61" s="320">
        <v>59</v>
      </c>
      <c r="C61" s="158">
        <v>521998</v>
      </c>
      <c r="D61" s="156">
        <v>40616878</v>
      </c>
      <c r="E61" s="73" t="s">
        <v>529</v>
      </c>
      <c r="F61" s="158">
        <v>45</v>
      </c>
      <c r="G61" s="73" t="s">
        <v>530</v>
      </c>
      <c r="H61" s="42" t="s">
        <v>354</v>
      </c>
      <c r="I61" s="42" t="s">
        <v>531</v>
      </c>
      <c r="J61" s="42" t="s">
        <v>162</v>
      </c>
      <c r="K61" s="493">
        <v>46039</v>
      </c>
      <c r="L61" s="140" t="s">
        <v>519</v>
      </c>
      <c r="M61" s="484" t="s">
        <v>260</v>
      </c>
      <c r="N61" s="140" t="s">
        <v>241</v>
      </c>
      <c r="O61" s="489">
        <v>46043</v>
      </c>
      <c r="P61" s="239" t="s">
        <v>524</v>
      </c>
      <c r="Q61" s="471" t="s">
        <v>358</v>
      </c>
      <c r="R61" s="43"/>
      <c r="S61" s="43"/>
      <c r="T61" s="43"/>
      <c r="U61" s="43"/>
      <c r="V61" s="42"/>
      <c r="W61" s="42"/>
      <c r="X61" s="42"/>
      <c r="Y61" s="42"/>
      <c r="Z61" s="67"/>
      <c r="AA61" s="67"/>
      <c r="AB61" s="67"/>
      <c r="AC61" s="67"/>
      <c r="AD61" s="67"/>
      <c r="AE61" s="67"/>
      <c r="AF61" s="67"/>
      <c r="AG61" s="67"/>
    </row>
    <row r="62" spans="1:33" ht="15" customHeight="1">
      <c r="A62" s="320"/>
      <c r="B62" s="320">
        <v>60</v>
      </c>
      <c r="C62" s="158">
        <v>521999</v>
      </c>
      <c r="D62" s="182">
        <v>40592336</v>
      </c>
      <c r="E62" s="183" t="s">
        <v>532</v>
      </c>
      <c r="F62" s="184">
        <v>45</v>
      </c>
      <c r="G62" s="183" t="s">
        <v>533</v>
      </c>
      <c r="H62" s="126" t="s">
        <v>461</v>
      </c>
      <c r="I62" s="128">
        <v>994671668</v>
      </c>
      <c r="J62" s="42" t="s">
        <v>162</v>
      </c>
      <c r="K62" s="493">
        <v>46039</v>
      </c>
      <c r="L62" s="140" t="s">
        <v>519</v>
      </c>
      <c r="M62" s="484" t="s">
        <v>260</v>
      </c>
      <c r="N62" s="140" t="s">
        <v>241</v>
      </c>
      <c r="O62" s="489">
        <v>46043</v>
      </c>
      <c r="P62" s="239" t="s">
        <v>524</v>
      </c>
      <c r="Q62" s="471" t="s">
        <v>358</v>
      </c>
      <c r="R62" s="43"/>
      <c r="S62" s="43"/>
      <c r="T62" s="43"/>
      <c r="U62" s="43"/>
      <c r="V62" s="42"/>
      <c r="W62" s="42"/>
      <c r="X62" s="42"/>
      <c r="Y62" s="42"/>
      <c r="Z62" s="67"/>
      <c r="AA62" s="67"/>
      <c r="AB62" s="67"/>
      <c r="AC62" s="67"/>
      <c r="AD62" s="67"/>
      <c r="AE62" s="67"/>
      <c r="AF62" s="67"/>
      <c r="AG62" s="67"/>
    </row>
    <row r="63" spans="1:33" ht="15" customHeight="1">
      <c r="A63" s="320"/>
      <c r="B63" s="320">
        <v>61</v>
      </c>
      <c r="C63" s="158">
        <v>522001</v>
      </c>
      <c r="D63" s="182">
        <v>16003079</v>
      </c>
      <c r="E63" s="183" t="s">
        <v>534</v>
      </c>
      <c r="F63" s="184">
        <v>55</v>
      </c>
      <c r="G63" s="185" t="s">
        <v>535</v>
      </c>
      <c r="H63" s="126" t="s">
        <v>461</v>
      </c>
      <c r="I63" s="128" t="s">
        <v>536</v>
      </c>
      <c r="J63" s="42" t="s">
        <v>162</v>
      </c>
      <c r="K63" s="493">
        <v>46039</v>
      </c>
      <c r="L63" s="140" t="s">
        <v>537</v>
      </c>
      <c r="M63" s="484" t="s">
        <v>230</v>
      </c>
      <c r="N63" s="140" t="s">
        <v>231</v>
      </c>
      <c r="O63" s="489">
        <v>46043</v>
      </c>
      <c r="P63" s="239" t="s">
        <v>524</v>
      </c>
      <c r="Q63" s="471" t="s">
        <v>358</v>
      </c>
      <c r="R63" s="43"/>
      <c r="S63" s="43"/>
      <c r="T63" s="43"/>
      <c r="U63" s="43"/>
      <c r="V63" s="42"/>
      <c r="W63" s="42"/>
      <c r="X63" s="42"/>
      <c r="Y63" s="42"/>
      <c r="Z63" s="67"/>
      <c r="AA63" s="67"/>
      <c r="AB63" s="67"/>
      <c r="AC63" s="67"/>
      <c r="AD63" s="67"/>
      <c r="AE63" s="67"/>
      <c r="AF63" s="67"/>
      <c r="AG63" s="67"/>
    </row>
    <row r="64" spans="1:33" ht="15" customHeight="1">
      <c r="A64" s="320"/>
      <c r="B64" s="320">
        <v>62</v>
      </c>
      <c r="C64" s="158">
        <v>522002</v>
      </c>
      <c r="D64" s="182">
        <v>16019820</v>
      </c>
      <c r="E64" s="183" t="s">
        <v>538</v>
      </c>
      <c r="F64" s="179">
        <v>49</v>
      </c>
      <c r="G64" s="185" t="s">
        <v>539</v>
      </c>
      <c r="H64" s="130" t="s">
        <v>461</v>
      </c>
      <c r="I64" s="129">
        <v>992246898</v>
      </c>
      <c r="J64" s="42" t="s">
        <v>162</v>
      </c>
      <c r="K64" s="493">
        <v>46039</v>
      </c>
      <c r="L64" s="140" t="s">
        <v>376</v>
      </c>
      <c r="M64" s="484" t="s">
        <v>230</v>
      </c>
      <c r="N64" s="140" t="s">
        <v>231</v>
      </c>
      <c r="O64" s="489">
        <v>46043</v>
      </c>
      <c r="P64" s="239" t="s">
        <v>524</v>
      </c>
      <c r="Q64" s="471" t="s">
        <v>358</v>
      </c>
      <c r="R64" s="43"/>
      <c r="S64" s="43"/>
      <c r="T64" s="43"/>
      <c r="U64" s="43"/>
      <c r="V64" s="42"/>
      <c r="W64" s="42"/>
      <c r="X64" s="42"/>
      <c r="Y64" s="42"/>
      <c r="Z64" s="67"/>
      <c r="AA64" s="67"/>
      <c r="AB64" s="67"/>
      <c r="AC64" s="67"/>
      <c r="AD64" s="67"/>
      <c r="AE64" s="67"/>
      <c r="AF64" s="67"/>
      <c r="AG64" s="67"/>
    </row>
    <row r="65" spans="1:33" ht="15" customHeight="1">
      <c r="A65" s="320"/>
      <c r="B65" s="320">
        <v>63</v>
      </c>
      <c r="C65" s="158">
        <v>291438</v>
      </c>
      <c r="D65" s="156">
        <v>15583535</v>
      </c>
      <c r="E65" s="73" t="s">
        <v>540</v>
      </c>
      <c r="F65" s="158">
        <v>77</v>
      </c>
      <c r="G65" s="73" t="s">
        <v>541</v>
      </c>
      <c r="H65" s="42" t="s">
        <v>222</v>
      </c>
      <c r="I65" s="320" t="s">
        <v>542</v>
      </c>
      <c r="J65" s="42" t="s">
        <v>238</v>
      </c>
      <c r="K65" s="493">
        <v>46039</v>
      </c>
      <c r="L65" s="140" t="s">
        <v>543</v>
      </c>
      <c r="M65" s="484" t="s">
        <v>260</v>
      </c>
      <c r="N65" s="140" t="s">
        <v>241</v>
      </c>
      <c r="O65" s="489">
        <v>46043</v>
      </c>
      <c r="P65" s="239"/>
      <c r="Q65" s="308">
        <v>46023</v>
      </c>
      <c r="R65" s="316">
        <v>46023</v>
      </c>
      <c r="S65" s="320" t="s">
        <v>544</v>
      </c>
      <c r="T65" s="320" t="s">
        <v>323</v>
      </c>
      <c r="U65" s="320" t="s">
        <v>545</v>
      </c>
      <c r="V65" s="320"/>
      <c r="W65" s="320"/>
      <c r="X65" s="320"/>
      <c r="Y65" s="320"/>
      <c r="Z65" s="68"/>
      <c r="AA65" s="68"/>
      <c r="AB65" s="67"/>
      <c r="AC65" s="67"/>
      <c r="AD65" s="67"/>
      <c r="AE65" s="67"/>
      <c r="AF65" s="67"/>
      <c r="AG65" s="67"/>
    </row>
    <row r="66" spans="1:33" ht="15" customHeight="1">
      <c r="A66" s="320"/>
      <c r="B66" s="320">
        <v>64</v>
      </c>
      <c r="C66" s="158">
        <v>365499</v>
      </c>
      <c r="D66" s="158">
        <v>80069405</v>
      </c>
      <c r="E66" s="73" t="s">
        <v>546</v>
      </c>
      <c r="F66" s="158">
        <v>50</v>
      </c>
      <c r="G66" s="73" t="s">
        <v>547</v>
      </c>
      <c r="H66" s="42" t="s">
        <v>222</v>
      </c>
      <c r="I66" s="320">
        <v>960182595</v>
      </c>
      <c r="J66" s="42" t="s">
        <v>223</v>
      </c>
      <c r="K66" s="493">
        <v>46039</v>
      </c>
      <c r="L66" s="140" t="s">
        <v>516</v>
      </c>
      <c r="M66" s="484" t="s">
        <v>312</v>
      </c>
      <c r="N66" s="140" t="s">
        <v>317</v>
      </c>
      <c r="O66" s="489">
        <v>46044</v>
      </c>
      <c r="P66" s="122" t="s">
        <v>292</v>
      </c>
      <c r="Q66" s="413" t="s">
        <v>334</v>
      </c>
      <c r="R66" s="320"/>
      <c r="S66" s="43"/>
      <c r="T66" s="43"/>
      <c r="U66" s="43"/>
      <c r="V66" s="42"/>
      <c r="W66" s="42"/>
      <c r="X66" s="42"/>
      <c r="Y66" s="42"/>
      <c r="Z66" s="67"/>
      <c r="AA66" s="67"/>
      <c r="AB66" s="67"/>
      <c r="AC66" s="67"/>
      <c r="AD66" s="67"/>
      <c r="AE66" s="67"/>
      <c r="AF66" s="67"/>
      <c r="AG66" s="67"/>
    </row>
    <row r="67" spans="1:33" ht="15" customHeight="1">
      <c r="A67" s="320"/>
      <c r="B67" s="320">
        <v>65</v>
      </c>
      <c r="C67" s="158">
        <v>522004</v>
      </c>
      <c r="D67" s="182">
        <v>42037203</v>
      </c>
      <c r="E67" s="183" t="s">
        <v>548</v>
      </c>
      <c r="F67" s="184">
        <v>42</v>
      </c>
      <c r="G67" s="185" t="s">
        <v>549</v>
      </c>
      <c r="H67" s="126" t="s">
        <v>461</v>
      </c>
      <c r="I67" s="128">
        <v>929335390</v>
      </c>
      <c r="J67" s="42" t="s">
        <v>162</v>
      </c>
      <c r="K67" s="493">
        <v>46039</v>
      </c>
      <c r="L67" s="140" t="s">
        <v>550</v>
      </c>
      <c r="M67" s="484" t="s">
        <v>312</v>
      </c>
      <c r="N67" s="140" t="s">
        <v>317</v>
      </c>
      <c r="O67" s="489">
        <v>46043</v>
      </c>
      <c r="P67" s="239" t="s">
        <v>524</v>
      </c>
      <c r="Q67" s="471" t="s">
        <v>358</v>
      </c>
      <c r="R67" s="43"/>
      <c r="S67" s="43"/>
      <c r="T67" s="43"/>
      <c r="U67" s="43"/>
      <c r="V67" s="42"/>
      <c r="W67" s="42"/>
      <c r="X67" s="42"/>
      <c r="Y67" s="42"/>
      <c r="Z67" s="67"/>
      <c r="AA67" s="67"/>
      <c r="AB67" s="67"/>
      <c r="AC67" s="67"/>
      <c r="AD67" s="67"/>
      <c r="AE67" s="67"/>
      <c r="AF67" s="67"/>
      <c r="AG67" s="67"/>
    </row>
    <row r="68" spans="1:33" ht="15" customHeight="1">
      <c r="A68" s="320"/>
      <c r="B68" s="320">
        <v>66</v>
      </c>
      <c r="C68" s="158">
        <v>522003</v>
      </c>
      <c r="D68" s="182">
        <v>16003565</v>
      </c>
      <c r="E68" s="183" t="s">
        <v>551</v>
      </c>
      <c r="F68" s="179">
        <v>55</v>
      </c>
      <c r="G68" s="185" t="s">
        <v>552</v>
      </c>
      <c r="H68" s="126" t="s">
        <v>461</v>
      </c>
      <c r="I68" s="144" t="s">
        <v>553</v>
      </c>
      <c r="J68" s="42" t="s">
        <v>162</v>
      </c>
      <c r="K68" s="493">
        <v>46039</v>
      </c>
      <c r="L68" s="140" t="s">
        <v>554</v>
      </c>
      <c r="M68" s="484" t="s">
        <v>312</v>
      </c>
      <c r="N68" s="140" t="s">
        <v>317</v>
      </c>
      <c r="O68" s="489">
        <v>46043</v>
      </c>
      <c r="P68" s="239" t="s">
        <v>524</v>
      </c>
      <c r="Q68" s="471" t="s">
        <v>358</v>
      </c>
      <c r="R68" s="43"/>
      <c r="S68" s="43"/>
      <c r="T68" s="43"/>
      <c r="U68" s="43"/>
      <c r="V68" s="42"/>
      <c r="W68" s="42"/>
      <c r="X68" s="42"/>
      <c r="Y68" s="42"/>
      <c r="Z68" s="67"/>
      <c r="AA68" s="67"/>
      <c r="AB68" s="67"/>
      <c r="AC68" s="67"/>
      <c r="AD68" s="67"/>
      <c r="AE68" s="67"/>
      <c r="AF68" s="67"/>
      <c r="AG68" s="67"/>
    </row>
    <row r="69" spans="1:33" ht="15" customHeight="1">
      <c r="A69" s="320"/>
      <c r="B69" s="320">
        <v>67</v>
      </c>
      <c r="C69" s="158">
        <v>522005</v>
      </c>
      <c r="D69" s="156">
        <v>41481444</v>
      </c>
      <c r="E69" s="73" t="s">
        <v>555</v>
      </c>
      <c r="F69" s="158">
        <v>42</v>
      </c>
      <c r="G69" s="73" t="s">
        <v>556</v>
      </c>
      <c r="H69" s="42" t="s">
        <v>354</v>
      </c>
      <c r="I69" s="42">
        <v>939932795</v>
      </c>
      <c r="J69" s="42" t="s">
        <v>421</v>
      </c>
      <c r="K69" s="493">
        <v>46039</v>
      </c>
      <c r="L69" s="140" t="s">
        <v>388</v>
      </c>
      <c r="M69" s="484" t="s">
        <v>230</v>
      </c>
      <c r="N69" s="140" t="s">
        <v>241</v>
      </c>
      <c r="O69" s="489">
        <v>46043</v>
      </c>
      <c r="P69" s="239" t="s">
        <v>512</v>
      </c>
      <c r="Q69" s="471" t="s">
        <v>358</v>
      </c>
      <c r="R69" s="43"/>
      <c r="S69" s="43"/>
      <c r="T69" s="43"/>
      <c r="U69" s="43"/>
      <c r="V69" s="42"/>
      <c r="W69" s="42"/>
      <c r="X69" s="42"/>
      <c r="Y69" s="42"/>
      <c r="Z69" s="67"/>
      <c r="AA69" s="67"/>
      <c r="AB69" s="67"/>
      <c r="AC69" s="67"/>
      <c r="AD69" s="67"/>
      <c r="AE69" s="67"/>
      <c r="AF69" s="67"/>
      <c r="AG69" s="67"/>
    </row>
    <row r="70" spans="1:33" ht="15" customHeight="1">
      <c r="A70" s="320"/>
      <c r="B70" s="320">
        <v>68</v>
      </c>
      <c r="C70" s="158">
        <v>451311</v>
      </c>
      <c r="D70" s="156">
        <v>25610242</v>
      </c>
      <c r="E70" s="73" t="s">
        <v>557</v>
      </c>
      <c r="F70" s="158">
        <v>61</v>
      </c>
      <c r="G70" s="73" t="s">
        <v>558</v>
      </c>
      <c r="H70" s="42" t="s">
        <v>432</v>
      </c>
      <c r="I70" s="320">
        <v>902136789</v>
      </c>
      <c r="J70" s="42" t="s">
        <v>238</v>
      </c>
      <c r="K70" s="493">
        <v>46039</v>
      </c>
      <c r="L70" s="140" t="s">
        <v>559</v>
      </c>
      <c r="M70" s="484" t="s">
        <v>312</v>
      </c>
      <c r="N70" s="140" t="s">
        <v>241</v>
      </c>
      <c r="O70" s="489">
        <v>46043</v>
      </c>
      <c r="P70" s="239"/>
      <c r="Q70" s="308">
        <v>46054</v>
      </c>
      <c r="R70" s="320"/>
      <c r="S70" s="320"/>
      <c r="T70" s="320"/>
      <c r="U70" s="320"/>
      <c r="V70" s="320"/>
      <c r="W70" s="320"/>
      <c r="X70" s="320"/>
      <c r="Y70" s="320"/>
      <c r="Z70" s="509"/>
      <c r="AA70" s="509"/>
      <c r="AB70" s="72"/>
      <c r="AC70" s="72"/>
      <c r="AD70" s="72"/>
      <c r="AE70" s="72"/>
      <c r="AF70" s="72"/>
      <c r="AG70" s="72"/>
    </row>
    <row r="71" spans="1:33" ht="15" customHeight="1">
      <c r="A71" s="320"/>
      <c r="B71" s="320">
        <v>69</v>
      </c>
      <c r="C71" s="158">
        <v>354960</v>
      </c>
      <c r="D71" s="156">
        <v>15207281</v>
      </c>
      <c r="E71" s="73" t="s">
        <v>560</v>
      </c>
      <c r="F71" s="158">
        <v>66</v>
      </c>
      <c r="G71" s="73" t="s">
        <v>561</v>
      </c>
      <c r="H71" s="42" t="s">
        <v>237</v>
      </c>
      <c r="I71" s="320" t="s">
        <v>562</v>
      </c>
      <c r="J71" s="42" t="s">
        <v>238</v>
      </c>
      <c r="K71" s="493">
        <v>46039</v>
      </c>
      <c r="L71" s="140" t="s">
        <v>376</v>
      </c>
      <c r="M71" s="484" t="s">
        <v>230</v>
      </c>
      <c r="N71" s="140" t="s">
        <v>231</v>
      </c>
      <c r="O71" s="489">
        <v>46043</v>
      </c>
      <c r="P71" s="239"/>
      <c r="Q71" s="317">
        <v>46023</v>
      </c>
      <c r="R71" s="320"/>
      <c r="S71" s="320"/>
      <c r="T71" s="320"/>
      <c r="U71" s="320"/>
      <c r="V71" s="320"/>
      <c r="W71" s="320"/>
      <c r="X71" s="320"/>
      <c r="Y71" s="320"/>
      <c r="Z71" s="68"/>
      <c r="AA71" s="68"/>
      <c r="AB71" s="67"/>
      <c r="AC71" s="67"/>
      <c r="AD71" s="67"/>
      <c r="AE71" s="67"/>
      <c r="AF71" s="67"/>
      <c r="AG71" s="67"/>
    </row>
    <row r="72" spans="1:33" ht="15" customHeight="1">
      <c r="A72" s="320"/>
      <c r="B72" s="320">
        <v>70</v>
      </c>
      <c r="C72" s="158">
        <v>481957</v>
      </c>
      <c r="D72" s="156" t="s">
        <v>563</v>
      </c>
      <c r="E72" s="156" t="s">
        <v>564</v>
      </c>
      <c r="F72" s="158">
        <v>43</v>
      </c>
      <c r="G72" s="156" t="s">
        <v>565</v>
      </c>
      <c r="H72" s="43" t="s">
        <v>278</v>
      </c>
      <c r="I72" s="320">
        <v>938734287</v>
      </c>
      <c r="J72" s="43" t="s">
        <v>238</v>
      </c>
      <c r="K72" s="493">
        <v>46039</v>
      </c>
      <c r="L72" s="43" t="s">
        <v>566</v>
      </c>
      <c r="M72" s="484" t="s">
        <v>230</v>
      </c>
      <c r="N72" s="43" t="s">
        <v>231</v>
      </c>
      <c r="O72" s="489">
        <v>46048</v>
      </c>
      <c r="P72" s="242"/>
      <c r="Q72" s="308">
        <v>46054</v>
      </c>
      <c r="R72" s="320"/>
      <c r="S72" s="320"/>
      <c r="T72" s="320"/>
      <c r="U72" s="320"/>
      <c r="V72" s="320"/>
      <c r="W72" s="320"/>
      <c r="X72" s="320"/>
      <c r="Y72" s="320"/>
      <c r="Z72" s="68"/>
      <c r="AA72" s="68"/>
      <c r="AB72" s="67"/>
      <c r="AC72" s="67"/>
      <c r="AD72" s="67"/>
      <c r="AE72" s="67"/>
      <c r="AF72" s="67"/>
      <c r="AG72" s="67"/>
    </row>
    <row r="73" spans="1:33" ht="15" customHeight="1">
      <c r="A73" s="320"/>
      <c r="B73" s="320">
        <v>71</v>
      </c>
      <c r="C73" s="158">
        <v>55048</v>
      </c>
      <c r="D73" s="158">
        <v>43878028</v>
      </c>
      <c r="E73" s="73" t="s">
        <v>567</v>
      </c>
      <c r="F73" s="158">
        <v>50</v>
      </c>
      <c r="G73" s="73" t="s">
        <v>568</v>
      </c>
      <c r="H73" s="42" t="s">
        <v>278</v>
      </c>
      <c r="I73" s="320" t="s">
        <v>569</v>
      </c>
      <c r="J73" s="42" t="s">
        <v>223</v>
      </c>
      <c r="K73" s="493">
        <v>46039</v>
      </c>
      <c r="L73" s="140" t="s">
        <v>570</v>
      </c>
      <c r="M73" s="484" t="s">
        <v>312</v>
      </c>
      <c r="N73" s="140" t="s">
        <v>241</v>
      </c>
      <c r="O73" s="489">
        <v>46044</v>
      </c>
      <c r="P73" s="122" t="s">
        <v>292</v>
      </c>
      <c r="Q73" s="420" t="s">
        <v>339</v>
      </c>
      <c r="R73" s="320"/>
      <c r="S73" s="43"/>
      <c r="T73" s="43"/>
      <c r="U73" s="43"/>
      <c r="V73" s="42"/>
      <c r="W73" s="42"/>
      <c r="X73" s="42"/>
      <c r="Y73" s="42"/>
      <c r="Z73" s="67"/>
      <c r="AA73" s="67"/>
      <c r="AB73" s="67"/>
      <c r="AC73" s="67"/>
      <c r="AD73" s="67"/>
      <c r="AE73" s="67"/>
      <c r="AF73" s="67"/>
      <c r="AG73" s="67"/>
    </row>
    <row r="74" spans="1:33" ht="15" customHeight="1">
      <c r="A74" s="320"/>
      <c r="B74" s="320">
        <v>72</v>
      </c>
      <c r="C74" s="158">
        <v>102509</v>
      </c>
      <c r="D74" s="156">
        <v>41105042</v>
      </c>
      <c r="E74" s="73" t="s">
        <v>571</v>
      </c>
      <c r="F74" s="158">
        <v>44</v>
      </c>
      <c r="G74" s="73" t="s">
        <v>572</v>
      </c>
      <c r="H74" s="42" t="s">
        <v>573</v>
      </c>
      <c r="I74" s="320">
        <v>970178208</v>
      </c>
      <c r="J74" s="42" t="s">
        <v>238</v>
      </c>
      <c r="K74" s="493">
        <v>46039</v>
      </c>
      <c r="L74" s="140" t="s">
        <v>413</v>
      </c>
      <c r="M74" s="484" t="s">
        <v>230</v>
      </c>
      <c r="N74" s="140" t="s">
        <v>241</v>
      </c>
      <c r="O74" s="489">
        <v>46043</v>
      </c>
      <c r="P74" s="239"/>
      <c r="Q74" s="308">
        <v>46023</v>
      </c>
      <c r="R74" s="320"/>
      <c r="S74" s="320"/>
      <c r="T74" s="320"/>
      <c r="U74" s="320"/>
      <c r="V74" s="320"/>
      <c r="W74" s="320"/>
      <c r="X74" s="320"/>
      <c r="Y74" s="320"/>
      <c r="Z74" s="68"/>
      <c r="AA74" s="68"/>
      <c r="AB74" s="67"/>
      <c r="AC74" s="67"/>
      <c r="AD74" s="67"/>
      <c r="AE74" s="67"/>
      <c r="AF74" s="67"/>
      <c r="AG74" s="67"/>
    </row>
    <row r="75" spans="1:33" ht="15" customHeight="1">
      <c r="A75" s="526">
        <v>46041</v>
      </c>
      <c r="B75" s="320">
        <v>73</v>
      </c>
      <c r="C75" s="158">
        <v>275365</v>
      </c>
      <c r="D75" s="188">
        <v>32265546</v>
      </c>
      <c r="E75" s="187" t="s">
        <v>574</v>
      </c>
      <c r="F75" s="188">
        <v>60</v>
      </c>
      <c r="G75" s="180" t="s">
        <v>575</v>
      </c>
      <c r="H75" s="145" t="s">
        <v>301</v>
      </c>
      <c r="I75" s="480">
        <v>975692563</v>
      </c>
      <c r="J75" s="42" t="s">
        <v>302</v>
      </c>
      <c r="K75" s="493">
        <v>46041</v>
      </c>
      <c r="L75" s="140" t="s">
        <v>576</v>
      </c>
      <c r="M75" s="484" t="s">
        <v>260</v>
      </c>
      <c r="N75" s="140" t="s">
        <v>241</v>
      </c>
      <c r="O75" s="489">
        <v>46044</v>
      </c>
      <c r="P75" s="122" t="s">
        <v>292</v>
      </c>
      <c r="Q75" s="420" t="s">
        <v>339</v>
      </c>
      <c r="R75" s="320"/>
      <c r="S75" s="43"/>
      <c r="T75" s="43"/>
      <c r="U75" s="43"/>
      <c r="V75" s="42"/>
      <c r="W75" s="42"/>
      <c r="X75" s="42"/>
      <c r="Y75" s="42"/>
      <c r="Z75" s="67"/>
      <c r="AA75" s="67"/>
      <c r="AB75" s="67"/>
      <c r="AC75" s="67"/>
      <c r="AD75" s="67"/>
      <c r="AE75" s="67"/>
      <c r="AF75" s="67"/>
      <c r="AG75" s="67"/>
    </row>
    <row r="76" spans="1:33" ht="15" customHeight="1">
      <c r="A76" s="320"/>
      <c r="B76" s="320">
        <v>74</v>
      </c>
      <c r="C76" s="158">
        <v>416004</v>
      </c>
      <c r="D76" s="191">
        <v>32406139</v>
      </c>
      <c r="E76" s="190" t="s">
        <v>577</v>
      </c>
      <c r="F76" s="191">
        <v>57</v>
      </c>
      <c r="G76" s="178" t="s">
        <v>578</v>
      </c>
      <c r="H76" s="126" t="s">
        <v>246</v>
      </c>
      <c r="I76" s="481">
        <v>966717923</v>
      </c>
      <c r="J76" s="42" t="s">
        <v>579</v>
      </c>
      <c r="K76" s="493">
        <v>46041</v>
      </c>
      <c r="L76" s="140" t="s">
        <v>580</v>
      </c>
      <c r="M76" s="484" t="s">
        <v>312</v>
      </c>
      <c r="N76" s="140" t="s">
        <v>581</v>
      </c>
      <c r="O76" s="489">
        <v>46044</v>
      </c>
      <c r="P76" s="122" t="s">
        <v>292</v>
      </c>
      <c r="Q76" s="420" t="s">
        <v>339</v>
      </c>
      <c r="R76" s="320"/>
      <c r="S76" s="43"/>
      <c r="T76" s="43"/>
      <c r="U76" s="43"/>
      <c r="V76" s="42"/>
      <c r="W76" s="42"/>
      <c r="X76" s="42"/>
      <c r="Y76" s="42"/>
      <c r="Z76" s="67"/>
      <c r="AA76" s="67"/>
      <c r="AB76" s="67"/>
      <c r="AC76" s="67"/>
      <c r="AD76" s="67"/>
      <c r="AE76" s="67"/>
      <c r="AF76" s="67"/>
      <c r="AG76" s="67"/>
    </row>
    <row r="77" spans="1:33" ht="15" customHeight="1">
      <c r="A77" s="320"/>
      <c r="B77" s="320">
        <v>75</v>
      </c>
      <c r="C77" s="158">
        <v>238066</v>
      </c>
      <c r="D77" s="156">
        <v>43502811</v>
      </c>
      <c r="E77" s="73" t="s">
        <v>582</v>
      </c>
      <c r="F77" s="158">
        <v>41</v>
      </c>
      <c r="G77" s="73" t="s">
        <v>583</v>
      </c>
      <c r="H77" s="42" t="s">
        <v>278</v>
      </c>
      <c r="I77" s="320">
        <v>906703771</v>
      </c>
      <c r="J77" s="42" t="s">
        <v>238</v>
      </c>
      <c r="K77" s="493">
        <v>46041</v>
      </c>
      <c r="L77" s="140" t="s">
        <v>584</v>
      </c>
      <c r="M77" s="484" t="s">
        <v>585</v>
      </c>
      <c r="N77" s="140" t="s">
        <v>241</v>
      </c>
      <c r="O77" s="489">
        <v>46043</v>
      </c>
      <c r="P77" s="239"/>
      <c r="Q77" s="414"/>
      <c r="R77" s="320"/>
      <c r="S77" s="320"/>
      <c r="T77" s="320"/>
      <c r="U77" s="320"/>
      <c r="V77" s="320"/>
      <c r="W77" s="320"/>
      <c r="X77" s="320"/>
      <c r="Y77" s="320"/>
      <c r="Z77" s="68"/>
      <c r="AA77" s="68"/>
      <c r="AB77" s="67"/>
      <c r="AC77" s="67"/>
      <c r="AD77" s="67"/>
      <c r="AE77" s="67"/>
      <c r="AF77" s="67"/>
      <c r="AG77" s="67"/>
    </row>
    <row r="78" spans="1:33" ht="15" customHeight="1">
      <c r="A78" s="320"/>
      <c r="B78" s="320">
        <v>76</v>
      </c>
      <c r="C78" s="158">
        <v>236987</v>
      </c>
      <c r="D78" s="158">
        <v>42877557</v>
      </c>
      <c r="E78" s="73" t="s">
        <v>586</v>
      </c>
      <c r="F78" s="158">
        <v>40</v>
      </c>
      <c r="G78" s="73" t="s">
        <v>587</v>
      </c>
      <c r="H78" s="42" t="s">
        <v>222</v>
      </c>
      <c r="I78" s="320">
        <v>986501923</v>
      </c>
      <c r="J78" s="42" t="s">
        <v>588</v>
      </c>
      <c r="K78" s="493">
        <v>46041</v>
      </c>
      <c r="L78" s="140" t="s">
        <v>589</v>
      </c>
      <c r="M78" s="484" t="s">
        <v>312</v>
      </c>
      <c r="N78" s="140" t="s">
        <v>241</v>
      </c>
      <c r="O78" s="489">
        <v>46044</v>
      </c>
      <c r="P78" s="122" t="s">
        <v>292</v>
      </c>
      <c r="Q78" s="413" t="s">
        <v>334</v>
      </c>
      <c r="R78" s="320"/>
      <c r="S78" s="43"/>
      <c r="T78" s="43"/>
      <c r="U78" s="43"/>
      <c r="V78" s="42"/>
      <c r="W78" s="42"/>
      <c r="X78" s="42"/>
      <c r="Y78" s="42"/>
      <c r="Z78" s="67"/>
      <c r="AA78" s="67"/>
      <c r="AB78" s="67"/>
      <c r="AC78" s="67"/>
      <c r="AD78" s="67"/>
      <c r="AE78" s="67"/>
      <c r="AF78" s="67"/>
      <c r="AG78" s="67"/>
    </row>
    <row r="79" spans="1:33" ht="15" customHeight="1">
      <c r="A79" s="320"/>
      <c r="B79" s="320">
        <v>77</v>
      </c>
      <c r="C79" s="158">
        <v>127243</v>
      </c>
      <c r="D79" s="158">
        <v>42846223</v>
      </c>
      <c r="E79" s="73" t="s">
        <v>590</v>
      </c>
      <c r="F79" s="158">
        <v>40</v>
      </c>
      <c r="G79" s="73" t="s">
        <v>591</v>
      </c>
      <c r="H79" s="42" t="s">
        <v>278</v>
      </c>
      <c r="I79" s="320">
        <v>991601983</v>
      </c>
      <c r="J79" s="42" t="s">
        <v>384</v>
      </c>
      <c r="K79" s="493">
        <v>46041</v>
      </c>
      <c r="L79" s="140" t="s">
        <v>584</v>
      </c>
      <c r="M79" s="484" t="s">
        <v>585</v>
      </c>
      <c r="N79" s="140" t="s">
        <v>241</v>
      </c>
      <c r="O79" s="489">
        <v>46044</v>
      </c>
      <c r="P79" s="122" t="s">
        <v>292</v>
      </c>
      <c r="Q79" s="413" t="s">
        <v>334</v>
      </c>
      <c r="R79" s="320"/>
      <c r="S79" s="43"/>
      <c r="T79" s="43"/>
      <c r="U79" s="43"/>
      <c r="V79" s="42"/>
      <c r="W79" s="42"/>
      <c r="X79" s="42"/>
      <c r="Y79" s="42"/>
      <c r="Z79" s="67"/>
      <c r="AA79" s="67"/>
      <c r="AB79" s="67"/>
      <c r="AC79" s="67"/>
      <c r="AD79" s="67"/>
      <c r="AE79" s="67"/>
      <c r="AF79" s="67"/>
      <c r="AG79" s="67"/>
    </row>
    <row r="80" spans="1:33" ht="15" customHeight="1">
      <c r="A80" s="320"/>
      <c r="B80" s="320">
        <v>78</v>
      </c>
      <c r="C80" s="158">
        <v>418721</v>
      </c>
      <c r="D80" s="158" t="s">
        <v>592</v>
      </c>
      <c r="E80" s="73" t="s">
        <v>593</v>
      </c>
      <c r="F80" s="158">
        <v>51</v>
      </c>
      <c r="G80" s="73" t="s">
        <v>594</v>
      </c>
      <c r="H80" s="42" t="s">
        <v>222</v>
      </c>
      <c r="I80" s="482">
        <v>993715020</v>
      </c>
      <c r="J80" s="42" t="s">
        <v>223</v>
      </c>
      <c r="K80" s="493">
        <v>46041</v>
      </c>
      <c r="L80" s="140" t="s">
        <v>576</v>
      </c>
      <c r="M80" s="484" t="s">
        <v>312</v>
      </c>
      <c r="N80" s="140" t="s">
        <v>241</v>
      </c>
      <c r="O80" s="489">
        <v>46044</v>
      </c>
      <c r="P80" s="122" t="s">
        <v>292</v>
      </c>
      <c r="Q80" s="421">
        <v>46023</v>
      </c>
      <c r="R80" s="320" t="s">
        <v>318</v>
      </c>
      <c r="S80" s="43"/>
      <c r="T80" s="43"/>
      <c r="U80" s="43"/>
      <c r="V80" s="42"/>
      <c r="W80" s="42"/>
      <c r="X80" s="42"/>
      <c r="Y80" s="42"/>
      <c r="Z80" s="67"/>
      <c r="AA80" s="67"/>
      <c r="AB80" s="67"/>
      <c r="AC80" s="67"/>
      <c r="AD80" s="67"/>
      <c r="AE80" s="67"/>
      <c r="AF80" s="67"/>
      <c r="AG80" s="67"/>
    </row>
    <row r="81" spans="1:33" ht="15" customHeight="1">
      <c r="A81" s="320"/>
      <c r="B81" s="320">
        <v>79</v>
      </c>
      <c r="C81" s="158">
        <v>204593</v>
      </c>
      <c r="D81" s="156">
        <v>15727522</v>
      </c>
      <c r="E81" s="73" t="s">
        <v>595</v>
      </c>
      <c r="F81" s="158">
        <v>53</v>
      </c>
      <c r="G81" s="73" t="s">
        <v>596</v>
      </c>
      <c r="H81" s="42" t="s">
        <v>278</v>
      </c>
      <c r="I81" s="320">
        <v>942317871</v>
      </c>
      <c r="J81" s="42" t="s">
        <v>238</v>
      </c>
      <c r="K81" s="493">
        <v>46041</v>
      </c>
      <c r="L81" s="140" t="s">
        <v>376</v>
      </c>
      <c r="M81" s="484" t="s">
        <v>230</v>
      </c>
      <c r="N81" s="140" t="s">
        <v>231</v>
      </c>
      <c r="O81" s="489">
        <v>46043</v>
      </c>
      <c r="P81" s="239"/>
      <c r="Q81" s="308">
        <v>46023</v>
      </c>
      <c r="R81" s="320"/>
      <c r="S81" s="320"/>
      <c r="T81" s="320"/>
      <c r="U81" s="320"/>
      <c r="V81" s="320"/>
      <c r="W81" s="320"/>
      <c r="X81" s="320"/>
      <c r="Y81" s="320"/>
      <c r="Z81" s="68"/>
      <c r="AA81" s="68"/>
      <c r="AB81" s="67"/>
      <c r="AC81" s="67"/>
      <c r="AD81" s="67"/>
      <c r="AE81" s="67"/>
      <c r="AF81" s="67"/>
      <c r="AG81" s="67"/>
    </row>
    <row r="82" spans="1:33" ht="15" customHeight="1">
      <c r="A82" s="526">
        <v>46042</v>
      </c>
      <c r="B82" s="320">
        <v>80</v>
      </c>
      <c r="C82" s="158">
        <v>430466</v>
      </c>
      <c r="D82" s="156">
        <v>10508338</v>
      </c>
      <c r="E82" s="156" t="s">
        <v>597</v>
      </c>
      <c r="F82" s="158">
        <v>49</v>
      </c>
      <c r="G82" s="156" t="s">
        <v>598</v>
      </c>
      <c r="H82" s="43" t="s">
        <v>301</v>
      </c>
      <c r="I82" s="320" t="s">
        <v>599</v>
      </c>
      <c r="J82" s="43" t="s">
        <v>238</v>
      </c>
      <c r="K82" s="493">
        <v>46042</v>
      </c>
      <c r="L82" s="43" t="s">
        <v>600</v>
      </c>
      <c r="M82" s="484" t="s">
        <v>230</v>
      </c>
      <c r="N82" s="43" t="s">
        <v>601</v>
      </c>
      <c r="O82" s="489">
        <v>46048</v>
      </c>
      <c r="P82" s="242"/>
      <c r="Q82" s="308">
        <v>46023</v>
      </c>
      <c r="R82" s="320"/>
      <c r="S82" s="320"/>
      <c r="T82" s="320"/>
      <c r="U82" s="320"/>
      <c r="V82" s="320"/>
      <c r="W82" s="320"/>
      <c r="X82" s="320"/>
      <c r="Y82" s="320"/>
      <c r="Z82" s="68"/>
      <c r="AA82" s="68"/>
      <c r="AB82" s="67"/>
      <c r="AC82" s="67"/>
      <c r="AD82" s="67"/>
      <c r="AE82" s="67"/>
      <c r="AF82" s="67"/>
      <c r="AG82" s="67"/>
    </row>
    <row r="83" spans="1:33" ht="15" customHeight="1">
      <c r="A83" s="320"/>
      <c r="B83" s="320">
        <v>81</v>
      </c>
      <c r="C83" s="158">
        <v>106569</v>
      </c>
      <c r="D83" s="156" t="s">
        <v>602</v>
      </c>
      <c r="E83" s="156" t="s">
        <v>603</v>
      </c>
      <c r="F83" s="158">
        <v>59</v>
      </c>
      <c r="G83" s="156" t="s">
        <v>604</v>
      </c>
      <c r="H83" s="43" t="s">
        <v>222</v>
      </c>
      <c r="I83" s="320">
        <v>997551607</v>
      </c>
      <c r="J83" s="43" t="s">
        <v>238</v>
      </c>
      <c r="K83" s="493">
        <v>46042</v>
      </c>
      <c r="L83" s="43" t="s">
        <v>605</v>
      </c>
      <c r="M83" s="484" t="s">
        <v>585</v>
      </c>
      <c r="N83" s="43" t="s">
        <v>241</v>
      </c>
      <c r="O83" s="489">
        <v>46048</v>
      </c>
      <c r="P83" s="242"/>
      <c r="Q83" s="308">
        <v>46082</v>
      </c>
      <c r="R83" s="320"/>
      <c r="S83" s="320"/>
      <c r="T83" s="320"/>
      <c r="U83" s="320"/>
      <c r="V83" s="320"/>
      <c r="W83" s="320"/>
      <c r="X83" s="320"/>
      <c r="Y83" s="320"/>
      <c r="Z83" s="68"/>
      <c r="AA83" s="68"/>
      <c r="AB83" s="67"/>
      <c r="AC83" s="67"/>
      <c r="AD83" s="67"/>
      <c r="AE83" s="67"/>
      <c r="AF83" s="67"/>
      <c r="AG83" s="67"/>
    </row>
    <row r="84" spans="1:33" ht="15" customHeight="1">
      <c r="A84" s="320"/>
      <c r="B84" s="320">
        <v>82</v>
      </c>
      <c r="C84" s="158">
        <v>98445</v>
      </c>
      <c r="D84" s="156">
        <v>40860649</v>
      </c>
      <c r="E84" s="156" t="s">
        <v>606</v>
      </c>
      <c r="F84" s="158">
        <v>44</v>
      </c>
      <c r="G84" s="156" t="s">
        <v>607</v>
      </c>
      <c r="H84" s="43" t="s">
        <v>278</v>
      </c>
      <c r="I84" s="320">
        <v>967751698</v>
      </c>
      <c r="J84" s="43" t="s">
        <v>238</v>
      </c>
      <c r="K84" s="493">
        <v>46042</v>
      </c>
      <c r="L84" s="43" t="s">
        <v>458</v>
      </c>
      <c r="M84" s="484" t="s">
        <v>585</v>
      </c>
      <c r="N84" s="43" t="s">
        <v>241</v>
      </c>
      <c r="O84" s="489">
        <v>46048</v>
      </c>
      <c r="P84" s="242"/>
      <c r="Q84" s="308">
        <v>46023</v>
      </c>
      <c r="R84" s="320"/>
      <c r="S84" s="320"/>
      <c r="T84" s="320"/>
      <c r="U84" s="320"/>
      <c r="V84" s="320"/>
      <c r="W84" s="320"/>
      <c r="X84" s="320"/>
      <c r="Y84" s="320"/>
      <c r="Z84" s="68"/>
      <c r="AA84" s="68"/>
      <c r="AB84" s="67"/>
      <c r="AC84" s="67"/>
      <c r="AD84" s="67"/>
      <c r="AE84" s="67"/>
      <c r="AF84" s="67"/>
      <c r="AG84" s="67"/>
    </row>
    <row r="85" spans="1:33" ht="15" customHeight="1">
      <c r="A85" s="320"/>
      <c r="B85" s="320">
        <v>83</v>
      </c>
      <c r="C85" s="158">
        <v>311464</v>
      </c>
      <c r="D85" s="156">
        <v>40448748</v>
      </c>
      <c r="E85" s="156" t="s">
        <v>608</v>
      </c>
      <c r="F85" s="158">
        <v>45</v>
      </c>
      <c r="G85" s="156" t="s">
        <v>609</v>
      </c>
      <c r="H85" s="43" t="s">
        <v>278</v>
      </c>
      <c r="I85" s="320">
        <v>987082834</v>
      </c>
      <c r="J85" s="43" t="s">
        <v>238</v>
      </c>
      <c r="K85" s="493">
        <v>46042</v>
      </c>
      <c r="L85" s="43" t="s">
        <v>458</v>
      </c>
      <c r="M85" s="484" t="s">
        <v>585</v>
      </c>
      <c r="N85" s="43" t="s">
        <v>241</v>
      </c>
      <c r="O85" s="489">
        <v>46048</v>
      </c>
      <c r="P85" s="242"/>
      <c r="Q85" s="308">
        <v>46023</v>
      </c>
      <c r="R85" s="320"/>
      <c r="S85" s="320"/>
      <c r="T85" s="320"/>
      <c r="U85" s="320"/>
      <c r="V85" s="320"/>
      <c r="W85" s="320"/>
      <c r="X85" s="320"/>
      <c r="Y85" s="320"/>
      <c r="Z85" s="68"/>
      <c r="AA85" s="68"/>
      <c r="AB85" s="67"/>
      <c r="AC85" s="67"/>
      <c r="AD85" s="67"/>
      <c r="AE85" s="67"/>
      <c r="AF85" s="67"/>
      <c r="AG85" s="67"/>
    </row>
    <row r="86" spans="1:33" ht="15" customHeight="1">
      <c r="A86" s="493"/>
      <c r="B86" s="320">
        <v>84</v>
      </c>
      <c r="C86" s="158">
        <v>75100</v>
      </c>
      <c r="D86" s="158">
        <v>15760620</v>
      </c>
      <c r="E86" s="73" t="s">
        <v>610</v>
      </c>
      <c r="F86" s="158">
        <v>48</v>
      </c>
      <c r="G86" s="73" t="s">
        <v>611</v>
      </c>
      <c r="H86" s="42" t="s">
        <v>278</v>
      </c>
      <c r="I86" s="320" t="s">
        <v>612</v>
      </c>
      <c r="J86" s="42" t="s">
        <v>384</v>
      </c>
      <c r="K86" s="493">
        <v>46042</v>
      </c>
      <c r="L86" s="140" t="s">
        <v>613</v>
      </c>
      <c r="M86" s="484" t="s">
        <v>585</v>
      </c>
      <c r="N86" s="140" t="s">
        <v>241</v>
      </c>
      <c r="O86" s="489">
        <v>46065</v>
      </c>
      <c r="P86" s="243" t="s">
        <v>292</v>
      </c>
      <c r="Q86" s="422" t="s">
        <v>614</v>
      </c>
      <c r="R86" s="320"/>
      <c r="S86" s="43"/>
      <c r="T86" s="43"/>
      <c r="U86" s="43"/>
      <c r="V86" s="42"/>
      <c r="W86" s="42"/>
      <c r="X86" s="42"/>
      <c r="Y86" s="42"/>
      <c r="Z86" s="67"/>
      <c r="AA86" s="67"/>
      <c r="AB86" s="67"/>
      <c r="AC86" s="67"/>
      <c r="AD86" s="67"/>
      <c r="AE86" s="67"/>
      <c r="AF86" s="67"/>
      <c r="AG86" s="67"/>
    </row>
    <row r="87" spans="1:33" ht="15" customHeight="1">
      <c r="A87" s="526">
        <v>46043</v>
      </c>
      <c r="B87" s="320">
        <v>85</v>
      </c>
      <c r="C87" s="158">
        <v>344140</v>
      </c>
      <c r="D87" s="158">
        <v>40252137</v>
      </c>
      <c r="E87" s="73" t="s">
        <v>615</v>
      </c>
      <c r="F87" s="158">
        <v>47</v>
      </c>
      <c r="G87" s="73" t="s">
        <v>616</v>
      </c>
      <c r="H87" s="42" t="s">
        <v>326</v>
      </c>
      <c r="I87" s="320">
        <v>298365855</v>
      </c>
      <c r="J87" s="42" t="s">
        <v>617</v>
      </c>
      <c r="K87" s="493">
        <v>46043</v>
      </c>
      <c r="L87" s="140" t="s">
        <v>458</v>
      </c>
      <c r="M87" s="484" t="s">
        <v>585</v>
      </c>
      <c r="N87" s="140" t="s">
        <v>241</v>
      </c>
      <c r="O87" s="489">
        <v>46065</v>
      </c>
      <c r="P87" s="243" t="s">
        <v>292</v>
      </c>
      <c r="Q87" s="423" t="s">
        <v>334</v>
      </c>
      <c r="R87" s="320"/>
      <c r="S87" s="43"/>
      <c r="T87" s="43"/>
      <c r="U87" s="43"/>
      <c r="V87" s="42"/>
      <c r="W87" s="42"/>
      <c r="X87" s="42"/>
      <c r="Y87" s="42"/>
      <c r="Z87" s="67"/>
      <c r="AA87" s="67"/>
      <c r="AB87" s="67"/>
      <c r="AC87" s="67"/>
      <c r="AD87" s="67"/>
      <c r="AE87" s="67"/>
      <c r="AF87" s="67"/>
      <c r="AG87" s="67"/>
    </row>
    <row r="88" spans="1:33" ht="15" customHeight="1">
      <c r="A88" s="320"/>
      <c r="B88" s="320">
        <v>86</v>
      </c>
      <c r="C88" s="158">
        <v>309420</v>
      </c>
      <c r="D88" s="158">
        <v>42737694</v>
      </c>
      <c r="E88" s="73" t="s">
        <v>618</v>
      </c>
      <c r="F88" s="158">
        <v>41</v>
      </c>
      <c r="G88" s="73" t="s">
        <v>619</v>
      </c>
      <c r="H88" s="42" t="s">
        <v>432</v>
      </c>
      <c r="I88" s="320">
        <v>944152480</v>
      </c>
      <c r="J88" s="42" t="s">
        <v>283</v>
      </c>
      <c r="K88" s="493">
        <v>46043</v>
      </c>
      <c r="L88" s="140" t="s">
        <v>620</v>
      </c>
      <c r="M88" s="484" t="s">
        <v>585</v>
      </c>
      <c r="N88" s="140" t="s">
        <v>241</v>
      </c>
      <c r="O88" s="489" t="s">
        <v>621</v>
      </c>
      <c r="P88" s="243" t="s">
        <v>622</v>
      </c>
      <c r="Q88" s="421">
        <v>46054</v>
      </c>
      <c r="R88" s="320" t="s">
        <v>350</v>
      </c>
      <c r="S88" s="43"/>
      <c r="T88" s="43"/>
      <c r="U88" s="43"/>
      <c r="V88" s="42"/>
      <c r="W88" s="42"/>
      <c r="X88" s="42"/>
      <c r="Y88" s="42"/>
      <c r="Z88" s="67"/>
      <c r="AA88" s="67"/>
      <c r="AB88" s="67"/>
      <c r="AC88" s="67"/>
      <c r="AD88" s="67"/>
      <c r="AE88" s="67"/>
      <c r="AF88" s="67"/>
      <c r="AG88" s="67"/>
    </row>
    <row r="89" spans="1:33" ht="15" customHeight="1">
      <c r="A89" s="320"/>
      <c r="B89" s="320">
        <v>87</v>
      </c>
      <c r="C89" s="158">
        <v>150257</v>
      </c>
      <c r="D89" s="156">
        <v>15642340</v>
      </c>
      <c r="E89" s="156" t="s">
        <v>623</v>
      </c>
      <c r="F89" s="158">
        <v>55</v>
      </c>
      <c r="G89" s="156" t="s">
        <v>624</v>
      </c>
      <c r="H89" s="43" t="s">
        <v>625</v>
      </c>
      <c r="I89" s="320" t="s">
        <v>626</v>
      </c>
      <c r="J89" s="43" t="s">
        <v>238</v>
      </c>
      <c r="K89" s="493">
        <v>46043</v>
      </c>
      <c r="L89" s="43" t="s">
        <v>458</v>
      </c>
      <c r="M89" s="484" t="s">
        <v>585</v>
      </c>
      <c r="N89" s="43" t="s">
        <v>241</v>
      </c>
      <c r="O89" s="489">
        <v>46048</v>
      </c>
      <c r="P89" s="242"/>
      <c r="Q89" s="308">
        <v>46023</v>
      </c>
      <c r="R89" s="320"/>
      <c r="S89" s="320"/>
      <c r="T89" s="320"/>
      <c r="U89" s="320"/>
      <c r="V89" s="320"/>
      <c r="W89" s="320"/>
      <c r="X89" s="320"/>
      <c r="Y89" s="320"/>
      <c r="Z89" s="68"/>
      <c r="AA89" s="68"/>
      <c r="AB89" s="67"/>
      <c r="AC89" s="67"/>
      <c r="AD89" s="67"/>
      <c r="AE89" s="67"/>
      <c r="AF89" s="67"/>
      <c r="AG89" s="67"/>
    </row>
    <row r="90" spans="1:33" ht="15" customHeight="1">
      <c r="A90" s="320"/>
      <c r="B90" s="320">
        <v>88</v>
      </c>
      <c r="C90" s="158">
        <v>151430</v>
      </c>
      <c r="D90" s="158">
        <v>15728076</v>
      </c>
      <c r="E90" s="73" t="s">
        <v>627</v>
      </c>
      <c r="F90" s="158">
        <v>55</v>
      </c>
      <c r="G90" s="73" t="s">
        <v>628</v>
      </c>
      <c r="H90" s="42" t="s">
        <v>278</v>
      </c>
      <c r="I90" s="320" t="s">
        <v>629</v>
      </c>
      <c r="J90" s="42" t="s">
        <v>384</v>
      </c>
      <c r="K90" s="493">
        <v>46043</v>
      </c>
      <c r="L90" s="140" t="s">
        <v>630</v>
      </c>
      <c r="M90" s="484" t="s">
        <v>585</v>
      </c>
      <c r="N90" s="140" t="s">
        <v>241</v>
      </c>
      <c r="O90" s="489">
        <v>46065</v>
      </c>
      <c r="P90" s="243" t="s">
        <v>292</v>
      </c>
      <c r="Q90" s="423" t="s">
        <v>385</v>
      </c>
      <c r="R90" s="320"/>
      <c r="S90" s="43"/>
      <c r="T90" s="43"/>
      <c r="U90" s="43"/>
      <c r="V90" s="42"/>
      <c r="W90" s="42"/>
      <c r="X90" s="42"/>
      <c r="Y90" s="42"/>
      <c r="Z90" s="67"/>
      <c r="AA90" s="67"/>
      <c r="AB90" s="67"/>
      <c r="AC90" s="67"/>
      <c r="AD90" s="67"/>
      <c r="AE90" s="67"/>
      <c r="AF90" s="67"/>
      <c r="AG90" s="67"/>
    </row>
    <row r="91" spans="1:33" ht="15" customHeight="1">
      <c r="A91" s="320"/>
      <c r="B91" s="320">
        <v>89</v>
      </c>
      <c r="C91" s="158">
        <v>522129</v>
      </c>
      <c r="D91" s="156">
        <v>41372511</v>
      </c>
      <c r="E91" s="156" t="s">
        <v>631</v>
      </c>
      <c r="F91" s="158">
        <v>43</v>
      </c>
      <c r="G91" s="156" t="s">
        <v>632</v>
      </c>
      <c r="H91" s="43" t="s">
        <v>354</v>
      </c>
      <c r="I91" s="43" t="s">
        <v>633</v>
      </c>
      <c r="J91" s="43" t="s">
        <v>162</v>
      </c>
      <c r="K91" s="493">
        <v>46043</v>
      </c>
      <c r="L91" s="43" t="s">
        <v>634</v>
      </c>
      <c r="M91" s="484" t="s">
        <v>230</v>
      </c>
      <c r="N91" s="43" t="s">
        <v>231</v>
      </c>
      <c r="O91" s="489">
        <v>46048</v>
      </c>
      <c r="P91" s="242" t="s">
        <v>524</v>
      </c>
      <c r="Q91" s="471" t="s">
        <v>358</v>
      </c>
      <c r="R91" s="43"/>
      <c r="S91" s="43"/>
      <c r="T91" s="43"/>
      <c r="U91" s="43"/>
      <c r="V91" s="43"/>
      <c r="W91" s="43"/>
      <c r="X91" s="43"/>
      <c r="Y91" s="43"/>
      <c r="Z91" s="67"/>
      <c r="AA91" s="67"/>
      <c r="AB91" s="67"/>
      <c r="AC91" s="67"/>
      <c r="AD91" s="67"/>
      <c r="AE91" s="67"/>
      <c r="AF91" s="67"/>
      <c r="AG91" s="67"/>
    </row>
    <row r="92" spans="1:33" ht="15" customHeight="1">
      <c r="A92" s="320"/>
      <c r="B92" s="320">
        <v>90</v>
      </c>
      <c r="C92" s="158">
        <v>522127</v>
      </c>
      <c r="D92" s="156">
        <v>42802122</v>
      </c>
      <c r="E92" s="156" t="s">
        <v>635</v>
      </c>
      <c r="F92" s="158">
        <v>59</v>
      </c>
      <c r="G92" s="156" t="s">
        <v>636</v>
      </c>
      <c r="H92" s="43" t="s">
        <v>354</v>
      </c>
      <c r="I92" s="43" t="s">
        <v>637</v>
      </c>
      <c r="J92" s="43" t="s">
        <v>162</v>
      </c>
      <c r="K92" s="493">
        <v>46043</v>
      </c>
      <c r="L92" s="43" t="s">
        <v>638</v>
      </c>
      <c r="M92" s="484" t="s">
        <v>585</v>
      </c>
      <c r="N92" s="43" t="s">
        <v>241</v>
      </c>
      <c r="O92" s="489">
        <v>46048</v>
      </c>
      <c r="P92" s="242" t="s">
        <v>639</v>
      </c>
      <c r="Q92" s="471" t="s">
        <v>358</v>
      </c>
      <c r="R92" s="43"/>
      <c r="S92" s="43"/>
      <c r="T92" s="43"/>
      <c r="U92" s="43"/>
      <c r="V92" s="43"/>
      <c r="W92" s="43"/>
      <c r="X92" s="43"/>
      <c r="Y92" s="43"/>
      <c r="Z92" s="67"/>
      <c r="AA92" s="67"/>
      <c r="AB92" s="67"/>
      <c r="AC92" s="67"/>
      <c r="AD92" s="67"/>
      <c r="AE92" s="67"/>
      <c r="AF92" s="67"/>
      <c r="AG92" s="67"/>
    </row>
    <row r="93" spans="1:33" ht="15" customHeight="1">
      <c r="A93" s="320"/>
      <c r="B93" s="320">
        <v>91</v>
      </c>
      <c r="C93" s="158">
        <v>522138</v>
      </c>
      <c r="D93" s="156">
        <v>20119311</v>
      </c>
      <c r="E93" s="156" t="s">
        <v>640</v>
      </c>
      <c r="F93" s="158">
        <v>47</v>
      </c>
      <c r="G93" s="156" t="s">
        <v>641</v>
      </c>
      <c r="H93" s="43" t="s">
        <v>354</v>
      </c>
      <c r="I93" s="43" t="s">
        <v>642</v>
      </c>
      <c r="J93" s="43" t="s">
        <v>162</v>
      </c>
      <c r="K93" s="493">
        <v>46043</v>
      </c>
      <c r="L93" s="43" t="s">
        <v>630</v>
      </c>
      <c r="M93" s="484" t="s">
        <v>585</v>
      </c>
      <c r="N93" s="43" t="s">
        <v>241</v>
      </c>
      <c r="O93" s="489">
        <v>46048</v>
      </c>
      <c r="P93" s="242" t="s">
        <v>639</v>
      </c>
      <c r="Q93" s="471" t="s">
        <v>358</v>
      </c>
      <c r="R93" s="43"/>
      <c r="S93" s="43"/>
      <c r="T93" s="43"/>
      <c r="U93" s="43"/>
      <c r="V93" s="43"/>
      <c r="W93" s="43"/>
      <c r="X93" s="43"/>
      <c r="Y93" s="43"/>
      <c r="Z93" s="67"/>
      <c r="AA93" s="67"/>
      <c r="AB93" s="67"/>
      <c r="AC93" s="67"/>
      <c r="AD93" s="67"/>
      <c r="AE93" s="67"/>
      <c r="AF93" s="67"/>
      <c r="AG93" s="67"/>
    </row>
    <row r="94" spans="1:33" ht="15" customHeight="1">
      <c r="A94" s="474"/>
      <c r="B94" s="474">
        <v>92</v>
      </c>
      <c r="C94" s="161">
        <v>522142</v>
      </c>
      <c r="D94" s="159">
        <v>15749713</v>
      </c>
      <c r="E94" s="159" t="s">
        <v>643</v>
      </c>
      <c r="F94" s="161">
        <v>51</v>
      </c>
      <c r="G94" s="159" t="s">
        <v>644</v>
      </c>
      <c r="H94" s="132" t="s">
        <v>461</v>
      </c>
      <c r="I94" s="132" t="s">
        <v>645</v>
      </c>
      <c r="J94" s="132" t="s">
        <v>162</v>
      </c>
      <c r="K94" s="495">
        <v>46043</v>
      </c>
      <c r="L94" s="132" t="s">
        <v>646</v>
      </c>
      <c r="M94" s="850" t="s">
        <v>225</v>
      </c>
      <c r="N94" s="132" t="s">
        <v>241</v>
      </c>
      <c r="O94" s="487">
        <v>46048</v>
      </c>
      <c r="P94" s="137" t="s">
        <v>639</v>
      </c>
      <c r="Q94" s="471" t="s">
        <v>358</v>
      </c>
      <c r="R94" s="132"/>
      <c r="S94" s="132"/>
      <c r="T94" s="132"/>
      <c r="U94" s="132"/>
      <c r="V94" s="132"/>
      <c r="W94" s="132"/>
      <c r="X94" s="132"/>
      <c r="Y94" s="132"/>
      <c r="Z94" s="67"/>
      <c r="AA94" s="67"/>
      <c r="AB94" s="67"/>
      <c r="AC94" s="67"/>
      <c r="AD94" s="67"/>
      <c r="AE94" s="67"/>
      <c r="AF94" s="67"/>
      <c r="AG94" s="67"/>
    </row>
    <row r="95" spans="1:33" ht="15" customHeight="1">
      <c r="A95" s="320"/>
      <c r="B95" s="320">
        <v>93</v>
      </c>
      <c r="C95" s="158">
        <v>522141</v>
      </c>
      <c r="D95" s="156">
        <v>15751475</v>
      </c>
      <c r="E95" s="156" t="s">
        <v>647</v>
      </c>
      <c r="F95" s="158">
        <v>51</v>
      </c>
      <c r="G95" s="156" t="s">
        <v>648</v>
      </c>
      <c r="H95" s="43" t="s">
        <v>461</v>
      </c>
      <c r="I95" s="43" t="s">
        <v>649</v>
      </c>
      <c r="J95" s="43" t="s">
        <v>162</v>
      </c>
      <c r="K95" s="493">
        <v>46043</v>
      </c>
      <c r="L95" s="43" t="s">
        <v>650</v>
      </c>
      <c r="M95" s="484" t="s">
        <v>585</v>
      </c>
      <c r="N95" s="43" t="s">
        <v>241</v>
      </c>
      <c r="O95" s="489">
        <v>46048</v>
      </c>
      <c r="P95" s="242" t="s">
        <v>639</v>
      </c>
      <c r="Q95" s="471" t="s">
        <v>358</v>
      </c>
      <c r="R95" s="43"/>
      <c r="S95" s="43"/>
      <c r="T95" s="43"/>
      <c r="U95" s="43"/>
      <c r="V95" s="43"/>
      <c r="W95" s="43"/>
      <c r="X95" s="43"/>
      <c r="Y95" s="43"/>
      <c r="Z95" s="67"/>
      <c r="AA95" s="67"/>
      <c r="AB95" s="67"/>
      <c r="AC95" s="67"/>
      <c r="AD95" s="67"/>
      <c r="AE95" s="67"/>
      <c r="AF95" s="67"/>
      <c r="AG95" s="67"/>
    </row>
    <row r="96" spans="1:33" ht="15" customHeight="1">
      <c r="A96" s="526">
        <v>46044</v>
      </c>
      <c r="B96" s="320">
        <v>94</v>
      </c>
      <c r="C96" s="158">
        <v>81372</v>
      </c>
      <c r="D96" s="156">
        <v>15608235</v>
      </c>
      <c r="E96" s="155" t="s">
        <v>651</v>
      </c>
      <c r="F96" s="158">
        <v>68</v>
      </c>
      <c r="G96" s="155" t="s">
        <v>652</v>
      </c>
      <c r="H96" s="44" t="s">
        <v>222</v>
      </c>
      <c r="I96" s="493" t="s">
        <v>653</v>
      </c>
      <c r="J96" s="43" t="s">
        <v>238</v>
      </c>
      <c r="K96" s="493">
        <v>46044</v>
      </c>
      <c r="L96" s="44" t="s">
        <v>654</v>
      </c>
      <c r="M96" s="484" t="s">
        <v>585</v>
      </c>
      <c r="N96" s="43" t="s">
        <v>655</v>
      </c>
      <c r="O96" s="489">
        <v>46048</v>
      </c>
      <c r="P96" s="44"/>
      <c r="Q96" s="318">
        <v>46054</v>
      </c>
      <c r="R96" s="493"/>
      <c r="S96" s="493"/>
      <c r="T96" s="493"/>
      <c r="U96" s="493"/>
      <c r="V96" s="493"/>
      <c r="W96" s="493"/>
      <c r="X96" s="493"/>
      <c r="Y96" s="493"/>
      <c r="Z96" s="68"/>
      <c r="AA96" s="68"/>
      <c r="AB96" s="67"/>
      <c r="AC96" s="67"/>
      <c r="AD96" s="67"/>
      <c r="AE96" s="67"/>
      <c r="AF96" s="67"/>
      <c r="AG96" s="67"/>
    </row>
    <row r="97" spans="1:33" ht="15" customHeight="1">
      <c r="A97" s="493"/>
      <c r="B97" s="320">
        <v>95</v>
      </c>
      <c r="C97" s="158">
        <v>232927</v>
      </c>
      <c r="D97" s="156">
        <v>40311604</v>
      </c>
      <c r="E97" s="192" t="s">
        <v>656</v>
      </c>
      <c r="F97" s="158">
        <v>52</v>
      </c>
      <c r="G97" s="192" t="s">
        <v>657</v>
      </c>
      <c r="H97" s="115" t="s">
        <v>237</v>
      </c>
      <c r="I97" s="42">
        <v>935371856</v>
      </c>
      <c r="J97" s="42" t="s">
        <v>429</v>
      </c>
      <c r="K97" s="493">
        <v>46044</v>
      </c>
      <c r="L97" s="845" t="s">
        <v>630</v>
      </c>
      <c r="M97" s="484" t="s">
        <v>585</v>
      </c>
      <c r="N97" s="140" t="s">
        <v>241</v>
      </c>
      <c r="O97" s="489">
        <v>46065</v>
      </c>
      <c r="P97" s="243" t="s">
        <v>292</v>
      </c>
      <c r="Q97" s="471" t="s">
        <v>358</v>
      </c>
      <c r="R97" s="44"/>
      <c r="S97" s="44"/>
      <c r="T97" s="44"/>
      <c r="U97" s="44"/>
      <c r="V97" s="115"/>
      <c r="W97" s="115"/>
      <c r="X97" s="115"/>
      <c r="Y97" s="115"/>
      <c r="Z97" s="67"/>
      <c r="AA97" s="67"/>
      <c r="AB97" s="67"/>
      <c r="AC97" s="67"/>
      <c r="AD97" s="67"/>
      <c r="AE97" s="67"/>
      <c r="AF97" s="67"/>
      <c r="AG97" s="67"/>
    </row>
    <row r="98" spans="1:33" ht="15" customHeight="1">
      <c r="A98" s="493"/>
      <c r="B98" s="320">
        <v>96</v>
      </c>
      <c r="C98" s="158">
        <v>155918</v>
      </c>
      <c r="D98" s="158">
        <v>15648545</v>
      </c>
      <c r="E98" s="192" t="s">
        <v>658</v>
      </c>
      <c r="F98" s="158">
        <v>56</v>
      </c>
      <c r="G98" s="192" t="s">
        <v>659</v>
      </c>
      <c r="H98" s="115" t="s">
        <v>222</v>
      </c>
      <c r="I98" s="320">
        <v>916520483</v>
      </c>
      <c r="J98" s="42" t="s">
        <v>283</v>
      </c>
      <c r="K98" s="493">
        <v>46044</v>
      </c>
      <c r="L98" s="845" t="s">
        <v>630</v>
      </c>
      <c r="M98" s="484" t="s">
        <v>585</v>
      </c>
      <c r="N98" s="140" t="s">
        <v>241</v>
      </c>
      <c r="O98" s="489" t="s">
        <v>660</v>
      </c>
      <c r="P98" s="243" t="s">
        <v>661</v>
      </c>
      <c r="Q98" s="423" t="s">
        <v>334</v>
      </c>
      <c r="R98" s="493"/>
      <c r="S98" s="44"/>
      <c r="T98" s="44"/>
      <c r="U98" s="44"/>
      <c r="V98" s="115"/>
      <c r="W98" s="115"/>
      <c r="X98" s="115"/>
      <c r="Y98" s="115"/>
      <c r="Z98" s="67"/>
      <c r="AA98" s="67"/>
      <c r="AB98" s="67"/>
      <c r="AC98" s="67"/>
      <c r="AD98" s="67"/>
      <c r="AE98" s="67"/>
      <c r="AF98" s="67"/>
      <c r="AG98" s="67"/>
    </row>
    <row r="99" spans="1:33" ht="15" customHeight="1">
      <c r="A99" s="493"/>
      <c r="B99" s="320">
        <v>97</v>
      </c>
      <c r="C99" s="158">
        <v>276484</v>
      </c>
      <c r="D99" s="156">
        <v>15761566</v>
      </c>
      <c r="E99" s="192" t="s">
        <v>662</v>
      </c>
      <c r="F99" s="158">
        <v>52</v>
      </c>
      <c r="G99" s="192" t="s">
        <v>663</v>
      </c>
      <c r="H99" s="115" t="s">
        <v>278</v>
      </c>
      <c r="I99" s="115" t="s">
        <v>664</v>
      </c>
      <c r="J99" s="42" t="s">
        <v>429</v>
      </c>
      <c r="K99" s="493">
        <v>46044</v>
      </c>
      <c r="L99" s="845" t="s">
        <v>630</v>
      </c>
      <c r="M99" s="484" t="s">
        <v>585</v>
      </c>
      <c r="N99" s="140" t="s">
        <v>241</v>
      </c>
      <c r="O99" s="489">
        <v>46065</v>
      </c>
      <c r="P99" s="243" t="s">
        <v>292</v>
      </c>
      <c r="Q99" s="471" t="s">
        <v>358</v>
      </c>
      <c r="R99" s="44"/>
      <c r="S99" s="44"/>
      <c r="T99" s="44"/>
      <c r="U99" s="44"/>
      <c r="V99" s="115"/>
      <c r="W99" s="115"/>
      <c r="X99" s="115"/>
      <c r="Y99" s="115"/>
      <c r="Z99" s="67"/>
      <c r="AA99" s="67"/>
      <c r="AB99" s="67"/>
      <c r="AC99" s="67"/>
      <c r="AD99" s="67"/>
      <c r="AE99" s="67"/>
      <c r="AF99" s="67"/>
      <c r="AG99" s="67"/>
    </row>
    <row r="100" spans="1:33" ht="15" customHeight="1">
      <c r="A100" s="526">
        <v>46045</v>
      </c>
      <c r="B100" s="320">
        <v>98</v>
      </c>
      <c r="C100" s="158">
        <v>263663</v>
      </c>
      <c r="D100" s="158">
        <v>43490410</v>
      </c>
      <c r="E100" s="73" t="s">
        <v>665</v>
      </c>
      <c r="F100" s="158">
        <v>45</v>
      </c>
      <c r="G100" s="73" t="s">
        <v>666</v>
      </c>
      <c r="H100" s="42" t="s">
        <v>222</v>
      </c>
      <c r="I100" s="320">
        <v>997856176</v>
      </c>
      <c r="J100" s="42" t="s">
        <v>223</v>
      </c>
      <c r="K100" s="493">
        <v>46045</v>
      </c>
      <c r="L100" s="140" t="s">
        <v>630</v>
      </c>
      <c r="M100" s="484" t="s">
        <v>585</v>
      </c>
      <c r="N100" s="140" t="s">
        <v>241</v>
      </c>
      <c r="O100" s="489">
        <v>46065</v>
      </c>
      <c r="P100" s="243" t="s">
        <v>292</v>
      </c>
      <c r="Q100" s="421">
        <v>46054</v>
      </c>
      <c r="R100" s="320" t="s">
        <v>350</v>
      </c>
      <c r="S100" s="43"/>
      <c r="T100" s="43"/>
      <c r="U100" s="43"/>
      <c r="V100" s="42"/>
      <c r="W100" s="42"/>
      <c r="X100" s="42"/>
      <c r="Y100" s="42"/>
      <c r="Z100" s="67"/>
      <c r="AA100" s="67"/>
      <c r="AB100" s="67"/>
      <c r="AC100" s="67"/>
      <c r="AD100" s="67"/>
      <c r="AE100" s="67"/>
      <c r="AF100" s="67"/>
      <c r="AG100" s="67"/>
    </row>
    <row r="101" spans="1:33" ht="15" customHeight="1">
      <c r="A101" s="320"/>
      <c r="B101" s="320">
        <v>99</v>
      </c>
      <c r="C101" s="158">
        <v>11470</v>
      </c>
      <c r="D101" s="158">
        <v>32731799</v>
      </c>
      <c r="E101" s="73" t="s">
        <v>667</v>
      </c>
      <c r="F101" s="158">
        <v>47</v>
      </c>
      <c r="G101" s="73" t="s">
        <v>668</v>
      </c>
      <c r="H101" s="42" t="s">
        <v>301</v>
      </c>
      <c r="I101" s="320">
        <v>959142151</v>
      </c>
      <c r="J101" s="42" t="s">
        <v>302</v>
      </c>
      <c r="K101" s="493">
        <v>23</v>
      </c>
      <c r="L101" s="140" t="s">
        <v>669</v>
      </c>
      <c r="M101" s="484" t="s">
        <v>585</v>
      </c>
      <c r="N101" s="140" t="s">
        <v>241</v>
      </c>
      <c r="O101" s="489">
        <v>46065</v>
      </c>
      <c r="P101" s="243" t="s">
        <v>292</v>
      </c>
      <c r="Q101" s="423" t="s">
        <v>385</v>
      </c>
      <c r="R101" s="320"/>
      <c r="S101" s="43"/>
      <c r="T101" s="43"/>
      <c r="U101" s="43"/>
      <c r="V101" s="42"/>
      <c r="W101" s="42"/>
      <c r="X101" s="42"/>
      <c r="Y101" s="42"/>
      <c r="Z101" s="67"/>
      <c r="AA101" s="67"/>
      <c r="AB101" s="67"/>
      <c r="AC101" s="67"/>
      <c r="AD101" s="67"/>
      <c r="AE101" s="67"/>
      <c r="AF101" s="67"/>
      <c r="AG101" s="67"/>
    </row>
    <row r="102" spans="1:33" ht="15" customHeight="1">
      <c r="A102" s="320"/>
      <c r="B102" s="320">
        <v>100</v>
      </c>
      <c r="C102" s="158">
        <v>252029</v>
      </c>
      <c r="D102" s="158">
        <v>42566421</v>
      </c>
      <c r="E102" s="192" t="s">
        <v>670</v>
      </c>
      <c r="F102" s="158">
        <v>45</v>
      </c>
      <c r="G102" s="73" t="s">
        <v>671</v>
      </c>
      <c r="H102" s="42" t="s">
        <v>278</v>
      </c>
      <c r="I102" s="320">
        <v>953202036</v>
      </c>
      <c r="J102" s="42" t="s">
        <v>384</v>
      </c>
      <c r="K102" s="493">
        <v>23</v>
      </c>
      <c r="L102" s="140" t="s">
        <v>630</v>
      </c>
      <c r="M102" s="484" t="s">
        <v>585</v>
      </c>
      <c r="N102" s="140" t="s">
        <v>241</v>
      </c>
      <c r="O102" s="489">
        <v>46065</v>
      </c>
      <c r="P102" s="243" t="s">
        <v>292</v>
      </c>
      <c r="Q102" s="473" t="s">
        <v>339</v>
      </c>
      <c r="R102" s="320"/>
      <c r="S102" s="43"/>
      <c r="T102" s="43"/>
      <c r="U102" s="43"/>
      <c r="V102" s="42"/>
      <c r="W102" s="42"/>
      <c r="X102" s="42"/>
      <c r="Y102" s="42"/>
      <c r="Z102" s="67"/>
      <c r="AA102" s="67"/>
      <c r="AB102" s="67"/>
      <c r="AC102" s="67"/>
      <c r="AD102" s="67"/>
      <c r="AE102" s="67"/>
      <c r="AF102" s="67"/>
      <c r="AG102" s="67"/>
    </row>
    <row r="103" spans="1:33" ht="15" customHeight="1">
      <c r="A103" s="320"/>
      <c r="B103" s="320">
        <v>101</v>
      </c>
      <c r="C103" s="158">
        <v>204624</v>
      </c>
      <c r="D103" s="158">
        <v>32271380</v>
      </c>
      <c r="E103" s="192" t="s">
        <v>672</v>
      </c>
      <c r="F103" s="158">
        <v>59</v>
      </c>
      <c r="G103" s="73" t="s">
        <v>673</v>
      </c>
      <c r="H103" s="42" t="s">
        <v>301</v>
      </c>
      <c r="I103" s="320">
        <v>986220237</v>
      </c>
      <c r="J103" s="42" t="s">
        <v>302</v>
      </c>
      <c r="K103" s="493">
        <v>46045</v>
      </c>
      <c r="L103" s="140" t="s">
        <v>630</v>
      </c>
      <c r="M103" s="484" t="s">
        <v>260</v>
      </c>
      <c r="N103" s="140" t="s">
        <v>241</v>
      </c>
      <c r="O103" s="489">
        <v>46065</v>
      </c>
      <c r="P103" s="243" t="s">
        <v>292</v>
      </c>
      <c r="Q103" s="421">
        <v>46054</v>
      </c>
      <c r="R103" s="320" t="s">
        <v>350</v>
      </c>
      <c r="S103" s="43"/>
      <c r="T103" s="43"/>
      <c r="U103" s="43"/>
      <c r="V103" s="42"/>
      <c r="W103" s="42"/>
      <c r="X103" s="42"/>
      <c r="Y103" s="42"/>
      <c r="Z103" s="67"/>
      <c r="AA103" s="67"/>
      <c r="AB103" s="67"/>
      <c r="AC103" s="67"/>
      <c r="AD103" s="67"/>
      <c r="AE103" s="67"/>
      <c r="AF103" s="67"/>
      <c r="AG103" s="67"/>
    </row>
    <row r="104" spans="1:33" ht="15" customHeight="1">
      <c r="A104" s="493"/>
      <c r="B104" s="320">
        <v>102</v>
      </c>
      <c r="C104" s="158">
        <v>81687</v>
      </c>
      <c r="D104" s="158">
        <v>15739108</v>
      </c>
      <c r="E104" s="73" t="s">
        <v>674</v>
      </c>
      <c r="F104" s="158">
        <v>72</v>
      </c>
      <c r="G104" s="73" t="s">
        <v>675</v>
      </c>
      <c r="H104" s="42" t="s">
        <v>222</v>
      </c>
      <c r="I104" s="320">
        <v>991718610</v>
      </c>
      <c r="J104" s="42" t="s">
        <v>223</v>
      </c>
      <c r="K104" s="493">
        <v>23</v>
      </c>
      <c r="L104" s="140" t="s">
        <v>676</v>
      </c>
      <c r="M104" s="484" t="s">
        <v>260</v>
      </c>
      <c r="N104" s="140" t="s">
        <v>241</v>
      </c>
      <c r="O104" s="489">
        <v>46065</v>
      </c>
      <c r="P104" s="243" t="s">
        <v>292</v>
      </c>
      <c r="Q104" s="308">
        <v>46054</v>
      </c>
      <c r="R104" s="320" t="s">
        <v>350</v>
      </c>
      <c r="S104" s="43"/>
      <c r="T104" s="43"/>
      <c r="U104" s="43"/>
      <c r="V104" s="42"/>
      <c r="W104" s="42"/>
      <c r="X104" s="42"/>
      <c r="Y104" s="42"/>
      <c r="Z104" s="67"/>
      <c r="AA104" s="67"/>
      <c r="AB104" s="67"/>
      <c r="AC104" s="67"/>
      <c r="AD104" s="67"/>
      <c r="AE104" s="67"/>
      <c r="AF104" s="67"/>
      <c r="AG104" s="67"/>
    </row>
    <row r="105" spans="1:33" ht="15" customHeight="1">
      <c r="A105" s="493"/>
      <c r="B105" s="320">
        <v>103</v>
      </c>
      <c r="C105" s="158">
        <v>70012</v>
      </c>
      <c r="D105" s="158">
        <v>15597937</v>
      </c>
      <c r="E105" s="73" t="s">
        <v>677</v>
      </c>
      <c r="F105" s="158">
        <v>60</v>
      </c>
      <c r="G105" s="73" t="s">
        <v>678</v>
      </c>
      <c r="H105" s="42" t="s">
        <v>222</v>
      </c>
      <c r="I105" s="320">
        <v>908734600</v>
      </c>
      <c r="J105" s="42" t="s">
        <v>223</v>
      </c>
      <c r="K105" s="493">
        <v>46045</v>
      </c>
      <c r="L105" s="140" t="s">
        <v>679</v>
      </c>
      <c r="M105" s="484" t="s">
        <v>230</v>
      </c>
      <c r="N105" s="140" t="s">
        <v>231</v>
      </c>
      <c r="O105" s="489">
        <v>46065</v>
      </c>
      <c r="P105" s="243" t="s">
        <v>292</v>
      </c>
      <c r="Q105" s="308">
        <v>46054</v>
      </c>
      <c r="R105" s="320" t="s">
        <v>318</v>
      </c>
      <c r="S105" s="43"/>
      <c r="T105" s="43"/>
      <c r="U105" s="43"/>
      <c r="V105" s="42"/>
      <c r="W105" s="42"/>
      <c r="X105" s="42"/>
      <c r="Y105" s="42"/>
      <c r="Z105" s="67"/>
      <c r="AA105" s="67"/>
      <c r="AB105" s="67"/>
      <c r="AC105" s="67"/>
      <c r="AD105" s="67"/>
      <c r="AE105" s="67"/>
      <c r="AF105" s="67"/>
      <c r="AG105" s="67"/>
    </row>
    <row r="106" spans="1:33" ht="15" customHeight="1">
      <c r="A106" s="320"/>
      <c r="B106" s="320">
        <v>104</v>
      </c>
      <c r="C106" s="158">
        <v>522123</v>
      </c>
      <c r="D106" s="158">
        <v>45676567</v>
      </c>
      <c r="E106" s="73" t="s">
        <v>680</v>
      </c>
      <c r="F106" s="158">
        <v>31</v>
      </c>
      <c r="G106" s="73" t="s">
        <v>681</v>
      </c>
      <c r="H106" s="42" t="s">
        <v>301</v>
      </c>
      <c r="I106" s="320" t="s">
        <v>682</v>
      </c>
      <c r="J106" s="42" t="s">
        <v>302</v>
      </c>
      <c r="K106" s="493">
        <v>46045</v>
      </c>
      <c r="L106" s="140" t="s">
        <v>683</v>
      </c>
      <c r="M106" s="484" t="s">
        <v>312</v>
      </c>
      <c r="N106" s="140" t="s">
        <v>684</v>
      </c>
      <c r="O106" s="489">
        <v>46065</v>
      </c>
      <c r="P106" s="243" t="s">
        <v>292</v>
      </c>
      <c r="Q106" s="423" t="s">
        <v>334</v>
      </c>
      <c r="R106" s="320"/>
      <c r="S106" s="43"/>
      <c r="T106" s="43"/>
      <c r="U106" s="43"/>
      <c r="V106" s="42"/>
      <c r="W106" s="42"/>
      <c r="X106" s="42"/>
      <c r="Y106" s="42"/>
      <c r="Z106" s="67"/>
      <c r="AA106" s="67"/>
      <c r="AB106" s="67"/>
      <c r="AC106" s="67"/>
      <c r="AD106" s="67"/>
      <c r="AE106" s="67"/>
      <c r="AF106" s="67"/>
      <c r="AG106" s="67"/>
    </row>
    <row r="107" spans="1:33" ht="15" customHeight="1">
      <c r="A107" s="320"/>
      <c r="B107" s="320">
        <v>105</v>
      </c>
      <c r="C107" s="158">
        <v>249037</v>
      </c>
      <c r="D107" s="156">
        <v>46472117</v>
      </c>
      <c r="E107" s="156" t="s">
        <v>685</v>
      </c>
      <c r="F107" s="158">
        <v>44</v>
      </c>
      <c r="G107" s="156" t="s">
        <v>686</v>
      </c>
      <c r="H107" s="43" t="s">
        <v>461</v>
      </c>
      <c r="I107" s="43">
        <v>937475901</v>
      </c>
      <c r="J107" s="43" t="s">
        <v>162</v>
      </c>
      <c r="K107" s="493">
        <v>46045</v>
      </c>
      <c r="L107" s="43" t="s">
        <v>630</v>
      </c>
      <c r="M107" s="484" t="s">
        <v>260</v>
      </c>
      <c r="N107" s="43" t="s">
        <v>241</v>
      </c>
      <c r="O107" s="489">
        <v>46048</v>
      </c>
      <c r="P107" s="242" t="s">
        <v>639</v>
      </c>
      <c r="Q107" s="471" t="s">
        <v>358</v>
      </c>
      <c r="R107" s="43"/>
      <c r="S107" s="43"/>
      <c r="T107" s="43"/>
      <c r="U107" s="43"/>
      <c r="V107" s="43"/>
      <c r="W107" s="43"/>
      <c r="X107" s="43"/>
      <c r="Y107" s="43"/>
      <c r="Z107" s="67"/>
      <c r="AA107" s="67"/>
      <c r="AB107" s="67"/>
      <c r="AC107" s="67"/>
      <c r="AD107" s="67"/>
      <c r="AE107" s="67"/>
      <c r="AF107" s="67"/>
      <c r="AG107" s="67"/>
    </row>
    <row r="108" spans="1:33" ht="15" customHeight="1">
      <c r="A108" s="320"/>
      <c r="B108" s="320">
        <v>106</v>
      </c>
      <c r="C108" s="158">
        <v>522195</v>
      </c>
      <c r="D108" s="156">
        <v>43422742</v>
      </c>
      <c r="E108" s="156" t="s">
        <v>687</v>
      </c>
      <c r="F108" s="158">
        <v>40</v>
      </c>
      <c r="G108" s="156" t="s">
        <v>688</v>
      </c>
      <c r="H108" s="43" t="s">
        <v>461</v>
      </c>
      <c r="I108" s="43" t="s">
        <v>689</v>
      </c>
      <c r="J108" s="43" t="s">
        <v>162</v>
      </c>
      <c r="K108" s="493">
        <v>46045</v>
      </c>
      <c r="L108" s="43" t="s">
        <v>630</v>
      </c>
      <c r="M108" s="484" t="s">
        <v>260</v>
      </c>
      <c r="N108" s="43" t="s">
        <v>241</v>
      </c>
      <c r="O108" s="489">
        <v>46048</v>
      </c>
      <c r="P108" s="242" t="s">
        <v>639</v>
      </c>
      <c r="Q108" s="471" t="s">
        <v>358</v>
      </c>
      <c r="R108" s="43"/>
      <c r="S108" s="43"/>
      <c r="T108" s="43"/>
      <c r="U108" s="43"/>
      <c r="V108" s="43"/>
      <c r="W108" s="43"/>
      <c r="X108" s="43"/>
      <c r="Y108" s="43"/>
      <c r="Z108" s="67"/>
      <c r="AA108" s="67"/>
      <c r="AB108" s="67"/>
      <c r="AC108" s="67"/>
      <c r="AD108" s="67"/>
      <c r="AE108" s="67"/>
      <c r="AF108" s="67"/>
      <c r="AG108" s="67"/>
    </row>
    <row r="109" spans="1:33" ht="15" customHeight="1">
      <c r="A109" s="320"/>
      <c r="B109" s="320">
        <v>107</v>
      </c>
      <c r="C109" s="158">
        <v>439089</v>
      </c>
      <c r="D109" s="156" t="s">
        <v>690</v>
      </c>
      <c r="E109" s="156" t="s">
        <v>691</v>
      </c>
      <c r="F109" s="158">
        <v>55</v>
      </c>
      <c r="G109" s="156" t="s">
        <v>692</v>
      </c>
      <c r="H109" s="43" t="s">
        <v>278</v>
      </c>
      <c r="I109" s="320">
        <v>963098431</v>
      </c>
      <c r="J109" s="43" t="s">
        <v>238</v>
      </c>
      <c r="K109" s="493">
        <v>46045</v>
      </c>
      <c r="L109" s="43" t="s">
        <v>683</v>
      </c>
      <c r="M109" s="484" t="s">
        <v>312</v>
      </c>
      <c r="N109" s="43" t="s">
        <v>693</v>
      </c>
      <c r="O109" s="489">
        <v>46048</v>
      </c>
      <c r="P109" s="242"/>
      <c r="Q109" s="308">
        <v>46054</v>
      </c>
      <c r="R109" s="320"/>
      <c r="S109" s="320"/>
      <c r="T109" s="320"/>
      <c r="U109" s="320"/>
      <c r="V109" s="320"/>
      <c r="W109" s="320"/>
      <c r="X109" s="320"/>
      <c r="Y109" s="320"/>
      <c r="Z109" s="68"/>
      <c r="AA109" s="68"/>
      <c r="AB109" s="67"/>
      <c r="AC109" s="67"/>
      <c r="AD109" s="67"/>
      <c r="AE109" s="67"/>
      <c r="AF109" s="67"/>
      <c r="AG109" s="67"/>
    </row>
    <row r="110" spans="1:33" ht="15" customHeight="1">
      <c r="A110" s="320"/>
      <c r="B110" s="320">
        <v>108</v>
      </c>
      <c r="C110" s="158">
        <v>418960</v>
      </c>
      <c r="D110" s="158">
        <v>23099641</v>
      </c>
      <c r="E110" s="73" t="s">
        <v>694</v>
      </c>
      <c r="F110" s="158">
        <v>51</v>
      </c>
      <c r="G110" s="73" t="s">
        <v>695</v>
      </c>
      <c r="H110" s="42"/>
      <c r="I110" s="320" t="s">
        <v>696</v>
      </c>
      <c r="J110" s="42" t="s">
        <v>302</v>
      </c>
      <c r="K110" s="493">
        <v>46045</v>
      </c>
      <c r="L110" s="140" t="s">
        <v>630</v>
      </c>
      <c r="M110" s="484" t="s">
        <v>260</v>
      </c>
      <c r="N110" s="140" t="s">
        <v>241</v>
      </c>
      <c r="O110" s="489">
        <v>46065</v>
      </c>
      <c r="P110" s="243" t="s">
        <v>292</v>
      </c>
      <c r="Q110" s="422" t="s">
        <v>447</v>
      </c>
      <c r="R110" s="320"/>
      <c r="S110" s="43"/>
      <c r="T110" s="43"/>
      <c r="U110" s="43"/>
      <c r="V110" s="42"/>
      <c r="W110" s="42"/>
      <c r="X110" s="42"/>
      <c r="Y110" s="42"/>
      <c r="Z110" s="67"/>
      <c r="AA110" s="67"/>
      <c r="AB110" s="67"/>
      <c r="AC110" s="67"/>
      <c r="AD110" s="67"/>
      <c r="AE110" s="67"/>
      <c r="AF110" s="67"/>
      <c r="AG110" s="67"/>
    </row>
    <row r="111" spans="1:33" ht="15" customHeight="1">
      <c r="A111" s="320"/>
      <c r="B111" s="320">
        <v>109</v>
      </c>
      <c r="C111" s="158">
        <v>522197</v>
      </c>
      <c r="D111" s="158">
        <v>40259186</v>
      </c>
      <c r="E111" s="73" t="s">
        <v>697</v>
      </c>
      <c r="F111" s="158">
        <v>46</v>
      </c>
      <c r="G111" s="73" t="s">
        <v>698</v>
      </c>
      <c r="H111" s="42" t="s">
        <v>278</v>
      </c>
      <c r="I111" s="320" t="s">
        <v>699</v>
      </c>
      <c r="J111" s="42" t="s">
        <v>384</v>
      </c>
      <c r="K111" s="493">
        <v>9</v>
      </c>
      <c r="L111" s="140" t="s">
        <v>630</v>
      </c>
      <c r="M111" s="484" t="s">
        <v>260</v>
      </c>
      <c r="N111" s="140" t="s">
        <v>241</v>
      </c>
      <c r="O111" s="489">
        <v>46065</v>
      </c>
      <c r="P111" s="243" t="s">
        <v>292</v>
      </c>
      <c r="Q111" s="308">
        <v>46054</v>
      </c>
      <c r="R111" s="320" t="s">
        <v>350</v>
      </c>
      <c r="S111" s="43"/>
      <c r="T111" s="43"/>
      <c r="U111" s="43"/>
      <c r="V111" s="42"/>
      <c r="W111" s="42"/>
      <c r="X111" s="42"/>
      <c r="Y111" s="42"/>
      <c r="Z111" s="67"/>
      <c r="AA111" s="67"/>
      <c r="AB111" s="67"/>
      <c r="AC111" s="67"/>
      <c r="AD111" s="67"/>
      <c r="AE111" s="67"/>
      <c r="AF111" s="67"/>
      <c r="AG111" s="67"/>
    </row>
    <row r="112" spans="1:33" ht="15" customHeight="1">
      <c r="A112" s="320"/>
      <c r="B112" s="320">
        <v>110</v>
      </c>
      <c r="C112" s="158">
        <v>139526</v>
      </c>
      <c r="D112" s="156">
        <v>15735080</v>
      </c>
      <c r="E112" s="156" t="s">
        <v>700</v>
      </c>
      <c r="F112" s="158">
        <v>62</v>
      </c>
      <c r="G112" s="156" t="s">
        <v>701</v>
      </c>
      <c r="H112" s="43" t="s">
        <v>271</v>
      </c>
      <c r="I112" s="43" t="s">
        <v>702</v>
      </c>
      <c r="J112" s="43" t="s">
        <v>164</v>
      </c>
      <c r="K112" s="493">
        <v>46045</v>
      </c>
      <c r="L112" s="43" t="s">
        <v>703</v>
      </c>
      <c r="M112" s="484" t="s">
        <v>260</v>
      </c>
      <c r="N112" s="43" t="s">
        <v>241</v>
      </c>
      <c r="O112" s="489">
        <v>46048</v>
      </c>
      <c r="P112" s="242" t="s">
        <v>512</v>
      </c>
      <c r="Q112" s="471" t="s">
        <v>358</v>
      </c>
      <c r="R112" s="43"/>
      <c r="S112" s="43"/>
      <c r="T112" s="43"/>
      <c r="U112" s="43"/>
      <c r="V112" s="43"/>
      <c r="W112" s="43"/>
      <c r="X112" s="43"/>
      <c r="Y112" s="43"/>
      <c r="Z112" s="67"/>
      <c r="AA112" s="67"/>
      <c r="AB112" s="67"/>
      <c r="AC112" s="67"/>
      <c r="AD112" s="67"/>
      <c r="AE112" s="67"/>
      <c r="AF112" s="67"/>
      <c r="AG112" s="67"/>
    </row>
    <row r="113" spans="1:33" ht="15" customHeight="1">
      <c r="A113" s="320"/>
      <c r="B113" s="320">
        <v>111</v>
      </c>
      <c r="C113" s="158">
        <v>198633</v>
      </c>
      <c r="D113" s="158">
        <v>15735164</v>
      </c>
      <c r="E113" s="73" t="s">
        <v>704</v>
      </c>
      <c r="F113" s="158">
        <v>49</v>
      </c>
      <c r="G113" s="73" t="s">
        <v>705</v>
      </c>
      <c r="H113" s="42" t="s">
        <v>246</v>
      </c>
      <c r="I113" s="320" t="s">
        <v>706</v>
      </c>
      <c r="J113" s="42" t="s">
        <v>707</v>
      </c>
      <c r="K113" s="493">
        <v>46045</v>
      </c>
      <c r="L113" s="140" t="s">
        <v>683</v>
      </c>
      <c r="M113" s="484" t="s">
        <v>312</v>
      </c>
      <c r="N113" s="140" t="s">
        <v>708</v>
      </c>
      <c r="O113" s="489">
        <v>46059</v>
      </c>
      <c r="P113" s="239" t="s">
        <v>709</v>
      </c>
      <c r="Q113" s="416" t="s">
        <v>710</v>
      </c>
      <c r="R113" s="320"/>
      <c r="S113" s="43"/>
      <c r="T113" s="43"/>
      <c r="U113" s="43"/>
      <c r="V113" s="42"/>
      <c r="W113" s="42"/>
      <c r="X113" s="42"/>
      <c r="Y113" s="42"/>
      <c r="Z113" s="67"/>
      <c r="AA113" s="67"/>
      <c r="AB113" s="67"/>
      <c r="AC113" s="67"/>
      <c r="AD113" s="67"/>
      <c r="AE113" s="67"/>
      <c r="AF113" s="67"/>
      <c r="AG113" s="67"/>
    </row>
    <row r="114" spans="1:33" ht="15" customHeight="1">
      <c r="A114" s="320"/>
      <c r="B114" s="320">
        <v>112</v>
      </c>
      <c r="C114" s="158">
        <v>219130</v>
      </c>
      <c r="D114" s="156">
        <v>43733625</v>
      </c>
      <c r="E114" s="156" t="s">
        <v>711</v>
      </c>
      <c r="F114" s="158">
        <v>45</v>
      </c>
      <c r="G114" s="156" t="s">
        <v>712</v>
      </c>
      <c r="H114" s="43" t="s">
        <v>326</v>
      </c>
      <c r="I114" s="320" t="s">
        <v>713</v>
      </c>
      <c r="J114" s="43" t="s">
        <v>238</v>
      </c>
      <c r="K114" s="493">
        <v>46045</v>
      </c>
      <c r="L114" s="43" t="s">
        <v>714</v>
      </c>
      <c r="M114" s="484" t="s">
        <v>260</v>
      </c>
      <c r="N114" s="43" t="s">
        <v>241</v>
      </c>
      <c r="O114" s="489">
        <v>46048</v>
      </c>
      <c r="P114" s="242"/>
      <c r="Q114" s="414"/>
      <c r="R114" s="320"/>
      <c r="S114" s="320"/>
      <c r="T114" s="320"/>
      <c r="U114" s="320"/>
      <c r="V114" s="320"/>
      <c r="W114" s="320"/>
      <c r="X114" s="320"/>
      <c r="Y114" s="320"/>
      <c r="Z114" s="68"/>
      <c r="AA114" s="68"/>
      <c r="AB114" s="67"/>
      <c r="AC114" s="67"/>
      <c r="AD114" s="67"/>
      <c r="AE114" s="67"/>
      <c r="AF114" s="67"/>
      <c r="AG114" s="67"/>
    </row>
    <row r="115" spans="1:33" ht="15" customHeight="1">
      <c r="A115" s="320"/>
      <c r="B115" s="320">
        <v>113</v>
      </c>
      <c r="C115" s="158">
        <v>2159</v>
      </c>
      <c r="D115" s="156">
        <v>15643723</v>
      </c>
      <c r="E115" s="156" t="s">
        <v>715</v>
      </c>
      <c r="F115" s="158">
        <v>63</v>
      </c>
      <c r="G115" s="156" t="s">
        <v>716</v>
      </c>
      <c r="H115" s="43" t="s">
        <v>222</v>
      </c>
      <c r="I115" s="320" t="s">
        <v>717</v>
      </c>
      <c r="J115" s="43" t="s">
        <v>238</v>
      </c>
      <c r="K115" s="493">
        <v>46045</v>
      </c>
      <c r="L115" s="43" t="s">
        <v>718</v>
      </c>
      <c r="M115" s="484" t="s">
        <v>260</v>
      </c>
      <c r="N115" s="43" t="s">
        <v>693</v>
      </c>
      <c r="O115" s="489">
        <v>46048</v>
      </c>
      <c r="P115" s="242"/>
      <c r="Q115" s="308">
        <v>46054</v>
      </c>
      <c r="R115" s="316">
        <v>46023</v>
      </c>
      <c r="S115" s="320" t="s">
        <v>719</v>
      </c>
      <c r="T115" s="320" t="s">
        <v>230</v>
      </c>
      <c r="U115" s="320"/>
      <c r="V115" s="320"/>
      <c r="W115" s="320"/>
      <c r="X115" s="320"/>
      <c r="Y115" s="320"/>
      <c r="Z115" s="68"/>
      <c r="AA115" s="68"/>
      <c r="AB115" s="67"/>
      <c r="AC115" s="67"/>
      <c r="AD115" s="67"/>
      <c r="AE115" s="67"/>
      <c r="AF115" s="67"/>
      <c r="AG115" s="67"/>
    </row>
    <row r="116" spans="1:33" ht="15" customHeight="1">
      <c r="A116" s="320"/>
      <c r="B116" s="320">
        <v>114</v>
      </c>
      <c r="C116" s="158">
        <v>520267</v>
      </c>
      <c r="D116" s="156">
        <v>15746610</v>
      </c>
      <c r="E116" s="156" t="s">
        <v>720</v>
      </c>
      <c r="F116" s="158">
        <v>55</v>
      </c>
      <c r="G116" s="156" t="s">
        <v>721</v>
      </c>
      <c r="H116" s="43" t="s">
        <v>461</v>
      </c>
      <c r="I116" s="43" t="s">
        <v>722</v>
      </c>
      <c r="J116" s="43" t="s">
        <v>162</v>
      </c>
      <c r="K116" s="493">
        <v>46045</v>
      </c>
      <c r="L116" s="43" t="s">
        <v>723</v>
      </c>
      <c r="M116" s="484" t="s">
        <v>260</v>
      </c>
      <c r="N116" s="43" t="s">
        <v>241</v>
      </c>
      <c r="O116" s="489">
        <v>46048</v>
      </c>
      <c r="P116" s="242" t="s">
        <v>639</v>
      </c>
      <c r="Q116" s="471" t="s">
        <v>358</v>
      </c>
      <c r="R116" s="44"/>
      <c r="S116" s="208"/>
      <c r="T116" s="43"/>
      <c r="U116" s="43"/>
      <c r="V116" s="43"/>
      <c r="W116" s="43"/>
      <c r="X116" s="43"/>
      <c r="Y116" s="43"/>
      <c r="Z116" s="67"/>
      <c r="AA116" s="67"/>
      <c r="AB116" s="67"/>
      <c r="AC116" s="67"/>
      <c r="AD116" s="67"/>
      <c r="AE116" s="67"/>
      <c r="AF116" s="67"/>
      <c r="AG116" s="67"/>
    </row>
    <row r="117" spans="1:33" ht="15" customHeight="1">
      <c r="A117" s="320"/>
      <c r="B117" s="320">
        <v>115</v>
      </c>
      <c r="C117" s="158">
        <v>522222</v>
      </c>
      <c r="D117" s="156">
        <v>16002857</v>
      </c>
      <c r="E117" s="156" t="s">
        <v>724</v>
      </c>
      <c r="F117" s="158">
        <v>58</v>
      </c>
      <c r="G117" s="156" t="s">
        <v>725</v>
      </c>
      <c r="H117" s="43" t="s">
        <v>461</v>
      </c>
      <c r="I117" s="43" t="s">
        <v>726</v>
      </c>
      <c r="J117" s="43" t="s">
        <v>162</v>
      </c>
      <c r="K117" s="493">
        <v>46045</v>
      </c>
      <c r="L117" s="43" t="s">
        <v>683</v>
      </c>
      <c r="M117" s="484" t="s">
        <v>312</v>
      </c>
      <c r="N117" s="43" t="s">
        <v>708</v>
      </c>
      <c r="O117" s="489">
        <v>46048</v>
      </c>
      <c r="P117" s="242" t="s">
        <v>639</v>
      </c>
      <c r="Q117" s="471" t="s">
        <v>358</v>
      </c>
      <c r="R117" s="43"/>
      <c r="S117" s="43"/>
      <c r="T117" s="43"/>
      <c r="U117" s="43"/>
      <c r="V117" s="43"/>
      <c r="W117" s="43"/>
      <c r="X117" s="43"/>
      <c r="Y117" s="43"/>
      <c r="Z117" s="67"/>
      <c r="AA117" s="67"/>
      <c r="AB117" s="67"/>
      <c r="AC117" s="67"/>
      <c r="AD117" s="67"/>
      <c r="AE117" s="67"/>
      <c r="AF117" s="67"/>
      <c r="AG117" s="67"/>
    </row>
    <row r="118" spans="1:33" ht="15" customHeight="1">
      <c r="A118" s="320"/>
      <c r="B118" s="320">
        <v>116</v>
      </c>
      <c r="C118" s="158">
        <v>522213</v>
      </c>
      <c r="D118" s="156">
        <v>15946210</v>
      </c>
      <c r="E118" s="156" t="s">
        <v>727</v>
      </c>
      <c r="F118" s="158">
        <v>65</v>
      </c>
      <c r="G118" s="156" t="s">
        <v>728</v>
      </c>
      <c r="H118" s="43" t="s">
        <v>461</v>
      </c>
      <c r="I118" s="43" t="s">
        <v>729</v>
      </c>
      <c r="J118" s="43" t="s">
        <v>162</v>
      </c>
      <c r="K118" s="493">
        <v>46045</v>
      </c>
      <c r="L118" s="43" t="s">
        <v>679</v>
      </c>
      <c r="M118" s="484" t="s">
        <v>230</v>
      </c>
      <c r="N118" s="43" t="s">
        <v>693</v>
      </c>
      <c r="O118" s="489">
        <v>46048</v>
      </c>
      <c r="P118" s="242" t="s">
        <v>639</v>
      </c>
      <c r="Q118" s="471" t="s">
        <v>358</v>
      </c>
      <c r="R118" s="43"/>
      <c r="S118" s="43"/>
      <c r="T118" s="43"/>
      <c r="U118" s="43"/>
      <c r="V118" s="43"/>
      <c r="W118" s="43"/>
      <c r="X118" s="43"/>
      <c r="Y118" s="43"/>
      <c r="Z118" s="67"/>
      <c r="AA118" s="67"/>
      <c r="AB118" s="67"/>
      <c r="AC118" s="67"/>
      <c r="AD118" s="67"/>
      <c r="AE118" s="67"/>
      <c r="AF118" s="67"/>
      <c r="AG118" s="67"/>
    </row>
    <row r="119" spans="1:33" ht="15" customHeight="1">
      <c r="A119" s="320"/>
      <c r="B119" s="320">
        <v>117</v>
      </c>
      <c r="C119" s="158">
        <v>209456</v>
      </c>
      <c r="D119" s="156">
        <v>15742569</v>
      </c>
      <c r="E119" s="156" t="s">
        <v>730</v>
      </c>
      <c r="F119" s="158">
        <v>52</v>
      </c>
      <c r="G119" s="156" t="s">
        <v>731</v>
      </c>
      <c r="H119" s="43" t="s">
        <v>237</v>
      </c>
      <c r="I119" s="320" t="s">
        <v>732</v>
      </c>
      <c r="J119" s="43" t="s">
        <v>238</v>
      </c>
      <c r="K119" s="493">
        <v>46045</v>
      </c>
      <c r="L119" s="43" t="s">
        <v>723</v>
      </c>
      <c r="M119" s="484" t="s">
        <v>260</v>
      </c>
      <c r="N119" s="43" t="s">
        <v>655</v>
      </c>
      <c r="O119" s="489">
        <v>46048</v>
      </c>
      <c r="P119" s="242"/>
      <c r="Q119" s="308">
        <v>46054</v>
      </c>
      <c r="R119" s="514">
        <v>46045</v>
      </c>
      <c r="S119" s="510" t="s">
        <v>719</v>
      </c>
      <c r="T119" s="320" t="s">
        <v>230</v>
      </c>
      <c r="U119" s="320"/>
      <c r="V119" s="320"/>
      <c r="W119" s="320"/>
      <c r="X119" s="320"/>
      <c r="Y119" s="320"/>
      <c r="Z119" s="68"/>
      <c r="AA119" s="68"/>
      <c r="AB119" s="68"/>
      <c r="AC119" s="68"/>
      <c r="AD119" s="68"/>
      <c r="AE119" s="68"/>
      <c r="AF119" s="68"/>
      <c r="AG119" s="68"/>
    </row>
    <row r="120" spans="1:33" ht="15" customHeight="1">
      <c r="A120" s="320"/>
      <c r="B120" s="320">
        <v>118</v>
      </c>
      <c r="C120" s="158">
        <v>294355</v>
      </c>
      <c r="D120" s="158">
        <v>80475368</v>
      </c>
      <c r="E120" s="73" t="s">
        <v>733</v>
      </c>
      <c r="F120" s="158">
        <v>64</v>
      </c>
      <c r="G120" s="73" t="s">
        <v>734</v>
      </c>
      <c r="H120" s="42" t="s">
        <v>326</v>
      </c>
      <c r="I120" s="320" t="s">
        <v>735</v>
      </c>
      <c r="J120" s="42" t="s">
        <v>375</v>
      </c>
      <c r="K120" s="493">
        <v>46045</v>
      </c>
      <c r="L120" s="140" t="s">
        <v>736</v>
      </c>
      <c r="M120" s="484" t="s">
        <v>312</v>
      </c>
      <c r="N120" s="140" t="s">
        <v>693</v>
      </c>
      <c r="O120" s="489">
        <v>46065</v>
      </c>
      <c r="P120" s="243" t="s">
        <v>292</v>
      </c>
      <c r="Q120" s="422" t="s">
        <v>710</v>
      </c>
      <c r="R120" s="320"/>
      <c r="S120" s="43"/>
      <c r="T120" s="43"/>
      <c r="U120" s="43"/>
      <c r="V120" s="42"/>
      <c r="W120" s="42"/>
      <c r="X120" s="42"/>
      <c r="Y120" s="42"/>
      <c r="Z120" s="67"/>
      <c r="AA120" s="67"/>
      <c r="AB120" s="67"/>
      <c r="AC120" s="67"/>
      <c r="AD120" s="67"/>
      <c r="AE120" s="67"/>
      <c r="AF120" s="67"/>
      <c r="AG120" s="67"/>
    </row>
    <row r="121" spans="1:33" ht="15" customHeight="1">
      <c r="A121" s="320"/>
      <c r="B121" s="320">
        <v>119</v>
      </c>
      <c r="C121" s="158">
        <v>522229</v>
      </c>
      <c r="D121" s="156">
        <v>16027461</v>
      </c>
      <c r="E121" s="156" t="s">
        <v>737</v>
      </c>
      <c r="F121" s="158">
        <v>51</v>
      </c>
      <c r="G121" s="156" t="s">
        <v>738</v>
      </c>
      <c r="H121" s="43" t="s">
        <v>461</v>
      </c>
      <c r="I121" s="43" t="s">
        <v>739</v>
      </c>
      <c r="J121" s="43" t="s">
        <v>162</v>
      </c>
      <c r="K121" s="493">
        <v>46045</v>
      </c>
      <c r="L121" s="43" t="s">
        <v>669</v>
      </c>
      <c r="M121" s="484" t="s">
        <v>260</v>
      </c>
      <c r="N121" s="43" t="s">
        <v>655</v>
      </c>
      <c r="O121" s="489">
        <v>46048</v>
      </c>
      <c r="P121" s="242" t="s">
        <v>639</v>
      </c>
      <c r="Q121" s="471" t="s">
        <v>358</v>
      </c>
      <c r="R121" s="43"/>
      <c r="S121" s="43"/>
      <c r="T121" s="43"/>
      <c r="U121" s="43"/>
      <c r="V121" s="43"/>
      <c r="W121" s="43"/>
      <c r="X121" s="43"/>
      <c r="Y121" s="43"/>
      <c r="Z121" s="67"/>
      <c r="AA121" s="67"/>
      <c r="AB121" s="67"/>
      <c r="AC121" s="67"/>
      <c r="AD121" s="67"/>
      <c r="AE121" s="67"/>
      <c r="AF121" s="67"/>
      <c r="AG121" s="67"/>
    </row>
    <row r="122" spans="1:33" ht="15" customHeight="1">
      <c r="A122" s="320"/>
      <c r="B122" s="320">
        <v>120</v>
      </c>
      <c r="C122" s="158">
        <v>62903</v>
      </c>
      <c r="D122" s="158">
        <v>10200325</v>
      </c>
      <c r="E122" s="73" t="s">
        <v>740</v>
      </c>
      <c r="F122" s="158">
        <v>50</v>
      </c>
      <c r="G122" s="73" t="s">
        <v>741</v>
      </c>
      <c r="H122" s="42" t="s">
        <v>237</v>
      </c>
      <c r="I122" s="320">
        <v>912713135</v>
      </c>
      <c r="J122" s="42" t="s">
        <v>742</v>
      </c>
      <c r="K122" s="493">
        <v>46318</v>
      </c>
      <c r="L122" s="140" t="s">
        <v>630</v>
      </c>
      <c r="M122" s="484" t="s">
        <v>260</v>
      </c>
      <c r="N122" s="140" t="s">
        <v>655</v>
      </c>
      <c r="O122" s="489">
        <v>46065</v>
      </c>
      <c r="P122" s="243" t="s">
        <v>292</v>
      </c>
      <c r="Q122" s="423" t="s">
        <v>334</v>
      </c>
      <c r="R122" s="320"/>
      <c r="S122" s="43"/>
      <c r="T122" s="43"/>
      <c r="U122" s="43"/>
      <c r="V122" s="42"/>
      <c r="W122" s="42"/>
      <c r="X122" s="42"/>
      <c r="Y122" s="42"/>
      <c r="Z122" s="67"/>
      <c r="AA122" s="67"/>
      <c r="AB122" s="67"/>
      <c r="AC122" s="67"/>
      <c r="AD122" s="67"/>
      <c r="AE122" s="67"/>
      <c r="AF122" s="67"/>
      <c r="AG122" s="67"/>
    </row>
    <row r="123" spans="1:33" ht="15" customHeight="1">
      <c r="A123" s="526">
        <v>46048</v>
      </c>
      <c r="B123" s="320">
        <v>121</v>
      </c>
      <c r="C123" s="158">
        <v>58145</v>
      </c>
      <c r="D123" s="158">
        <v>15690705</v>
      </c>
      <c r="E123" s="73" t="s">
        <v>743</v>
      </c>
      <c r="F123" s="158">
        <v>61</v>
      </c>
      <c r="G123" s="73" t="s">
        <v>744</v>
      </c>
      <c r="H123" s="42" t="s">
        <v>745</v>
      </c>
      <c r="I123" s="320">
        <v>912166773</v>
      </c>
      <c r="J123" s="42" t="s">
        <v>746</v>
      </c>
      <c r="K123" s="493">
        <v>46046</v>
      </c>
      <c r="L123" s="140" t="s">
        <v>747</v>
      </c>
      <c r="M123" s="484" t="s">
        <v>230</v>
      </c>
      <c r="N123" s="140" t="s">
        <v>317</v>
      </c>
      <c r="O123" s="489">
        <v>46065</v>
      </c>
      <c r="P123" s="243" t="s">
        <v>292</v>
      </c>
      <c r="Q123" s="422" t="s">
        <v>710</v>
      </c>
      <c r="R123" s="320"/>
      <c r="S123" s="43"/>
      <c r="T123" s="43"/>
      <c r="U123" s="43"/>
      <c r="V123" s="42"/>
      <c r="W123" s="42"/>
      <c r="X123" s="42"/>
      <c r="Y123" s="42"/>
      <c r="Z123" s="67"/>
      <c r="AA123" s="67"/>
      <c r="AB123" s="67"/>
      <c r="AC123" s="67"/>
      <c r="AD123" s="67"/>
      <c r="AE123" s="67"/>
      <c r="AF123" s="67"/>
      <c r="AG123" s="67"/>
    </row>
    <row r="124" spans="1:33" ht="15" customHeight="1">
      <c r="A124" s="530"/>
      <c r="B124" s="320">
        <v>122</v>
      </c>
      <c r="C124" s="194">
        <v>522281</v>
      </c>
      <c r="D124" s="182">
        <v>15951336</v>
      </c>
      <c r="E124" s="193" t="s">
        <v>748</v>
      </c>
      <c r="F124" s="194">
        <v>65</v>
      </c>
      <c r="G124" s="182" t="s">
        <v>749</v>
      </c>
      <c r="H124" s="135" t="s">
        <v>461</v>
      </c>
      <c r="I124" s="134">
        <v>914176684</v>
      </c>
      <c r="J124" s="43" t="s">
        <v>162</v>
      </c>
      <c r="K124" s="493">
        <v>46048</v>
      </c>
      <c r="L124" s="43" t="s">
        <v>747</v>
      </c>
      <c r="M124" s="484" t="s">
        <v>230</v>
      </c>
      <c r="N124" s="140" t="s">
        <v>317</v>
      </c>
      <c r="O124" s="489">
        <v>46050</v>
      </c>
      <c r="P124" s="242" t="s">
        <v>639</v>
      </c>
      <c r="Q124" s="471" t="s">
        <v>358</v>
      </c>
      <c r="R124" s="43"/>
      <c r="S124" s="43"/>
      <c r="T124" s="43"/>
      <c r="U124" s="43"/>
      <c r="V124" s="43"/>
      <c r="W124" s="43"/>
      <c r="X124" s="43"/>
      <c r="Y124" s="43"/>
      <c r="Z124" s="67"/>
      <c r="AA124" s="67"/>
      <c r="AB124" s="67"/>
      <c r="AC124" s="67"/>
      <c r="AD124" s="67"/>
      <c r="AE124" s="67"/>
      <c r="AF124" s="67"/>
      <c r="AG124" s="67"/>
    </row>
    <row r="125" spans="1:33" ht="15" customHeight="1">
      <c r="A125" s="320"/>
      <c r="B125" s="320">
        <v>123</v>
      </c>
      <c r="C125" s="158">
        <v>522159</v>
      </c>
      <c r="D125" s="191">
        <v>32649319</v>
      </c>
      <c r="E125" s="195" t="s">
        <v>750</v>
      </c>
      <c r="F125" s="191">
        <v>52</v>
      </c>
      <c r="G125" s="196" t="s">
        <v>751</v>
      </c>
      <c r="H125" s="139" t="s">
        <v>301</v>
      </c>
      <c r="I125" s="481">
        <v>976792543</v>
      </c>
      <c r="J125" s="42" t="s">
        <v>302</v>
      </c>
      <c r="K125" s="320" t="s">
        <v>752</v>
      </c>
      <c r="L125" s="140" t="s">
        <v>747</v>
      </c>
      <c r="M125" s="484" t="s">
        <v>230</v>
      </c>
      <c r="N125" s="140" t="s">
        <v>317</v>
      </c>
      <c r="O125" s="489">
        <v>46065</v>
      </c>
      <c r="P125" s="243" t="s">
        <v>292</v>
      </c>
      <c r="Q125" s="308">
        <v>46054</v>
      </c>
      <c r="R125" s="320"/>
      <c r="S125" s="43"/>
      <c r="T125" s="43"/>
      <c r="U125" s="43"/>
      <c r="V125" s="42"/>
      <c r="W125" s="42"/>
      <c r="X125" s="42"/>
      <c r="Y125" s="42"/>
      <c r="Z125" s="67"/>
      <c r="AA125" s="67"/>
      <c r="AB125" s="67"/>
      <c r="AC125" s="67"/>
      <c r="AD125" s="67"/>
      <c r="AE125" s="67"/>
      <c r="AF125" s="67"/>
      <c r="AG125" s="67"/>
    </row>
    <row r="126" spans="1:33" ht="15" customHeight="1">
      <c r="A126" s="320"/>
      <c r="B126" s="320">
        <v>124</v>
      </c>
      <c r="C126" s="158">
        <v>235387</v>
      </c>
      <c r="D126" s="188">
        <v>41303474</v>
      </c>
      <c r="E126" s="197" t="s">
        <v>753</v>
      </c>
      <c r="F126" s="188">
        <v>43</v>
      </c>
      <c r="G126" s="183" t="s">
        <v>754</v>
      </c>
      <c r="H126" s="139" t="s">
        <v>301</v>
      </c>
      <c r="I126" s="480">
        <v>991338171</v>
      </c>
      <c r="J126" s="42" t="s">
        <v>302</v>
      </c>
      <c r="K126" s="493">
        <v>46048</v>
      </c>
      <c r="L126" s="140" t="s">
        <v>755</v>
      </c>
      <c r="M126" s="484" t="s">
        <v>312</v>
      </c>
      <c r="N126" s="140" t="s">
        <v>317</v>
      </c>
      <c r="O126" s="489">
        <v>46065</v>
      </c>
      <c r="P126" s="243" t="s">
        <v>292</v>
      </c>
      <c r="Q126" s="308">
        <v>46054</v>
      </c>
      <c r="R126" s="320"/>
      <c r="S126" s="43"/>
      <c r="T126" s="43"/>
      <c r="U126" s="43"/>
      <c r="V126" s="42"/>
      <c r="W126" s="42"/>
      <c r="X126" s="42"/>
      <c r="Y126" s="42"/>
      <c r="Z126" s="67"/>
      <c r="AA126" s="67"/>
      <c r="AB126" s="67"/>
      <c r="AC126" s="67"/>
      <c r="AD126" s="67"/>
      <c r="AE126" s="67"/>
      <c r="AF126" s="67"/>
      <c r="AG126" s="67"/>
    </row>
    <row r="127" spans="1:33" ht="15" customHeight="1">
      <c r="A127" s="320"/>
      <c r="B127" s="320">
        <v>125</v>
      </c>
      <c r="C127" s="158">
        <v>522285</v>
      </c>
      <c r="D127" s="156">
        <v>25816002</v>
      </c>
      <c r="E127" s="156" t="s">
        <v>756</v>
      </c>
      <c r="F127" s="158">
        <v>51</v>
      </c>
      <c r="G127" s="156" t="s">
        <v>757</v>
      </c>
      <c r="H127" s="43" t="s">
        <v>271</v>
      </c>
      <c r="I127" s="43" t="s">
        <v>758</v>
      </c>
      <c r="J127" s="43" t="s">
        <v>164</v>
      </c>
      <c r="K127" s="493">
        <v>46048</v>
      </c>
      <c r="L127" s="43" t="s">
        <v>759</v>
      </c>
      <c r="M127" s="484" t="s">
        <v>260</v>
      </c>
      <c r="N127" s="140" t="s">
        <v>655</v>
      </c>
      <c r="O127" s="489">
        <v>46050</v>
      </c>
      <c r="P127" s="242" t="s">
        <v>512</v>
      </c>
      <c r="Q127" s="471" t="s">
        <v>358</v>
      </c>
      <c r="R127" s="43"/>
      <c r="S127" s="43"/>
      <c r="T127" s="43"/>
      <c r="U127" s="43"/>
      <c r="V127" s="43"/>
      <c r="W127" s="43"/>
      <c r="X127" s="43"/>
      <c r="Y127" s="43"/>
      <c r="Z127" s="67"/>
      <c r="AA127" s="67"/>
      <c r="AB127" s="67"/>
      <c r="AC127" s="67"/>
      <c r="AD127" s="67"/>
      <c r="AE127" s="67"/>
      <c r="AF127" s="67"/>
      <c r="AG127" s="67"/>
    </row>
    <row r="128" spans="1:33" ht="15" customHeight="1">
      <c r="A128" s="320"/>
      <c r="B128" s="320">
        <v>126</v>
      </c>
      <c r="C128" s="158">
        <v>248932</v>
      </c>
      <c r="D128" s="182">
        <v>40293845</v>
      </c>
      <c r="E128" s="193" t="s">
        <v>760</v>
      </c>
      <c r="F128" s="194">
        <v>57</v>
      </c>
      <c r="G128" s="182" t="s">
        <v>761</v>
      </c>
      <c r="H128" s="135" t="s">
        <v>461</v>
      </c>
      <c r="I128" s="146">
        <v>937747746</v>
      </c>
      <c r="J128" s="43" t="s">
        <v>162</v>
      </c>
      <c r="K128" s="493">
        <v>46048</v>
      </c>
      <c r="L128" s="43" t="s">
        <v>376</v>
      </c>
      <c r="M128" s="484" t="s">
        <v>230</v>
      </c>
      <c r="N128" s="140" t="s">
        <v>317</v>
      </c>
      <c r="O128" s="489">
        <v>46050</v>
      </c>
      <c r="P128" s="242" t="s">
        <v>639</v>
      </c>
      <c r="Q128" s="471" t="s">
        <v>358</v>
      </c>
      <c r="R128" s="43"/>
      <c r="S128" s="43"/>
      <c r="T128" s="43"/>
      <c r="U128" s="43"/>
      <c r="V128" s="43"/>
      <c r="W128" s="43"/>
      <c r="X128" s="43"/>
      <c r="Y128" s="43"/>
      <c r="Z128" s="67"/>
      <c r="AA128" s="67"/>
      <c r="AB128" s="67"/>
      <c r="AC128" s="67"/>
      <c r="AD128" s="67"/>
      <c r="AE128" s="67"/>
      <c r="AF128" s="67"/>
      <c r="AG128" s="67"/>
    </row>
    <row r="129" spans="1:33" ht="15" customHeight="1">
      <c r="A129" s="320"/>
      <c r="B129" s="320">
        <v>127</v>
      </c>
      <c r="C129" s="158">
        <v>149058</v>
      </c>
      <c r="D129" s="199">
        <v>33654907</v>
      </c>
      <c r="E129" s="198" t="s">
        <v>762</v>
      </c>
      <c r="F129" s="199">
        <v>62</v>
      </c>
      <c r="G129" s="198" t="s">
        <v>763</v>
      </c>
      <c r="H129" s="136" t="s">
        <v>246</v>
      </c>
      <c r="I129" s="483">
        <v>940463766</v>
      </c>
      <c r="J129" s="42" t="s">
        <v>707</v>
      </c>
      <c r="K129" s="493">
        <v>46048</v>
      </c>
      <c r="L129" s="140" t="s">
        <v>747</v>
      </c>
      <c r="M129" s="484" t="s">
        <v>230</v>
      </c>
      <c r="N129" s="140" t="s">
        <v>317</v>
      </c>
      <c r="O129" s="489">
        <v>46065</v>
      </c>
      <c r="P129" s="501" t="s">
        <v>764</v>
      </c>
      <c r="Q129" s="308">
        <v>46054</v>
      </c>
      <c r="R129" s="320"/>
      <c r="S129" s="43"/>
      <c r="T129" s="43"/>
      <c r="U129" s="43"/>
      <c r="V129" s="42"/>
      <c r="W129" s="42"/>
      <c r="X129" s="42"/>
      <c r="Y129" s="42"/>
      <c r="Z129" s="67"/>
      <c r="AA129" s="67"/>
      <c r="AB129" s="67"/>
      <c r="AC129" s="67"/>
      <c r="AD129" s="67"/>
      <c r="AE129" s="67"/>
      <c r="AF129" s="67"/>
      <c r="AG129" s="67"/>
    </row>
    <row r="130" spans="1:33" ht="15" customHeight="1">
      <c r="A130" s="320"/>
      <c r="B130" s="320">
        <v>128</v>
      </c>
      <c r="C130" s="158">
        <v>145875</v>
      </c>
      <c r="D130" s="182">
        <v>16000254</v>
      </c>
      <c r="E130" s="193" t="s">
        <v>765</v>
      </c>
      <c r="F130" s="194">
        <v>57</v>
      </c>
      <c r="G130" s="182" t="s">
        <v>766</v>
      </c>
      <c r="H130" s="135" t="s">
        <v>461</v>
      </c>
      <c r="I130" s="43" t="s">
        <v>767</v>
      </c>
      <c r="J130" s="43" t="s">
        <v>162</v>
      </c>
      <c r="K130" s="493">
        <v>46048</v>
      </c>
      <c r="L130" s="140" t="s">
        <v>584</v>
      </c>
      <c r="M130" s="484" t="s">
        <v>230</v>
      </c>
      <c r="N130" s="140" t="s">
        <v>655</v>
      </c>
      <c r="O130" s="489">
        <v>46050</v>
      </c>
      <c r="P130" s="242" t="s">
        <v>639</v>
      </c>
      <c r="Q130" s="471" t="s">
        <v>358</v>
      </c>
      <c r="R130" s="43"/>
      <c r="S130" s="43"/>
      <c r="T130" s="43"/>
      <c r="U130" s="43"/>
      <c r="V130" s="43"/>
      <c r="W130" s="43"/>
      <c r="X130" s="43"/>
      <c r="Y130" s="43"/>
      <c r="Z130" s="67"/>
      <c r="AA130" s="67"/>
      <c r="AB130" s="67"/>
      <c r="AC130" s="67"/>
      <c r="AD130" s="67"/>
      <c r="AE130" s="67"/>
      <c r="AF130" s="67"/>
      <c r="AG130" s="67"/>
    </row>
    <row r="131" spans="1:33" ht="15" customHeight="1">
      <c r="A131" s="320"/>
      <c r="B131" s="320">
        <v>129</v>
      </c>
      <c r="C131" s="158">
        <v>522287</v>
      </c>
      <c r="D131" s="182">
        <v>15751948</v>
      </c>
      <c r="E131" s="193" t="s">
        <v>768</v>
      </c>
      <c r="F131" s="194">
        <v>51</v>
      </c>
      <c r="G131" s="193" t="s">
        <v>769</v>
      </c>
      <c r="H131" s="135" t="s">
        <v>461</v>
      </c>
      <c r="I131" s="146">
        <v>912467742</v>
      </c>
      <c r="J131" s="43" t="s">
        <v>162</v>
      </c>
      <c r="K131" s="493">
        <v>46048</v>
      </c>
      <c r="L131" s="140" t="s">
        <v>584</v>
      </c>
      <c r="M131" s="484" t="s">
        <v>230</v>
      </c>
      <c r="N131" s="140" t="s">
        <v>655</v>
      </c>
      <c r="O131" s="489">
        <v>46050</v>
      </c>
      <c r="P131" s="242" t="s">
        <v>639</v>
      </c>
      <c r="Q131" s="471" t="s">
        <v>358</v>
      </c>
      <c r="R131" s="43"/>
      <c r="S131" s="43"/>
      <c r="T131" s="43"/>
      <c r="U131" s="43"/>
      <c r="V131" s="43"/>
      <c r="W131" s="43"/>
      <c r="X131" s="43"/>
      <c r="Y131" s="43"/>
      <c r="Z131" s="67"/>
      <c r="AA131" s="67"/>
      <c r="AB131" s="67"/>
      <c r="AC131" s="67"/>
      <c r="AD131" s="67"/>
      <c r="AE131" s="67"/>
      <c r="AF131" s="67"/>
      <c r="AG131" s="67"/>
    </row>
    <row r="132" spans="1:33" ht="15" customHeight="1">
      <c r="A132" s="320"/>
      <c r="B132" s="320">
        <v>130</v>
      </c>
      <c r="C132" s="158">
        <v>522288</v>
      </c>
      <c r="D132" s="182">
        <v>16000118</v>
      </c>
      <c r="E132" s="182" t="s">
        <v>770</v>
      </c>
      <c r="F132" s="194">
        <v>57</v>
      </c>
      <c r="G132" s="182" t="s">
        <v>771</v>
      </c>
      <c r="H132" s="135" t="s">
        <v>461</v>
      </c>
      <c r="I132" s="134" t="s">
        <v>772</v>
      </c>
      <c r="J132" s="43" t="s">
        <v>162</v>
      </c>
      <c r="K132" s="493">
        <v>46048</v>
      </c>
      <c r="L132" s="43" t="s">
        <v>576</v>
      </c>
      <c r="M132" s="484" t="s">
        <v>312</v>
      </c>
      <c r="N132" s="140" t="s">
        <v>655</v>
      </c>
      <c r="O132" s="489">
        <v>46050</v>
      </c>
      <c r="P132" s="242" t="s">
        <v>639</v>
      </c>
      <c r="Q132" s="471" t="s">
        <v>358</v>
      </c>
      <c r="R132" s="43"/>
      <c r="S132" s="43"/>
      <c r="T132" s="43"/>
      <c r="U132" s="43"/>
      <c r="V132" s="43"/>
      <c r="W132" s="43"/>
      <c r="X132" s="43"/>
      <c r="Y132" s="43"/>
      <c r="Z132" s="67"/>
      <c r="AA132" s="67"/>
      <c r="AB132" s="67"/>
      <c r="AC132" s="67"/>
      <c r="AD132" s="67"/>
      <c r="AE132" s="67"/>
      <c r="AF132" s="67"/>
      <c r="AG132" s="67"/>
    </row>
    <row r="133" spans="1:33" ht="15" customHeight="1">
      <c r="A133" s="320"/>
      <c r="B133" s="320">
        <v>131</v>
      </c>
      <c r="C133" s="158">
        <v>522289</v>
      </c>
      <c r="D133" s="182">
        <v>42623554</v>
      </c>
      <c r="E133" s="193" t="s">
        <v>773</v>
      </c>
      <c r="F133" s="194">
        <v>42</v>
      </c>
      <c r="G133" s="182" t="s">
        <v>774</v>
      </c>
      <c r="H133" s="135" t="s">
        <v>461</v>
      </c>
      <c r="I133" s="134">
        <v>928826493</v>
      </c>
      <c r="J133" s="43" t="s">
        <v>162</v>
      </c>
      <c r="K133" s="493">
        <v>46048</v>
      </c>
      <c r="L133" s="140" t="s">
        <v>584</v>
      </c>
      <c r="M133" s="484" t="s">
        <v>230</v>
      </c>
      <c r="N133" s="140" t="s">
        <v>655</v>
      </c>
      <c r="O133" s="489">
        <v>46050</v>
      </c>
      <c r="P133" s="242" t="s">
        <v>639</v>
      </c>
      <c r="Q133" s="471" t="s">
        <v>358</v>
      </c>
      <c r="R133" s="43"/>
      <c r="S133" s="43"/>
      <c r="T133" s="43"/>
      <c r="U133" s="43"/>
      <c r="V133" s="43"/>
      <c r="W133" s="43"/>
      <c r="X133" s="43"/>
      <c r="Y133" s="43"/>
      <c r="Z133" s="67"/>
      <c r="AA133" s="67"/>
      <c r="AB133" s="67"/>
      <c r="AC133" s="67"/>
      <c r="AD133" s="67"/>
      <c r="AE133" s="67"/>
      <c r="AF133" s="67"/>
      <c r="AG133" s="67"/>
    </row>
    <row r="134" spans="1:33" ht="15" customHeight="1">
      <c r="A134" s="320"/>
      <c r="B134" s="320">
        <v>132</v>
      </c>
      <c r="C134" s="158">
        <v>460395</v>
      </c>
      <c r="D134" s="156" t="s">
        <v>775</v>
      </c>
      <c r="E134" s="156" t="s">
        <v>776</v>
      </c>
      <c r="F134" s="158">
        <v>62</v>
      </c>
      <c r="G134" s="156" t="s">
        <v>777</v>
      </c>
      <c r="H134" s="43" t="s">
        <v>222</v>
      </c>
      <c r="I134" s="320">
        <v>950038437</v>
      </c>
      <c r="J134" s="43" t="s">
        <v>238</v>
      </c>
      <c r="K134" s="493">
        <v>46048</v>
      </c>
      <c r="L134" s="43" t="s">
        <v>778</v>
      </c>
      <c r="M134" s="484" t="s">
        <v>312</v>
      </c>
      <c r="N134" s="140" t="s">
        <v>779</v>
      </c>
      <c r="O134" s="489">
        <v>46056</v>
      </c>
      <c r="P134" s="242"/>
      <c r="Q134" s="414" t="s">
        <v>780</v>
      </c>
      <c r="R134" s="320"/>
      <c r="S134" s="320"/>
      <c r="T134" s="320"/>
      <c r="U134" s="320"/>
      <c r="V134" s="320"/>
      <c r="W134" s="320"/>
      <c r="X134" s="320"/>
      <c r="Y134" s="320"/>
      <c r="Z134" s="68"/>
      <c r="AA134" s="68"/>
      <c r="AB134" s="67"/>
      <c r="AC134" s="67"/>
      <c r="AD134" s="67"/>
      <c r="AE134" s="67"/>
      <c r="AF134" s="67"/>
      <c r="AG134" s="67"/>
    </row>
    <row r="135" spans="1:33" ht="15" customHeight="1">
      <c r="A135" s="320"/>
      <c r="B135" s="320">
        <v>133</v>
      </c>
      <c r="C135" s="158">
        <v>522302</v>
      </c>
      <c r="D135" s="182">
        <v>40855363</v>
      </c>
      <c r="E135" s="193" t="s">
        <v>781</v>
      </c>
      <c r="F135" s="194">
        <v>44</v>
      </c>
      <c r="G135" s="193" t="s">
        <v>782</v>
      </c>
      <c r="H135" s="135" t="s">
        <v>461</v>
      </c>
      <c r="I135" s="134">
        <v>960095357</v>
      </c>
      <c r="J135" s="43" t="s">
        <v>162</v>
      </c>
      <c r="K135" s="493">
        <v>46048</v>
      </c>
      <c r="L135" s="140" t="s">
        <v>584</v>
      </c>
      <c r="M135" s="484" t="s">
        <v>230</v>
      </c>
      <c r="N135" s="140" t="s">
        <v>655</v>
      </c>
      <c r="O135" s="489">
        <v>46050</v>
      </c>
      <c r="P135" s="242" t="s">
        <v>639</v>
      </c>
      <c r="Q135" s="471" t="s">
        <v>358</v>
      </c>
      <c r="R135" s="43"/>
      <c r="S135" s="43"/>
      <c r="T135" s="43"/>
      <c r="U135" s="43"/>
      <c r="V135" s="43"/>
      <c r="W135" s="43"/>
      <c r="X135" s="43"/>
      <c r="Y135" s="43"/>
      <c r="Z135" s="67"/>
      <c r="AA135" s="67"/>
      <c r="AB135" s="67"/>
      <c r="AC135" s="67"/>
      <c r="AD135" s="67"/>
      <c r="AE135" s="67"/>
      <c r="AF135" s="67"/>
      <c r="AG135" s="67"/>
    </row>
    <row r="136" spans="1:33" ht="15" customHeight="1">
      <c r="A136" s="320"/>
      <c r="B136" s="320">
        <v>134</v>
      </c>
      <c r="C136" s="158">
        <v>522306</v>
      </c>
      <c r="D136" s="182">
        <v>80192585</v>
      </c>
      <c r="E136" s="193" t="s">
        <v>783</v>
      </c>
      <c r="F136" s="194">
        <v>53</v>
      </c>
      <c r="G136" s="193" t="s">
        <v>784</v>
      </c>
      <c r="H136" s="135" t="s">
        <v>461</v>
      </c>
      <c r="I136" s="146" t="s">
        <v>785</v>
      </c>
      <c r="J136" s="43" t="s">
        <v>162</v>
      </c>
      <c r="K136" s="493">
        <v>46048</v>
      </c>
      <c r="L136" s="140" t="s">
        <v>584</v>
      </c>
      <c r="M136" s="484" t="s">
        <v>230</v>
      </c>
      <c r="N136" s="140" t="s">
        <v>655</v>
      </c>
      <c r="O136" s="489">
        <v>46050</v>
      </c>
      <c r="P136" s="242" t="s">
        <v>639</v>
      </c>
      <c r="Q136" s="471" t="s">
        <v>358</v>
      </c>
      <c r="R136" s="43"/>
      <c r="S136" s="43"/>
      <c r="T136" s="43"/>
      <c r="U136" s="43"/>
      <c r="V136" s="43"/>
      <c r="W136" s="43"/>
      <c r="X136" s="43"/>
      <c r="Y136" s="43"/>
      <c r="Z136" s="67"/>
      <c r="AA136" s="67"/>
      <c r="AB136" s="67"/>
      <c r="AC136" s="67"/>
      <c r="AD136" s="67"/>
      <c r="AE136" s="67"/>
      <c r="AF136" s="67"/>
      <c r="AG136" s="67"/>
    </row>
    <row r="137" spans="1:33" ht="15" customHeight="1">
      <c r="A137" s="320"/>
      <c r="B137" s="320">
        <v>135</v>
      </c>
      <c r="C137" s="158">
        <v>193385</v>
      </c>
      <c r="D137" s="158">
        <v>15764236</v>
      </c>
      <c r="E137" s="73" t="s">
        <v>786</v>
      </c>
      <c r="F137" s="158">
        <v>48</v>
      </c>
      <c r="G137" s="73" t="s">
        <v>787</v>
      </c>
      <c r="H137" s="42" t="s">
        <v>222</v>
      </c>
      <c r="I137" s="320">
        <v>949164807</v>
      </c>
      <c r="J137" s="42" t="s">
        <v>588</v>
      </c>
      <c r="K137" s="493">
        <v>46048</v>
      </c>
      <c r="L137" s="140" t="s">
        <v>584</v>
      </c>
      <c r="M137" s="484" t="s">
        <v>230</v>
      </c>
      <c r="N137" s="140" t="s">
        <v>655</v>
      </c>
      <c r="O137" s="489">
        <v>46065</v>
      </c>
      <c r="P137" s="243" t="s">
        <v>292</v>
      </c>
      <c r="Q137" s="423" t="s">
        <v>385</v>
      </c>
      <c r="R137" s="320"/>
      <c r="S137" s="43"/>
      <c r="T137" s="43"/>
      <c r="U137" s="43"/>
      <c r="V137" s="42"/>
      <c r="W137" s="42"/>
      <c r="X137" s="42"/>
      <c r="Y137" s="42"/>
      <c r="Z137" s="67"/>
      <c r="AA137" s="67"/>
      <c r="AB137" s="67"/>
      <c r="AC137" s="67"/>
      <c r="AD137" s="67"/>
      <c r="AE137" s="67"/>
      <c r="AF137" s="67"/>
      <c r="AG137" s="67"/>
    </row>
    <row r="138" spans="1:33" ht="15" customHeight="1">
      <c r="A138" s="320"/>
      <c r="B138" s="320">
        <v>136</v>
      </c>
      <c r="C138" s="158">
        <v>522291</v>
      </c>
      <c r="D138" s="182">
        <v>16001330</v>
      </c>
      <c r="E138" s="193" t="s">
        <v>788</v>
      </c>
      <c r="F138" s="194">
        <v>56</v>
      </c>
      <c r="G138" s="182" t="s">
        <v>789</v>
      </c>
      <c r="H138" s="135" t="s">
        <v>461</v>
      </c>
      <c r="I138" s="134">
        <v>963525966</v>
      </c>
      <c r="J138" s="43" t="s">
        <v>162</v>
      </c>
      <c r="K138" s="493">
        <v>46048</v>
      </c>
      <c r="L138" s="43" t="s">
        <v>790</v>
      </c>
      <c r="M138" s="484" t="s">
        <v>312</v>
      </c>
      <c r="N138" s="43" t="s">
        <v>317</v>
      </c>
      <c r="O138" s="489">
        <v>46050</v>
      </c>
      <c r="P138" s="242" t="s">
        <v>639</v>
      </c>
      <c r="Q138" s="471" t="s">
        <v>358</v>
      </c>
      <c r="R138" s="43"/>
      <c r="S138" s="43"/>
      <c r="T138" s="43"/>
      <c r="U138" s="43"/>
      <c r="V138" s="43"/>
      <c r="W138" s="43"/>
      <c r="X138" s="43"/>
      <c r="Y138" s="43"/>
      <c r="Z138" s="67"/>
      <c r="AA138" s="67"/>
      <c r="AB138" s="67"/>
      <c r="AC138" s="67"/>
      <c r="AD138" s="67"/>
      <c r="AE138" s="67"/>
      <c r="AF138" s="67"/>
      <c r="AG138" s="67"/>
    </row>
    <row r="139" spans="1:33" ht="15" customHeight="1">
      <c r="A139" s="320"/>
      <c r="B139" s="320">
        <v>137</v>
      </c>
      <c r="C139" s="158">
        <v>835058</v>
      </c>
      <c r="D139" s="156">
        <v>115601178</v>
      </c>
      <c r="E139" s="156" t="s">
        <v>791</v>
      </c>
      <c r="F139" s="158">
        <v>77</v>
      </c>
      <c r="G139" s="156" t="s">
        <v>792</v>
      </c>
      <c r="H139" s="43" t="s">
        <v>278</v>
      </c>
      <c r="I139" s="320" t="s">
        <v>793</v>
      </c>
      <c r="J139" s="43" t="s">
        <v>238</v>
      </c>
      <c r="K139" s="493">
        <v>46048</v>
      </c>
      <c r="L139" s="43" t="s">
        <v>576</v>
      </c>
      <c r="M139" s="484" t="s">
        <v>312</v>
      </c>
      <c r="N139" s="140" t="s">
        <v>655</v>
      </c>
      <c r="O139" s="489">
        <v>46050</v>
      </c>
      <c r="P139" s="242"/>
      <c r="Q139" s="414" t="s">
        <v>794</v>
      </c>
      <c r="R139" s="320"/>
      <c r="S139" s="320"/>
      <c r="T139" s="320"/>
      <c r="U139" s="320"/>
      <c r="V139" s="320"/>
      <c r="W139" s="320"/>
      <c r="X139" s="320"/>
      <c r="Y139" s="320"/>
      <c r="Z139" s="68"/>
      <c r="AA139" s="68"/>
      <c r="AB139" s="67"/>
      <c r="AC139" s="67"/>
      <c r="AD139" s="67"/>
      <c r="AE139" s="67"/>
      <c r="AF139" s="67"/>
      <c r="AG139" s="67"/>
    </row>
    <row r="140" spans="1:33" ht="15" customHeight="1">
      <c r="A140" s="320"/>
      <c r="B140" s="320">
        <v>138</v>
      </c>
      <c r="C140" s="158">
        <v>52239</v>
      </c>
      <c r="D140" s="182">
        <v>44128459</v>
      </c>
      <c r="E140" s="193" t="s">
        <v>795</v>
      </c>
      <c r="F140" s="194">
        <v>51</v>
      </c>
      <c r="G140" s="182" t="s">
        <v>796</v>
      </c>
      <c r="H140" s="135" t="s">
        <v>461</v>
      </c>
      <c r="I140" s="146">
        <v>951462300</v>
      </c>
      <c r="J140" s="43" t="s">
        <v>162</v>
      </c>
      <c r="K140" s="493">
        <v>46048</v>
      </c>
      <c r="L140" s="43" t="s">
        <v>576</v>
      </c>
      <c r="M140" s="484" t="s">
        <v>260</v>
      </c>
      <c r="N140" s="140" t="s">
        <v>655</v>
      </c>
      <c r="O140" s="489">
        <v>46050</v>
      </c>
      <c r="P140" s="242" t="s">
        <v>639</v>
      </c>
      <c r="Q140" s="471" t="s">
        <v>358</v>
      </c>
      <c r="R140" s="43"/>
      <c r="S140" s="43"/>
      <c r="T140" s="43"/>
      <c r="U140" s="43"/>
      <c r="V140" s="43"/>
      <c r="W140" s="43"/>
      <c r="X140" s="43"/>
      <c r="Y140" s="43"/>
      <c r="Z140" s="67"/>
      <c r="AA140" s="67"/>
      <c r="AB140" s="67"/>
      <c r="AC140" s="67"/>
      <c r="AD140" s="67"/>
      <c r="AE140" s="67"/>
      <c r="AF140" s="67"/>
      <c r="AG140" s="67"/>
    </row>
    <row r="141" spans="1:33" ht="15" customHeight="1">
      <c r="A141" s="320"/>
      <c r="B141" s="320">
        <v>139</v>
      </c>
      <c r="C141" s="158">
        <v>395507</v>
      </c>
      <c r="D141" s="158">
        <v>42158583</v>
      </c>
      <c r="E141" s="73" t="s">
        <v>797</v>
      </c>
      <c r="F141" s="158">
        <v>42</v>
      </c>
      <c r="G141" s="73" t="s">
        <v>798</v>
      </c>
      <c r="H141" s="42" t="s">
        <v>278</v>
      </c>
      <c r="I141" s="320">
        <v>944307272</v>
      </c>
      <c r="J141" s="42" t="s">
        <v>384</v>
      </c>
      <c r="K141" s="493">
        <v>46048</v>
      </c>
      <c r="L141" s="140" t="s">
        <v>576</v>
      </c>
      <c r="M141" s="484" t="s">
        <v>312</v>
      </c>
      <c r="N141" s="140" t="s">
        <v>655</v>
      </c>
      <c r="O141" s="489">
        <v>46065</v>
      </c>
      <c r="P141" s="243" t="s">
        <v>292</v>
      </c>
      <c r="Q141" s="308">
        <v>46054</v>
      </c>
      <c r="R141" s="320" t="s">
        <v>350</v>
      </c>
      <c r="S141" s="43"/>
      <c r="T141" s="43"/>
      <c r="U141" s="43"/>
      <c r="V141" s="42"/>
      <c r="W141" s="42"/>
      <c r="X141" s="42"/>
      <c r="Y141" s="42"/>
      <c r="Z141" s="67"/>
      <c r="AA141" s="67"/>
      <c r="AB141" s="67"/>
      <c r="AC141" s="67"/>
      <c r="AD141" s="67"/>
      <c r="AE141" s="67"/>
      <c r="AF141" s="67"/>
      <c r="AG141" s="67"/>
    </row>
    <row r="142" spans="1:33" ht="15" customHeight="1">
      <c r="A142" s="320"/>
      <c r="B142" s="320">
        <v>140</v>
      </c>
      <c r="C142" s="158">
        <v>24111</v>
      </c>
      <c r="D142" s="191">
        <v>15726517</v>
      </c>
      <c r="E142" s="195" t="s">
        <v>799</v>
      </c>
      <c r="F142" s="191">
        <v>54</v>
      </c>
      <c r="G142" s="196" t="s">
        <v>800</v>
      </c>
      <c r="H142" s="139" t="s">
        <v>278</v>
      </c>
      <c r="I142" s="481">
        <v>926280699</v>
      </c>
      <c r="J142" s="42" t="s">
        <v>384</v>
      </c>
      <c r="K142" s="493">
        <v>46048</v>
      </c>
      <c r="L142" s="140" t="s">
        <v>584</v>
      </c>
      <c r="M142" s="484" t="s">
        <v>230</v>
      </c>
      <c r="N142" s="140" t="s">
        <v>655</v>
      </c>
      <c r="O142" s="489">
        <v>46065</v>
      </c>
      <c r="P142" s="243" t="s">
        <v>292</v>
      </c>
      <c r="Q142" s="308">
        <v>46054</v>
      </c>
      <c r="R142" s="320" t="s">
        <v>350</v>
      </c>
      <c r="S142" s="43"/>
      <c r="T142" s="43"/>
      <c r="U142" s="43"/>
      <c r="V142" s="42"/>
      <c r="W142" s="42"/>
      <c r="X142" s="42"/>
      <c r="Y142" s="42"/>
      <c r="Z142" s="67"/>
      <c r="AA142" s="67"/>
      <c r="AB142" s="67"/>
      <c r="AC142" s="67"/>
      <c r="AD142" s="67"/>
      <c r="AE142" s="67"/>
      <c r="AF142" s="67"/>
      <c r="AG142" s="67"/>
    </row>
    <row r="143" spans="1:33" ht="15" customHeight="1">
      <c r="A143" s="320"/>
      <c r="B143" s="320">
        <v>141</v>
      </c>
      <c r="C143" s="158">
        <v>52311</v>
      </c>
      <c r="D143" s="65">
        <v>41095610</v>
      </c>
      <c r="E143" s="62" t="s">
        <v>801</v>
      </c>
      <c r="F143" s="194">
        <v>44</v>
      </c>
      <c r="G143" s="65" t="s">
        <v>802</v>
      </c>
      <c r="H143" s="135" t="s">
        <v>461</v>
      </c>
      <c r="I143" s="47">
        <v>973853704</v>
      </c>
      <c r="J143" s="43" t="s">
        <v>162</v>
      </c>
      <c r="K143" s="493">
        <v>46048</v>
      </c>
      <c r="L143" s="43" t="s">
        <v>576</v>
      </c>
      <c r="M143" s="484" t="s">
        <v>312</v>
      </c>
      <c r="N143" s="140" t="s">
        <v>655</v>
      </c>
      <c r="O143" s="489">
        <v>46050</v>
      </c>
      <c r="P143" s="242" t="s">
        <v>639</v>
      </c>
      <c r="Q143" s="471" t="s">
        <v>358</v>
      </c>
      <c r="R143" s="43"/>
      <c r="S143" s="43"/>
      <c r="T143" s="43"/>
      <c r="U143" s="43"/>
      <c r="V143" s="43"/>
      <c r="W143" s="43"/>
      <c r="X143" s="43"/>
      <c r="Y143" s="43"/>
      <c r="Z143" s="67"/>
      <c r="AA143" s="67"/>
      <c r="AB143" s="67"/>
      <c r="AC143" s="67"/>
      <c r="AD143" s="67"/>
      <c r="AE143" s="67"/>
      <c r="AF143" s="67"/>
      <c r="AG143" s="67"/>
    </row>
    <row r="144" spans="1:33" ht="15" customHeight="1">
      <c r="A144" s="531">
        <v>46050</v>
      </c>
      <c r="B144" s="320">
        <v>142</v>
      </c>
      <c r="C144" s="170">
        <v>91693</v>
      </c>
      <c r="D144" s="170">
        <v>15638766</v>
      </c>
      <c r="E144" s="169" t="s">
        <v>803</v>
      </c>
      <c r="F144" s="170">
        <v>65</v>
      </c>
      <c r="G144" s="169" t="s">
        <v>804</v>
      </c>
      <c r="H144" s="121" t="s">
        <v>222</v>
      </c>
      <c r="I144" s="477" t="s">
        <v>805</v>
      </c>
      <c r="J144" s="121" t="s">
        <v>223</v>
      </c>
      <c r="K144" s="497">
        <v>46050</v>
      </c>
      <c r="L144" s="141" t="s">
        <v>806</v>
      </c>
      <c r="M144" s="484" t="s">
        <v>230</v>
      </c>
      <c r="N144" s="140" t="s">
        <v>807</v>
      </c>
      <c r="O144" s="489">
        <v>46065</v>
      </c>
      <c r="P144" s="243" t="s">
        <v>292</v>
      </c>
      <c r="Q144" s="308">
        <v>46054</v>
      </c>
      <c r="R144" s="477"/>
      <c r="S144" s="112"/>
      <c r="T144" s="112"/>
      <c r="U144" s="112"/>
      <c r="V144" s="121"/>
      <c r="W144" s="121"/>
      <c r="X144" s="121"/>
      <c r="Y144" s="121"/>
      <c r="Z144" s="67"/>
      <c r="AA144" s="67"/>
      <c r="AB144" s="67"/>
      <c r="AC144" s="67"/>
      <c r="AD144" s="67"/>
      <c r="AE144" s="67"/>
      <c r="AF144" s="67"/>
      <c r="AG144" s="67"/>
    </row>
    <row r="145" spans="1:33" ht="15" customHeight="1">
      <c r="A145" s="320"/>
      <c r="B145" s="320">
        <v>143</v>
      </c>
      <c r="C145" s="158">
        <v>222782</v>
      </c>
      <c r="D145" s="158">
        <v>40364283</v>
      </c>
      <c r="E145" s="73" t="s">
        <v>808</v>
      </c>
      <c r="F145" s="158">
        <v>46</v>
      </c>
      <c r="G145" s="73" t="s">
        <v>809</v>
      </c>
      <c r="H145" s="42" t="s">
        <v>301</v>
      </c>
      <c r="I145" s="320" t="s">
        <v>810</v>
      </c>
      <c r="J145" s="42" t="s">
        <v>302</v>
      </c>
      <c r="K145" s="493">
        <v>46050</v>
      </c>
      <c r="L145" s="140" t="s">
        <v>811</v>
      </c>
      <c r="M145" s="484" t="s">
        <v>230</v>
      </c>
      <c r="N145" s="140" t="s">
        <v>812</v>
      </c>
      <c r="O145" s="489">
        <v>46065</v>
      </c>
      <c r="P145" s="243" t="s">
        <v>292</v>
      </c>
      <c r="Q145" s="308">
        <v>46054</v>
      </c>
      <c r="R145" s="320" t="s">
        <v>350</v>
      </c>
      <c r="S145" s="43"/>
      <c r="T145" s="43"/>
      <c r="U145" s="43"/>
      <c r="V145" s="42"/>
      <c r="W145" s="42"/>
      <c r="X145" s="42"/>
      <c r="Y145" s="42"/>
      <c r="Z145" s="67"/>
      <c r="AA145" s="67"/>
      <c r="AB145" s="67"/>
      <c r="AC145" s="67"/>
      <c r="AD145" s="67"/>
      <c r="AE145" s="67"/>
      <c r="AF145" s="67"/>
      <c r="AG145" s="67"/>
    </row>
    <row r="146" spans="1:33" ht="15" customHeight="1">
      <c r="A146" s="320"/>
      <c r="B146" s="320">
        <v>144</v>
      </c>
      <c r="C146" s="158">
        <v>522351</v>
      </c>
      <c r="D146" s="65">
        <v>15954590</v>
      </c>
      <c r="E146" s="171" t="s">
        <v>813</v>
      </c>
      <c r="F146" s="173">
        <v>68</v>
      </c>
      <c r="G146" s="171" t="s">
        <v>814</v>
      </c>
      <c r="H146" s="122" t="s">
        <v>461</v>
      </c>
      <c r="I146" s="124">
        <v>990676763</v>
      </c>
      <c r="J146" s="42" t="s">
        <v>162</v>
      </c>
      <c r="K146" s="493">
        <v>46050</v>
      </c>
      <c r="L146" s="140" t="s">
        <v>815</v>
      </c>
      <c r="M146" s="484" t="s">
        <v>230</v>
      </c>
      <c r="N146" s="140" t="s">
        <v>816</v>
      </c>
      <c r="O146" s="489">
        <v>46056</v>
      </c>
      <c r="P146" s="242" t="s">
        <v>639</v>
      </c>
      <c r="Q146" s="471" t="s">
        <v>358</v>
      </c>
      <c r="R146" s="43"/>
      <c r="S146" s="43"/>
      <c r="T146" s="43"/>
      <c r="U146" s="43"/>
      <c r="V146" s="42"/>
      <c r="W146" s="42"/>
      <c r="X146" s="42"/>
      <c r="Y146" s="42"/>
      <c r="Z146" s="67"/>
      <c r="AA146" s="67"/>
      <c r="AB146" s="67"/>
      <c r="AC146" s="67"/>
      <c r="AD146" s="67"/>
      <c r="AE146" s="67"/>
      <c r="AF146" s="67"/>
      <c r="AG146" s="67"/>
    </row>
    <row r="147" spans="1:33" ht="15" customHeight="1">
      <c r="A147" s="320"/>
      <c r="B147" s="320">
        <v>145</v>
      </c>
      <c r="C147" s="158">
        <v>239310</v>
      </c>
      <c r="D147" s="158">
        <v>41646562</v>
      </c>
      <c r="E147" s="73" t="s">
        <v>817</v>
      </c>
      <c r="F147" s="158">
        <v>42</v>
      </c>
      <c r="G147" s="73" t="s">
        <v>818</v>
      </c>
      <c r="H147" s="42" t="s">
        <v>237</v>
      </c>
      <c r="I147" s="320" t="s">
        <v>819</v>
      </c>
      <c r="J147" s="42" t="s">
        <v>223</v>
      </c>
      <c r="K147" s="493">
        <v>46050</v>
      </c>
      <c r="L147" s="140" t="s">
        <v>458</v>
      </c>
      <c r="M147" s="484" t="s">
        <v>260</v>
      </c>
      <c r="N147" s="140" t="s">
        <v>655</v>
      </c>
      <c r="O147" s="489">
        <v>46065</v>
      </c>
      <c r="P147" s="243" t="s">
        <v>292</v>
      </c>
      <c r="Q147" s="308">
        <v>46054</v>
      </c>
      <c r="R147" s="320" t="s">
        <v>350</v>
      </c>
      <c r="S147" s="43"/>
      <c r="T147" s="43"/>
      <c r="U147" s="43"/>
      <c r="V147" s="42"/>
      <c r="W147" s="42"/>
      <c r="X147" s="42"/>
      <c r="Y147" s="42"/>
      <c r="Z147" s="67"/>
      <c r="AA147" s="67"/>
      <c r="AB147" s="67"/>
      <c r="AC147" s="67"/>
      <c r="AD147" s="67"/>
      <c r="AE147" s="67"/>
      <c r="AF147" s="67"/>
      <c r="AG147" s="67"/>
    </row>
    <row r="148" spans="1:33" ht="15" customHeight="1">
      <c r="A148" s="320"/>
      <c r="B148" s="320">
        <v>146</v>
      </c>
      <c r="C148" s="158">
        <v>522352</v>
      </c>
      <c r="D148" s="65">
        <v>15941779</v>
      </c>
      <c r="E148" s="171" t="s">
        <v>820</v>
      </c>
      <c r="F148" s="173">
        <v>66</v>
      </c>
      <c r="G148" s="200" t="s">
        <v>821</v>
      </c>
      <c r="H148" s="42" t="s">
        <v>461</v>
      </c>
      <c r="I148" s="147">
        <v>960903387</v>
      </c>
      <c r="J148" s="42" t="s">
        <v>162</v>
      </c>
      <c r="K148" s="493">
        <v>46050</v>
      </c>
      <c r="L148" s="140" t="s">
        <v>620</v>
      </c>
      <c r="M148" s="484" t="s">
        <v>260</v>
      </c>
      <c r="N148" s="140" t="s">
        <v>655</v>
      </c>
      <c r="O148" s="489">
        <v>46056</v>
      </c>
      <c r="P148" s="242" t="s">
        <v>639</v>
      </c>
      <c r="Q148" s="471" t="s">
        <v>358</v>
      </c>
      <c r="R148" s="43"/>
      <c r="S148" s="43"/>
      <c r="T148" s="43"/>
      <c r="U148" s="43"/>
      <c r="V148" s="42"/>
      <c r="W148" s="42"/>
      <c r="X148" s="42"/>
      <c r="Y148" s="42"/>
      <c r="Z148" s="67"/>
      <c r="AA148" s="67"/>
      <c r="AB148" s="67"/>
      <c r="AC148" s="67"/>
      <c r="AD148" s="67"/>
      <c r="AE148" s="67"/>
      <c r="AF148" s="67"/>
      <c r="AG148" s="67"/>
    </row>
    <row r="149" spans="1:33" ht="15" customHeight="1">
      <c r="A149" s="320"/>
      <c r="B149" s="320">
        <v>147</v>
      </c>
      <c r="C149" s="158">
        <v>277274</v>
      </c>
      <c r="D149" s="65">
        <v>40739343</v>
      </c>
      <c r="E149" s="171" t="s">
        <v>822</v>
      </c>
      <c r="F149" s="173">
        <v>45</v>
      </c>
      <c r="G149" s="200" t="s">
        <v>823</v>
      </c>
      <c r="H149" s="42" t="s">
        <v>461</v>
      </c>
      <c r="I149" s="42">
        <v>920629926</v>
      </c>
      <c r="J149" s="42" t="s">
        <v>162</v>
      </c>
      <c r="K149" s="493">
        <v>46050</v>
      </c>
      <c r="L149" s="140" t="s">
        <v>824</v>
      </c>
      <c r="M149" s="484" t="s">
        <v>260</v>
      </c>
      <c r="N149" s="140" t="s">
        <v>655</v>
      </c>
      <c r="O149" s="489">
        <v>46056</v>
      </c>
      <c r="P149" s="242" t="s">
        <v>639</v>
      </c>
      <c r="Q149" s="471" t="s">
        <v>358</v>
      </c>
      <c r="R149" s="43"/>
      <c r="S149" s="43"/>
      <c r="T149" s="43"/>
      <c r="U149" s="43"/>
      <c r="V149" s="42"/>
      <c r="W149" s="42"/>
      <c r="X149" s="42"/>
      <c r="Y149" s="42"/>
      <c r="Z149" s="67"/>
      <c r="AA149" s="67"/>
      <c r="AB149" s="67"/>
      <c r="AC149" s="67"/>
      <c r="AD149" s="67"/>
      <c r="AE149" s="67"/>
      <c r="AF149" s="67"/>
      <c r="AG149" s="67"/>
    </row>
    <row r="150" spans="1:33" ht="15" customHeight="1">
      <c r="A150" s="320"/>
      <c r="B150" s="320">
        <v>148</v>
      </c>
      <c r="C150" s="158">
        <v>228703</v>
      </c>
      <c r="D150" s="172">
        <v>40423898</v>
      </c>
      <c r="E150" s="171" t="s">
        <v>825</v>
      </c>
      <c r="F150" s="172">
        <v>45</v>
      </c>
      <c r="G150" s="73" t="s">
        <v>826</v>
      </c>
      <c r="H150" s="42" t="s">
        <v>326</v>
      </c>
      <c r="I150" s="484">
        <v>948058087</v>
      </c>
      <c r="J150" s="42" t="s">
        <v>827</v>
      </c>
      <c r="K150" s="493">
        <v>46050</v>
      </c>
      <c r="L150" s="140" t="s">
        <v>458</v>
      </c>
      <c r="M150" s="484" t="s">
        <v>260</v>
      </c>
      <c r="N150" s="140" t="s">
        <v>655</v>
      </c>
      <c r="O150" s="489">
        <v>46065</v>
      </c>
      <c r="P150" s="243" t="s">
        <v>292</v>
      </c>
      <c r="Q150" s="423" t="s">
        <v>334</v>
      </c>
      <c r="R150" s="320"/>
      <c r="S150" s="43"/>
      <c r="T150" s="43"/>
      <c r="U150" s="43"/>
      <c r="V150" s="42"/>
      <c r="W150" s="42"/>
      <c r="X150" s="42"/>
      <c r="Y150" s="42"/>
      <c r="Z150" s="67"/>
      <c r="AA150" s="67"/>
      <c r="AB150" s="67"/>
      <c r="AC150" s="67"/>
      <c r="AD150" s="67"/>
      <c r="AE150" s="67"/>
      <c r="AF150" s="67"/>
      <c r="AG150" s="67"/>
    </row>
    <row r="151" spans="1:33" ht="15" customHeight="1">
      <c r="A151" s="320"/>
      <c r="B151" s="320">
        <v>149</v>
      </c>
      <c r="C151" s="158">
        <v>208506</v>
      </c>
      <c r="D151" s="158">
        <v>15763828</v>
      </c>
      <c r="E151" s="73" t="s">
        <v>828</v>
      </c>
      <c r="F151" s="158">
        <v>47</v>
      </c>
      <c r="G151" s="73" t="s">
        <v>829</v>
      </c>
      <c r="H151" s="42" t="s">
        <v>830</v>
      </c>
      <c r="I151" s="320" t="s">
        <v>831</v>
      </c>
      <c r="J151" s="42" t="s">
        <v>832</v>
      </c>
      <c r="K151" s="493">
        <v>46050</v>
      </c>
      <c r="L151" s="140" t="s">
        <v>679</v>
      </c>
      <c r="M151" s="484" t="s">
        <v>230</v>
      </c>
      <c r="N151" s="140" t="s">
        <v>708</v>
      </c>
      <c r="O151" s="489">
        <v>46065</v>
      </c>
      <c r="P151" s="243" t="s">
        <v>833</v>
      </c>
      <c r="Q151" s="423" t="s">
        <v>334</v>
      </c>
      <c r="R151" s="320"/>
      <c r="S151" s="43"/>
      <c r="T151" s="43"/>
      <c r="U151" s="43"/>
      <c r="V151" s="42"/>
      <c r="W151" s="42"/>
      <c r="X151" s="42"/>
      <c r="Y151" s="42"/>
      <c r="Z151" s="67"/>
      <c r="AA151" s="67"/>
      <c r="AB151" s="67"/>
      <c r="AC151" s="67"/>
      <c r="AD151" s="67"/>
      <c r="AE151" s="67"/>
      <c r="AF151" s="67"/>
      <c r="AG151" s="67"/>
    </row>
    <row r="152" spans="1:33" ht="15" customHeight="1">
      <c r="A152" s="320"/>
      <c r="B152" s="320">
        <v>150</v>
      </c>
      <c r="C152" s="158">
        <v>522354</v>
      </c>
      <c r="D152" s="65">
        <v>41519661</v>
      </c>
      <c r="E152" s="154" t="s">
        <v>834</v>
      </c>
      <c r="F152" s="173">
        <v>42</v>
      </c>
      <c r="G152" s="154" t="s">
        <v>835</v>
      </c>
      <c r="H152" s="122" t="s">
        <v>461</v>
      </c>
      <c r="I152" s="124">
        <v>970295424</v>
      </c>
      <c r="J152" s="42" t="s">
        <v>162</v>
      </c>
      <c r="K152" s="493">
        <v>46050</v>
      </c>
      <c r="L152" s="140" t="s">
        <v>458</v>
      </c>
      <c r="M152" s="484" t="s">
        <v>260</v>
      </c>
      <c r="N152" s="140" t="s">
        <v>655</v>
      </c>
      <c r="O152" s="489">
        <v>46056</v>
      </c>
      <c r="P152" s="242" t="s">
        <v>639</v>
      </c>
      <c r="Q152" s="471" t="s">
        <v>358</v>
      </c>
      <c r="R152" s="43"/>
      <c r="S152" s="43"/>
      <c r="T152" s="43"/>
      <c r="U152" s="43"/>
      <c r="V152" s="42"/>
      <c r="W152" s="42"/>
      <c r="X152" s="42"/>
      <c r="Y152" s="42"/>
      <c r="Z152" s="67"/>
      <c r="AA152" s="67"/>
      <c r="AB152" s="67"/>
      <c r="AC152" s="67"/>
      <c r="AD152" s="67"/>
      <c r="AE152" s="67"/>
      <c r="AF152" s="67"/>
      <c r="AG152" s="67"/>
    </row>
    <row r="153" spans="1:33" ht="15" customHeight="1">
      <c r="A153" s="320"/>
      <c r="B153" s="320">
        <v>151</v>
      </c>
      <c r="C153" s="158">
        <v>250655</v>
      </c>
      <c r="D153" s="158">
        <v>40540373</v>
      </c>
      <c r="E153" s="73" t="s">
        <v>836</v>
      </c>
      <c r="F153" s="158">
        <v>47</v>
      </c>
      <c r="G153" s="73" t="s">
        <v>837</v>
      </c>
      <c r="H153" s="42" t="s">
        <v>326</v>
      </c>
      <c r="I153" s="320" t="s">
        <v>838</v>
      </c>
      <c r="J153" s="42" t="s">
        <v>827</v>
      </c>
      <c r="K153" s="493">
        <v>46050</v>
      </c>
      <c r="L153" s="140" t="s">
        <v>458</v>
      </c>
      <c r="M153" s="484" t="s">
        <v>260</v>
      </c>
      <c r="N153" s="140" t="s">
        <v>655</v>
      </c>
      <c r="O153" s="489">
        <v>46065</v>
      </c>
      <c r="P153" s="243" t="s">
        <v>292</v>
      </c>
      <c r="Q153" s="473" t="s">
        <v>339</v>
      </c>
      <c r="R153" s="320"/>
      <c r="S153" s="43"/>
      <c r="T153" s="43"/>
      <c r="U153" s="43"/>
      <c r="V153" s="42"/>
      <c r="W153" s="42"/>
      <c r="X153" s="42"/>
      <c r="Y153" s="42"/>
      <c r="Z153" s="67"/>
      <c r="AA153" s="67"/>
      <c r="AB153" s="67"/>
      <c r="AC153" s="67"/>
      <c r="AD153" s="67"/>
      <c r="AE153" s="67"/>
      <c r="AF153" s="67"/>
      <c r="AG153" s="67"/>
    </row>
    <row r="154" spans="1:33" ht="15" customHeight="1">
      <c r="A154" s="320"/>
      <c r="B154" s="320">
        <v>152</v>
      </c>
      <c r="C154" s="158">
        <v>522359</v>
      </c>
      <c r="D154" s="65">
        <v>40795292</v>
      </c>
      <c r="E154" s="171" t="s">
        <v>839</v>
      </c>
      <c r="F154" s="173">
        <v>43</v>
      </c>
      <c r="G154" s="154" t="s">
        <v>840</v>
      </c>
      <c r="H154" s="122" t="s">
        <v>461</v>
      </c>
      <c r="I154" s="122">
        <v>959366027</v>
      </c>
      <c r="J154" s="42" t="s">
        <v>162</v>
      </c>
      <c r="K154" s="493">
        <v>46050</v>
      </c>
      <c r="L154" s="140" t="s">
        <v>841</v>
      </c>
      <c r="M154" s="484" t="s">
        <v>260</v>
      </c>
      <c r="N154" s="140" t="s">
        <v>655</v>
      </c>
      <c r="O154" s="489">
        <v>46056</v>
      </c>
      <c r="P154" s="242" t="s">
        <v>639</v>
      </c>
      <c r="Q154" s="471" t="s">
        <v>358</v>
      </c>
      <c r="R154" s="43"/>
      <c r="S154" s="43"/>
      <c r="T154" s="43"/>
      <c r="U154" s="43"/>
      <c r="V154" s="42"/>
      <c r="W154" s="42"/>
      <c r="X154" s="42"/>
      <c r="Y154" s="42"/>
      <c r="Z154" s="67"/>
      <c r="AA154" s="67"/>
      <c r="AB154" s="67"/>
      <c r="AC154" s="67"/>
      <c r="AD154" s="67"/>
      <c r="AE154" s="67"/>
      <c r="AF154" s="67"/>
      <c r="AG154" s="67"/>
    </row>
    <row r="155" spans="1:33" ht="15" customHeight="1">
      <c r="A155" s="320"/>
      <c r="B155" s="320">
        <v>153</v>
      </c>
      <c r="C155" s="158">
        <v>246561</v>
      </c>
      <c r="D155" s="156">
        <v>43003538</v>
      </c>
      <c r="E155" s="73" t="s">
        <v>842</v>
      </c>
      <c r="F155" s="158">
        <v>40</v>
      </c>
      <c r="G155" s="73" t="s">
        <v>843</v>
      </c>
      <c r="H155" s="42" t="s">
        <v>326</v>
      </c>
      <c r="I155" s="320" t="s">
        <v>844</v>
      </c>
      <c r="J155" s="42" t="s">
        <v>238</v>
      </c>
      <c r="K155" s="493">
        <v>46050</v>
      </c>
      <c r="L155" s="140" t="s">
        <v>845</v>
      </c>
      <c r="M155" s="484" t="s">
        <v>260</v>
      </c>
      <c r="N155" s="140" t="s">
        <v>655</v>
      </c>
      <c r="O155" s="489">
        <v>46056</v>
      </c>
      <c r="P155" s="239"/>
      <c r="Q155" s="414" t="s">
        <v>846</v>
      </c>
      <c r="R155" s="320"/>
      <c r="S155" s="320"/>
      <c r="T155" s="320"/>
      <c r="U155" s="320"/>
      <c r="V155" s="320"/>
      <c r="W155" s="320"/>
      <c r="X155" s="320"/>
      <c r="Y155" s="320"/>
      <c r="Z155" s="68"/>
      <c r="AA155" s="68"/>
      <c r="AB155" s="67"/>
      <c r="AC155" s="67"/>
      <c r="AD155" s="67"/>
      <c r="AE155" s="67"/>
      <c r="AF155" s="67"/>
      <c r="AG155" s="67"/>
    </row>
    <row r="156" spans="1:33" ht="15" customHeight="1">
      <c r="A156" s="320"/>
      <c r="B156" s="320">
        <v>154</v>
      </c>
      <c r="C156" s="158">
        <v>453390</v>
      </c>
      <c r="D156" s="156">
        <v>15987941</v>
      </c>
      <c r="E156" s="156" t="s">
        <v>847</v>
      </c>
      <c r="F156" s="158">
        <v>64</v>
      </c>
      <c r="G156" s="156" t="s">
        <v>848</v>
      </c>
      <c r="H156" s="43" t="s">
        <v>271</v>
      </c>
      <c r="I156" s="43" t="s">
        <v>849</v>
      </c>
      <c r="J156" s="43" t="s">
        <v>164</v>
      </c>
      <c r="K156" s="493">
        <v>46050</v>
      </c>
      <c r="L156" s="43" t="s">
        <v>458</v>
      </c>
      <c r="M156" s="484" t="s">
        <v>260</v>
      </c>
      <c r="N156" s="140" t="s">
        <v>655</v>
      </c>
      <c r="O156" s="489">
        <v>46056</v>
      </c>
      <c r="P156" s="242" t="s">
        <v>512</v>
      </c>
      <c r="Q156" s="471" t="s">
        <v>358</v>
      </c>
      <c r="R156" s="43"/>
      <c r="S156" s="43"/>
      <c r="T156" s="43"/>
      <c r="U156" s="43"/>
      <c r="V156" s="43"/>
      <c r="W156" s="43"/>
      <c r="X156" s="43"/>
      <c r="Y156" s="43"/>
      <c r="Z156" s="67"/>
      <c r="AA156" s="67"/>
      <c r="AB156" s="67"/>
      <c r="AC156" s="67"/>
      <c r="AD156" s="67"/>
      <c r="AE156" s="67"/>
      <c r="AF156" s="67"/>
      <c r="AG156" s="67"/>
    </row>
    <row r="157" spans="1:33" ht="15" customHeight="1">
      <c r="A157" s="320"/>
      <c r="B157" s="320">
        <v>155</v>
      </c>
      <c r="C157" s="158">
        <v>522360</v>
      </c>
      <c r="D157" s="156">
        <v>40244664</v>
      </c>
      <c r="E157" s="156" t="s">
        <v>850</v>
      </c>
      <c r="F157" s="158">
        <v>46</v>
      </c>
      <c r="G157" s="156" t="s">
        <v>851</v>
      </c>
      <c r="H157" s="43" t="s">
        <v>271</v>
      </c>
      <c r="I157" s="43" t="s">
        <v>852</v>
      </c>
      <c r="J157" s="43" t="s">
        <v>162</v>
      </c>
      <c r="K157" s="493">
        <v>46050</v>
      </c>
      <c r="L157" s="43" t="s">
        <v>523</v>
      </c>
      <c r="M157" s="484" t="s">
        <v>230</v>
      </c>
      <c r="N157" s="140" t="s">
        <v>708</v>
      </c>
      <c r="O157" s="489">
        <v>46056</v>
      </c>
      <c r="P157" s="242" t="s">
        <v>639</v>
      </c>
      <c r="Q157" s="471" t="s">
        <v>358</v>
      </c>
      <c r="R157" s="43"/>
      <c r="S157" s="43"/>
      <c r="T157" s="43"/>
      <c r="U157" s="43"/>
      <c r="V157" s="43"/>
      <c r="W157" s="43"/>
      <c r="X157" s="43"/>
      <c r="Y157" s="43"/>
      <c r="Z157" s="67"/>
      <c r="AA157" s="67"/>
      <c r="AB157" s="67"/>
      <c r="AC157" s="67"/>
      <c r="AD157" s="67"/>
      <c r="AE157" s="67"/>
      <c r="AF157" s="67"/>
      <c r="AG157" s="67"/>
    </row>
    <row r="158" spans="1:33" ht="15" customHeight="1">
      <c r="A158" s="320"/>
      <c r="B158" s="320">
        <v>156</v>
      </c>
      <c r="C158" s="158">
        <v>522363</v>
      </c>
      <c r="D158" s="156" t="s">
        <v>853</v>
      </c>
      <c r="E158" s="156" t="s">
        <v>854</v>
      </c>
      <c r="F158" s="158">
        <v>57</v>
      </c>
      <c r="G158" s="156" t="s">
        <v>855</v>
      </c>
      <c r="H158" s="43" t="s">
        <v>461</v>
      </c>
      <c r="I158" s="43">
        <v>949383390</v>
      </c>
      <c r="J158" s="43" t="s">
        <v>162</v>
      </c>
      <c r="K158" s="493">
        <v>46050</v>
      </c>
      <c r="L158" s="43" t="s">
        <v>620</v>
      </c>
      <c r="M158" s="484" t="s">
        <v>260</v>
      </c>
      <c r="N158" s="140" t="s">
        <v>655</v>
      </c>
      <c r="O158" s="489">
        <v>46056</v>
      </c>
      <c r="P158" s="242" t="s">
        <v>639</v>
      </c>
      <c r="Q158" s="471" t="s">
        <v>358</v>
      </c>
      <c r="R158" s="43"/>
      <c r="S158" s="43"/>
      <c r="T158" s="43"/>
      <c r="U158" s="43"/>
      <c r="V158" s="43"/>
      <c r="W158" s="43"/>
      <c r="X158" s="43"/>
      <c r="Y158" s="43"/>
      <c r="Z158" s="67"/>
      <c r="AA158" s="67"/>
      <c r="AB158" s="67"/>
      <c r="AC158" s="67"/>
      <c r="AD158" s="67"/>
      <c r="AE158" s="67"/>
      <c r="AF158" s="67"/>
      <c r="AG158" s="67"/>
    </row>
    <row r="159" spans="1:33" ht="15" customHeight="1">
      <c r="A159" s="320"/>
      <c r="B159" s="320">
        <v>157</v>
      </c>
      <c r="C159" s="158">
        <v>522362</v>
      </c>
      <c r="D159" s="65">
        <v>16022742</v>
      </c>
      <c r="E159" s="171" t="s">
        <v>856</v>
      </c>
      <c r="F159" s="173">
        <v>47</v>
      </c>
      <c r="G159" s="154" t="s">
        <v>857</v>
      </c>
      <c r="H159" s="122" t="s">
        <v>461</v>
      </c>
      <c r="I159" s="124" t="s">
        <v>858</v>
      </c>
      <c r="J159" s="43" t="s">
        <v>162</v>
      </c>
      <c r="K159" s="493">
        <v>46050</v>
      </c>
      <c r="L159" s="43" t="s">
        <v>679</v>
      </c>
      <c r="M159" s="484" t="s">
        <v>230</v>
      </c>
      <c r="N159" s="140" t="s">
        <v>708</v>
      </c>
      <c r="O159" s="489">
        <v>46056</v>
      </c>
      <c r="P159" s="242" t="s">
        <v>639</v>
      </c>
      <c r="Q159" s="471" t="s">
        <v>358</v>
      </c>
      <c r="R159" s="43"/>
      <c r="S159" s="43"/>
      <c r="T159" s="43"/>
      <c r="U159" s="43"/>
      <c r="V159" s="43"/>
      <c r="W159" s="43"/>
      <c r="X159" s="43"/>
      <c r="Y159" s="43"/>
      <c r="Z159" s="67"/>
      <c r="AA159" s="67"/>
      <c r="AB159" s="67"/>
      <c r="AC159" s="67"/>
      <c r="AD159" s="67"/>
      <c r="AE159" s="67"/>
      <c r="AF159" s="67"/>
      <c r="AG159" s="67"/>
    </row>
    <row r="160" spans="1:33" ht="15" customHeight="1">
      <c r="A160" s="474" t="s">
        <v>859</v>
      </c>
      <c r="B160" s="320">
        <v>158</v>
      </c>
      <c r="C160" s="161">
        <v>463660</v>
      </c>
      <c r="D160" s="159">
        <v>15981446</v>
      </c>
      <c r="E160" s="159" t="s">
        <v>860</v>
      </c>
      <c r="F160" s="161">
        <v>67</v>
      </c>
      <c r="G160" s="159" t="s">
        <v>861</v>
      </c>
      <c r="H160" s="132" t="s">
        <v>271</v>
      </c>
      <c r="I160" s="132">
        <v>994593677</v>
      </c>
      <c r="J160" s="159" t="s">
        <v>164</v>
      </c>
      <c r="K160" s="495">
        <v>46007</v>
      </c>
      <c r="L160" s="132" t="s">
        <v>862</v>
      </c>
      <c r="M160" s="484" t="s">
        <v>260</v>
      </c>
      <c r="N160" s="132" t="s">
        <v>863</v>
      </c>
      <c r="O160" s="487">
        <v>46011</v>
      </c>
      <c r="P160" s="132" t="s">
        <v>864</v>
      </c>
      <c r="Q160" s="471" t="s">
        <v>358</v>
      </c>
      <c r="R160" s="132"/>
      <c r="S160" s="132"/>
      <c r="T160" s="132"/>
      <c r="U160" s="132"/>
      <c r="V160" s="133">
        <v>46050</v>
      </c>
      <c r="W160" s="132"/>
      <c r="X160" s="132"/>
      <c r="Y160" s="132"/>
      <c r="Z160" s="67"/>
      <c r="AA160" s="67"/>
      <c r="AB160" s="67"/>
      <c r="AC160" s="67"/>
      <c r="AD160" s="67"/>
      <c r="AE160" s="67"/>
      <c r="AF160" s="67"/>
      <c r="AG160" s="67"/>
    </row>
    <row r="161" spans="1:33" ht="15" customHeight="1">
      <c r="A161" s="320" t="s">
        <v>865</v>
      </c>
      <c r="B161" s="320">
        <v>159</v>
      </c>
      <c r="C161" s="158">
        <v>522364</v>
      </c>
      <c r="D161" s="156">
        <v>16003941</v>
      </c>
      <c r="E161" s="200" t="s">
        <v>866</v>
      </c>
      <c r="F161" s="158">
        <v>55</v>
      </c>
      <c r="G161" s="200" t="s">
        <v>867</v>
      </c>
      <c r="H161" s="42" t="s">
        <v>461</v>
      </c>
      <c r="I161" s="42">
        <v>965034360</v>
      </c>
      <c r="J161" s="43" t="s">
        <v>162</v>
      </c>
      <c r="K161" s="493">
        <v>46050</v>
      </c>
      <c r="L161" s="140"/>
      <c r="M161" s="484"/>
      <c r="N161" s="140"/>
      <c r="O161" s="489"/>
      <c r="P161" s="243"/>
      <c r="Q161" s="471" t="s">
        <v>358</v>
      </c>
      <c r="R161" s="43"/>
      <c r="S161" s="43"/>
      <c r="T161" s="43"/>
      <c r="U161" s="43"/>
      <c r="V161" s="43"/>
      <c r="W161" s="43"/>
      <c r="X161" s="43"/>
      <c r="Y161" s="43"/>
      <c r="Z161" s="67"/>
      <c r="AA161" s="67"/>
      <c r="AB161" s="67"/>
      <c r="AC161" s="67"/>
      <c r="AD161" s="67"/>
      <c r="AE161" s="67"/>
      <c r="AF161" s="67"/>
      <c r="AG161" s="67"/>
    </row>
    <row r="162" spans="1:33" ht="15" customHeight="1">
      <c r="A162" s="320"/>
      <c r="B162" s="320">
        <v>160</v>
      </c>
      <c r="C162" s="158">
        <v>522365</v>
      </c>
      <c r="D162" s="156">
        <v>15753126</v>
      </c>
      <c r="E162" s="200" t="s">
        <v>868</v>
      </c>
      <c r="F162" s="158">
        <v>50</v>
      </c>
      <c r="G162" s="73" t="s">
        <v>869</v>
      </c>
      <c r="H162" s="42" t="s">
        <v>461</v>
      </c>
      <c r="I162" s="147" t="s">
        <v>870</v>
      </c>
      <c r="J162" s="43" t="s">
        <v>162</v>
      </c>
      <c r="K162" s="493">
        <v>46050</v>
      </c>
      <c r="L162" s="43" t="s">
        <v>871</v>
      </c>
      <c r="M162" s="484" t="s">
        <v>312</v>
      </c>
      <c r="N162" s="140" t="s">
        <v>812</v>
      </c>
      <c r="O162" s="489">
        <v>46056</v>
      </c>
      <c r="P162" s="242" t="s">
        <v>639</v>
      </c>
      <c r="Q162" s="471" t="s">
        <v>358</v>
      </c>
      <c r="R162" s="43"/>
      <c r="S162" s="43"/>
      <c r="T162" s="43"/>
      <c r="U162" s="43"/>
      <c r="V162" s="43"/>
      <c r="W162" s="43"/>
      <c r="X162" s="43"/>
      <c r="Y162" s="43"/>
      <c r="Z162" s="67"/>
      <c r="AA162" s="67"/>
      <c r="AB162" s="67"/>
      <c r="AC162" s="67"/>
      <c r="AD162" s="67"/>
      <c r="AE162" s="67"/>
      <c r="AF162" s="67"/>
      <c r="AG162" s="67"/>
    </row>
    <row r="163" spans="1:33" ht="15" customHeight="1">
      <c r="A163" s="320"/>
      <c r="B163" s="320">
        <v>161</v>
      </c>
      <c r="C163" s="158">
        <v>223559</v>
      </c>
      <c r="D163" s="156">
        <v>40592958</v>
      </c>
      <c r="E163" s="156" t="s">
        <v>872</v>
      </c>
      <c r="F163" s="158">
        <v>45</v>
      </c>
      <c r="G163" s="156" t="s">
        <v>873</v>
      </c>
      <c r="H163" s="43" t="s">
        <v>278</v>
      </c>
      <c r="I163" s="320" t="s">
        <v>874</v>
      </c>
      <c r="J163" s="43" t="s">
        <v>238</v>
      </c>
      <c r="K163" s="493">
        <v>46050</v>
      </c>
      <c r="L163" s="43" t="s">
        <v>388</v>
      </c>
      <c r="M163" s="484" t="s">
        <v>230</v>
      </c>
      <c r="N163" s="140" t="s">
        <v>812</v>
      </c>
      <c r="O163" s="489">
        <v>46056</v>
      </c>
      <c r="P163" s="244"/>
      <c r="Q163" s="472" t="s">
        <v>846</v>
      </c>
      <c r="R163" s="320"/>
      <c r="S163" s="320"/>
      <c r="T163" s="320"/>
      <c r="U163" s="320"/>
      <c r="V163" s="320"/>
      <c r="W163" s="320"/>
      <c r="X163" s="320"/>
      <c r="Y163" s="320"/>
      <c r="Z163" s="68"/>
      <c r="AA163" s="68"/>
      <c r="AB163" s="67"/>
      <c r="AC163" s="67"/>
      <c r="AD163" s="67"/>
      <c r="AE163" s="67"/>
      <c r="AF163" s="67"/>
      <c r="AG163" s="67"/>
    </row>
    <row r="164" spans="1:33" ht="15" customHeight="1">
      <c r="A164" s="511"/>
      <c r="B164" s="320">
        <v>162</v>
      </c>
      <c r="C164" s="203">
        <v>40706</v>
      </c>
      <c r="D164" s="201">
        <v>15613004</v>
      </c>
      <c r="E164" s="202" t="s">
        <v>875</v>
      </c>
      <c r="F164" s="203">
        <v>73</v>
      </c>
      <c r="G164" s="201" t="s">
        <v>876</v>
      </c>
      <c r="H164" s="138" t="s">
        <v>278</v>
      </c>
      <c r="I164" s="511" t="s">
        <v>877</v>
      </c>
      <c r="J164" s="138" t="s">
        <v>238</v>
      </c>
      <c r="K164" s="520">
        <v>46050</v>
      </c>
      <c r="L164" s="846" t="s">
        <v>878</v>
      </c>
      <c r="M164" s="851" t="s">
        <v>323</v>
      </c>
      <c r="N164" s="841" t="s">
        <v>317</v>
      </c>
      <c r="O164" s="489">
        <v>46056</v>
      </c>
      <c r="P164" s="245"/>
      <c r="Q164" s="515" t="s">
        <v>879</v>
      </c>
      <c r="R164" s="511" t="s">
        <v>880</v>
      </c>
      <c r="S164" s="511"/>
      <c r="T164" s="511"/>
      <c r="U164" s="511"/>
      <c r="V164" s="511"/>
      <c r="W164" s="511"/>
      <c r="X164" s="511"/>
      <c r="Y164" s="511"/>
      <c r="Z164" s="68"/>
      <c r="AA164" s="68"/>
      <c r="AB164" s="67"/>
      <c r="AC164" s="67"/>
      <c r="AD164" s="67"/>
      <c r="AE164" s="67"/>
      <c r="AF164" s="67"/>
      <c r="AG164" s="67"/>
    </row>
    <row r="165" spans="1:33" ht="15" customHeight="1">
      <c r="A165" s="320"/>
      <c r="B165" s="320">
        <v>163</v>
      </c>
      <c r="C165" s="158">
        <v>522368</v>
      </c>
      <c r="D165" s="156">
        <v>15941498</v>
      </c>
      <c r="E165" s="156" t="s">
        <v>881</v>
      </c>
      <c r="F165" s="158">
        <v>64</v>
      </c>
      <c r="G165" s="156" t="s">
        <v>882</v>
      </c>
      <c r="H165" s="43" t="s">
        <v>461</v>
      </c>
      <c r="I165" s="43" t="s">
        <v>883</v>
      </c>
      <c r="J165" s="43" t="s">
        <v>163</v>
      </c>
      <c r="K165" s="493">
        <v>46050</v>
      </c>
      <c r="L165" s="43" t="s">
        <v>376</v>
      </c>
      <c r="M165" s="484" t="s">
        <v>230</v>
      </c>
      <c r="N165" s="140" t="s">
        <v>884</v>
      </c>
      <c r="O165" s="489">
        <v>46056</v>
      </c>
      <c r="P165" s="242" t="s">
        <v>512</v>
      </c>
      <c r="Q165" s="471" t="s">
        <v>358</v>
      </c>
      <c r="R165" s="43"/>
      <c r="S165" s="43"/>
      <c r="T165" s="43"/>
      <c r="U165" s="43"/>
      <c r="V165" s="43"/>
      <c r="W165" s="43"/>
      <c r="X165" s="43"/>
      <c r="Y165" s="43"/>
      <c r="Z165" s="67"/>
      <c r="AA165" s="67"/>
      <c r="AB165" s="67"/>
      <c r="AC165" s="67"/>
      <c r="AD165" s="67"/>
      <c r="AE165" s="67"/>
      <c r="AF165" s="67"/>
      <c r="AG165" s="67"/>
    </row>
    <row r="166" spans="1:33" ht="15" customHeight="1">
      <c r="A166" s="320"/>
      <c r="B166" s="320">
        <v>164</v>
      </c>
      <c r="C166" s="158">
        <v>81107</v>
      </c>
      <c r="D166" s="156">
        <v>15761273</v>
      </c>
      <c r="E166" s="156" t="s">
        <v>885</v>
      </c>
      <c r="F166" s="158">
        <v>47</v>
      </c>
      <c r="G166" s="156" t="s">
        <v>886</v>
      </c>
      <c r="H166" s="43" t="s">
        <v>301</v>
      </c>
      <c r="I166" s="320" t="s">
        <v>887</v>
      </c>
      <c r="J166" s="43" t="s">
        <v>238</v>
      </c>
      <c r="K166" s="493">
        <v>46050</v>
      </c>
      <c r="L166" s="43" t="s">
        <v>888</v>
      </c>
      <c r="M166" s="484" t="s">
        <v>312</v>
      </c>
      <c r="N166" s="140" t="s">
        <v>884</v>
      </c>
      <c r="O166" s="525">
        <v>46066</v>
      </c>
      <c r="P166" s="43"/>
      <c r="Q166" s="320" t="s">
        <v>889</v>
      </c>
      <c r="R166" s="320"/>
      <c r="S166" s="320"/>
      <c r="T166" s="320"/>
      <c r="U166" s="320"/>
      <c r="V166" s="320"/>
      <c r="W166" s="320"/>
      <c r="X166" s="320"/>
      <c r="Y166" s="320"/>
      <c r="Z166" s="68"/>
      <c r="AA166" s="68"/>
      <c r="AB166" s="67"/>
      <c r="AC166" s="67"/>
      <c r="AD166" s="67"/>
      <c r="AE166" s="67"/>
      <c r="AF166" s="67"/>
      <c r="AG166" s="67"/>
    </row>
    <row r="167" spans="1:33" ht="15" customHeight="1">
      <c r="A167" s="474"/>
      <c r="B167" s="474">
        <v>165</v>
      </c>
      <c r="C167" s="161">
        <v>522358</v>
      </c>
      <c r="D167" s="159">
        <v>15941406</v>
      </c>
      <c r="E167" s="159" t="s">
        <v>890</v>
      </c>
      <c r="F167" s="161">
        <v>60</v>
      </c>
      <c r="G167" s="159" t="s">
        <v>891</v>
      </c>
      <c r="H167" s="132" t="s">
        <v>461</v>
      </c>
      <c r="I167" s="132" t="s">
        <v>892</v>
      </c>
      <c r="J167" s="132" t="s">
        <v>162</v>
      </c>
      <c r="K167" s="495">
        <v>46050</v>
      </c>
      <c r="L167" s="132" t="s">
        <v>893</v>
      </c>
      <c r="M167" s="850" t="s">
        <v>256</v>
      </c>
      <c r="N167" s="840" t="s">
        <v>812</v>
      </c>
      <c r="O167" s="487">
        <v>46056</v>
      </c>
      <c r="P167" s="137" t="s">
        <v>639</v>
      </c>
      <c r="Q167" s="471" t="s">
        <v>358</v>
      </c>
      <c r="R167" s="132"/>
      <c r="S167" s="132"/>
      <c r="T167" s="132"/>
      <c r="U167" s="132"/>
      <c r="V167" s="132"/>
      <c r="W167" s="132"/>
      <c r="X167" s="132"/>
      <c r="Y167" s="132"/>
      <c r="Z167" s="67"/>
      <c r="AA167" s="67"/>
      <c r="AB167" s="67"/>
      <c r="AC167" s="67"/>
      <c r="AD167" s="67"/>
      <c r="AE167" s="67"/>
      <c r="AF167" s="67"/>
      <c r="AG167" s="67"/>
    </row>
    <row r="168" spans="1:33" ht="15" customHeight="1">
      <c r="A168" s="320"/>
      <c r="B168" s="320">
        <v>166</v>
      </c>
      <c r="C168" s="158">
        <v>522373</v>
      </c>
      <c r="D168" s="156" t="s">
        <v>894</v>
      </c>
      <c r="E168" s="156" t="s">
        <v>895</v>
      </c>
      <c r="F168" s="158">
        <v>66</v>
      </c>
      <c r="G168" s="156" t="s">
        <v>896</v>
      </c>
      <c r="H168" s="43" t="s">
        <v>461</v>
      </c>
      <c r="I168" s="43" t="s">
        <v>897</v>
      </c>
      <c r="J168" s="43" t="s">
        <v>163</v>
      </c>
      <c r="K168" s="493">
        <v>46050</v>
      </c>
      <c r="L168" s="43" t="s">
        <v>898</v>
      </c>
      <c r="M168" s="484" t="s">
        <v>260</v>
      </c>
      <c r="N168" s="140" t="s">
        <v>812</v>
      </c>
      <c r="O168" s="525">
        <v>46066</v>
      </c>
      <c r="P168" s="242" t="s">
        <v>512</v>
      </c>
      <c r="Q168" s="471" t="s">
        <v>358</v>
      </c>
      <c r="R168" s="43"/>
      <c r="S168" s="43"/>
      <c r="T168" s="43"/>
      <c r="U168" s="43"/>
      <c r="V168" s="43"/>
      <c r="W168" s="43"/>
      <c r="X168" s="43"/>
      <c r="Y168" s="43"/>
      <c r="Z168" s="67"/>
      <c r="AA168" s="67"/>
      <c r="AB168" s="67"/>
      <c r="AC168" s="67"/>
      <c r="AD168" s="67"/>
      <c r="AE168" s="67"/>
      <c r="AF168" s="67"/>
      <c r="AG168" s="67"/>
    </row>
    <row r="169" spans="1:33" ht="15" customHeight="1">
      <c r="A169" s="320"/>
      <c r="B169" s="320">
        <v>167</v>
      </c>
      <c r="C169" s="158">
        <v>411377</v>
      </c>
      <c r="D169" s="156">
        <v>40252705</v>
      </c>
      <c r="E169" s="204" t="s">
        <v>899</v>
      </c>
      <c r="F169" s="158">
        <v>46</v>
      </c>
      <c r="G169" s="156" t="s">
        <v>900</v>
      </c>
      <c r="H169" s="43" t="s">
        <v>461</v>
      </c>
      <c r="I169" s="43">
        <v>947752431</v>
      </c>
      <c r="J169" s="43" t="s">
        <v>162</v>
      </c>
      <c r="K169" s="493">
        <v>46050</v>
      </c>
      <c r="L169" s="43" t="s">
        <v>901</v>
      </c>
      <c r="M169" s="484" t="s">
        <v>260</v>
      </c>
      <c r="N169" s="43" t="s">
        <v>241</v>
      </c>
      <c r="O169" s="490">
        <v>46062</v>
      </c>
      <c r="P169" s="244" t="s">
        <v>512</v>
      </c>
      <c r="Q169" s="471" t="s">
        <v>358</v>
      </c>
      <c r="R169" s="43"/>
      <c r="S169" s="43"/>
      <c r="T169" s="43"/>
      <c r="U169" s="43"/>
      <c r="V169" s="43"/>
      <c r="W169" s="43"/>
      <c r="X169" s="43"/>
      <c r="Y169" s="43"/>
      <c r="Z169" s="67"/>
      <c r="AA169" s="67"/>
      <c r="AB169" s="67"/>
      <c r="AC169" s="67"/>
      <c r="AD169" s="67"/>
      <c r="AE169" s="67"/>
      <c r="AF169" s="67"/>
      <c r="AG169" s="67"/>
    </row>
    <row r="170" spans="1:33" ht="15" customHeight="1">
      <c r="A170" s="320"/>
      <c r="B170" s="320">
        <v>168</v>
      </c>
      <c r="C170" s="158">
        <v>522376</v>
      </c>
      <c r="D170" s="156">
        <v>43696175</v>
      </c>
      <c r="E170" s="156" t="s">
        <v>902</v>
      </c>
      <c r="F170" s="158">
        <v>43</v>
      </c>
      <c r="G170" s="156" t="s">
        <v>903</v>
      </c>
      <c r="H170" s="43" t="s">
        <v>461</v>
      </c>
      <c r="I170" s="43">
        <v>941664847</v>
      </c>
      <c r="J170" s="43" t="s">
        <v>162</v>
      </c>
      <c r="K170" s="493">
        <v>46050</v>
      </c>
      <c r="L170" s="43" t="s">
        <v>904</v>
      </c>
      <c r="M170" s="484" t="s">
        <v>260</v>
      </c>
      <c r="N170" s="43" t="s">
        <v>241</v>
      </c>
      <c r="O170" s="490">
        <v>46062</v>
      </c>
      <c r="P170" s="242" t="s">
        <v>512</v>
      </c>
      <c r="Q170" s="471" t="s">
        <v>358</v>
      </c>
      <c r="R170" s="43"/>
      <c r="S170" s="43"/>
      <c r="T170" s="43"/>
      <c r="U170" s="43"/>
      <c r="V170" s="43"/>
      <c r="W170" s="43"/>
      <c r="X170" s="43"/>
      <c r="Y170" s="43"/>
      <c r="Z170" s="67"/>
      <c r="AA170" s="67"/>
      <c r="AB170" s="67"/>
      <c r="AC170" s="67"/>
      <c r="AD170" s="67"/>
      <c r="AE170" s="67"/>
      <c r="AF170" s="67"/>
      <c r="AG170" s="67"/>
    </row>
    <row r="171" spans="1:33" ht="15" customHeight="1">
      <c r="A171" s="320" t="s">
        <v>905</v>
      </c>
      <c r="B171" s="320">
        <v>169</v>
      </c>
      <c r="C171" s="158">
        <v>522374</v>
      </c>
      <c r="D171" s="156" t="s">
        <v>906</v>
      </c>
      <c r="E171" s="156" t="s">
        <v>907</v>
      </c>
      <c r="F171" s="158">
        <v>41</v>
      </c>
      <c r="G171" s="156" t="s">
        <v>908</v>
      </c>
      <c r="H171" s="43" t="s">
        <v>461</v>
      </c>
      <c r="I171" s="43">
        <v>937550214</v>
      </c>
      <c r="J171" s="43" t="s">
        <v>162</v>
      </c>
      <c r="K171" s="493">
        <v>46050</v>
      </c>
      <c r="L171" s="43"/>
      <c r="M171" s="484"/>
      <c r="N171" s="43"/>
      <c r="O171" s="158"/>
      <c r="P171" s="244"/>
      <c r="Q171" s="471" t="s">
        <v>358</v>
      </c>
      <c r="R171" s="43"/>
      <c r="S171" s="43"/>
      <c r="T171" s="43"/>
      <c r="U171" s="43"/>
      <c r="V171" s="43"/>
      <c r="W171" s="43"/>
      <c r="X171" s="43"/>
      <c r="Y171" s="43"/>
      <c r="Z171" s="67"/>
      <c r="AA171" s="67"/>
      <c r="AB171" s="67"/>
      <c r="AC171" s="67"/>
      <c r="AD171" s="67"/>
      <c r="AE171" s="67"/>
      <c r="AF171" s="67"/>
      <c r="AG171" s="67"/>
    </row>
    <row r="172" spans="1:33" ht="15" customHeight="1">
      <c r="A172" s="526">
        <v>46052</v>
      </c>
      <c r="B172" s="320">
        <v>170</v>
      </c>
      <c r="C172" s="158">
        <v>522436</v>
      </c>
      <c r="D172" s="189">
        <v>15972681</v>
      </c>
      <c r="E172" s="195" t="s">
        <v>909</v>
      </c>
      <c r="F172" s="194">
        <v>62</v>
      </c>
      <c r="G172" s="195" t="s">
        <v>910</v>
      </c>
      <c r="H172" s="148" t="s">
        <v>911</v>
      </c>
      <c r="I172" s="148" t="s">
        <v>912</v>
      </c>
      <c r="J172" s="43" t="s">
        <v>421</v>
      </c>
      <c r="K172" s="493">
        <v>46052</v>
      </c>
      <c r="L172" s="43" t="s">
        <v>913</v>
      </c>
      <c r="M172" s="484" t="s">
        <v>230</v>
      </c>
      <c r="N172" s="43" t="s">
        <v>241</v>
      </c>
      <c r="O172" s="490">
        <v>46062</v>
      </c>
      <c r="P172" s="239" t="s">
        <v>512</v>
      </c>
      <c r="Q172" s="471" t="s">
        <v>358</v>
      </c>
      <c r="R172" s="43"/>
      <c r="S172" s="43"/>
      <c r="T172" s="43"/>
      <c r="U172" s="43"/>
      <c r="V172" s="43"/>
      <c r="W172" s="43"/>
      <c r="X172" s="43"/>
      <c r="Y172" s="43"/>
      <c r="Z172" s="67"/>
      <c r="AA172" s="67"/>
      <c r="AB172" s="67"/>
      <c r="AC172" s="67"/>
      <c r="AD172" s="67"/>
      <c r="AE172" s="67"/>
      <c r="AF172" s="67"/>
      <c r="AG172" s="67"/>
    </row>
    <row r="173" spans="1:33" ht="15" customHeight="1">
      <c r="A173" s="320"/>
      <c r="B173" s="320">
        <v>171</v>
      </c>
      <c r="C173" s="158">
        <v>522439</v>
      </c>
      <c r="D173" s="156">
        <v>16015855</v>
      </c>
      <c r="E173" s="156" t="s">
        <v>914</v>
      </c>
      <c r="F173" s="158">
        <v>64</v>
      </c>
      <c r="G173" s="156" t="s">
        <v>915</v>
      </c>
      <c r="H173" s="148" t="s">
        <v>911</v>
      </c>
      <c r="I173" s="43">
        <v>913526140</v>
      </c>
      <c r="J173" s="43" t="s">
        <v>421</v>
      </c>
      <c r="K173" s="493">
        <v>46052</v>
      </c>
      <c r="L173" s="43" t="s">
        <v>916</v>
      </c>
      <c r="M173" s="484" t="s">
        <v>230</v>
      </c>
      <c r="N173" s="43" t="s">
        <v>317</v>
      </c>
      <c r="O173" s="490">
        <v>46062</v>
      </c>
      <c r="P173" s="239" t="s">
        <v>512</v>
      </c>
      <c r="Q173" s="471" t="s">
        <v>358</v>
      </c>
      <c r="R173" s="43"/>
      <c r="S173" s="43"/>
      <c r="T173" s="43"/>
      <c r="U173" s="43"/>
      <c r="V173" s="43"/>
      <c r="W173" s="43"/>
      <c r="X173" s="43"/>
      <c r="Y173" s="43"/>
      <c r="Z173" s="67"/>
      <c r="AA173" s="67"/>
      <c r="AB173" s="67"/>
      <c r="AC173" s="67"/>
      <c r="AD173" s="67"/>
      <c r="AE173" s="67"/>
      <c r="AF173" s="67"/>
      <c r="AG173" s="67"/>
    </row>
    <row r="174" spans="1:33" ht="15" customHeight="1">
      <c r="A174" s="320"/>
      <c r="B174" s="320">
        <v>172</v>
      </c>
      <c r="C174" s="158">
        <v>522440</v>
      </c>
      <c r="D174" s="156">
        <v>16027654</v>
      </c>
      <c r="E174" s="156" t="s">
        <v>917</v>
      </c>
      <c r="F174" s="158">
        <v>47</v>
      </c>
      <c r="G174" s="156" t="s">
        <v>918</v>
      </c>
      <c r="H174" s="43" t="s">
        <v>461</v>
      </c>
      <c r="I174" s="43">
        <v>946514150</v>
      </c>
      <c r="J174" s="43" t="s">
        <v>162</v>
      </c>
      <c r="K174" s="493">
        <v>46052</v>
      </c>
      <c r="L174" s="43" t="s">
        <v>919</v>
      </c>
      <c r="M174" s="484" t="s">
        <v>260</v>
      </c>
      <c r="N174" s="43" t="s">
        <v>241</v>
      </c>
      <c r="O174" s="490">
        <v>46062</v>
      </c>
      <c r="P174" s="242" t="s">
        <v>512</v>
      </c>
      <c r="Q174" s="471" t="s">
        <v>358</v>
      </c>
      <c r="R174" s="43"/>
      <c r="S174" s="43"/>
      <c r="T174" s="43"/>
      <c r="U174" s="43"/>
      <c r="V174" s="43"/>
      <c r="W174" s="43"/>
      <c r="X174" s="43"/>
      <c r="Y174" s="43"/>
      <c r="Z174" s="67"/>
      <c r="AA174" s="67"/>
      <c r="AB174" s="67"/>
      <c r="AC174" s="67"/>
      <c r="AD174" s="67"/>
      <c r="AE174" s="67"/>
      <c r="AF174" s="67"/>
      <c r="AG174" s="67"/>
    </row>
    <row r="175" spans="1:33" ht="15" customHeight="1">
      <c r="A175" s="320"/>
      <c r="B175" s="320">
        <v>173</v>
      </c>
      <c r="C175" s="158">
        <v>279763</v>
      </c>
      <c r="D175" s="156">
        <v>40824080</v>
      </c>
      <c r="E175" s="156" t="s">
        <v>920</v>
      </c>
      <c r="F175" s="158">
        <v>45</v>
      </c>
      <c r="G175" s="156" t="s">
        <v>921</v>
      </c>
      <c r="H175" s="43" t="s">
        <v>301</v>
      </c>
      <c r="I175" s="320" t="s">
        <v>922</v>
      </c>
      <c r="J175" s="43" t="s">
        <v>238</v>
      </c>
      <c r="K175" s="493">
        <v>46052</v>
      </c>
      <c r="L175" s="43" t="s">
        <v>913</v>
      </c>
      <c r="M175" s="484" t="s">
        <v>230</v>
      </c>
      <c r="N175" s="43" t="s">
        <v>241</v>
      </c>
      <c r="O175" s="490">
        <v>46062</v>
      </c>
      <c r="P175" s="242"/>
      <c r="Q175" s="414" t="s">
        <v>923</v>
      </c>
      <c r="R175" s="320"/>
      <c r="S175" s="320"/>
      <c r="T175" s="320"/>
      <c r="U175" s="320"/>
      <c r="V175" s="320"/>
      <c r="W175" s="320"/>
      <c r="X175" s="320"/>
      <c r="Y175" s="320"/>
      <c r="Z175" s="68"/>
      <c r="AA175" s="68"/>
      <c r="AB175" s="67"/>
      <c r="AC175" s="67"/>
      <c r="AD175" s="67"/>
      <c r="AE175" s="67"/>
      <c r="AF175" s="67"/>
      <c r="AG175" s="67"/>
    </row>
    <row r="176" spans="1:33" ht="15" customHeight="1">
      <c r="A176" s="320"/>
      <c r="B176" s="320">
        <v>174</v>
      </c>
      <c r="C176" s="158">
        <v>190138</v>
      </c>
      <c r="D176" s="158">
        <v>15615913</v>
      </c>
      <c r="E176" s="156" t="s">
        <v>924</v>
      </c>
      <c r="F176" s="158">
        <v>58</v>
      </c>
      <c r="G176" s="156" t="s">
        <v>925</v>
      </c>
      <c r="H176" s="43" t="s">
        <v>326</v>
      </c>
      <c r="I176" s="320" t="s">
        <v>926</v>
      </c>
      <c r="J176" s="43" t="s">
        <v>375</v>
      </c>
      <c r="K176" s="493">
        <v>46052</v>
      </c>
      <c r="L176" s="43" t="s">
        <v>913</v>
      </c>
      <c r="M176" s="484" t="s">
        <v>230</v>
      </c>
      <c r="N176" s="43" t="s">
        <v>241</v>
      </c>
      <c r="O176" s="490">
        <v>46062</v>
      </c>
      <c r="P176" s="242"/>
      <c r="Q176" s="308">
        <v>46054</v>
      </c>
      <c r="R176" s="320" t="s">
        <v>350</v>
      </c>
      <c r="S176" s="43"/>
      <c r="T176" s="43"/>
      <c r="U176" s="43"/>
      <c r="V176" s="43"/>
      <c r="W176" s="43"/>
      <c r="X176" s="43"/>
      <c r="Y176" s="43"/>
      <c r="Z176" s="67"/>
      <c r="AA176" s="67"/>
      <c r="AB176" s="67"/>
      <c r="AC176" s="67"/>
      <c r="AD176" s="67"/>
      <c r="AE176" s="67"/>
      <c r="AF176" s="67"/>
      <c r="AG176" s="67"/>
    </row>
    <row r="177" spans="1:33" ht="15" customHeight="1">
      <c r="A177" s="320"/>
      <c r="B177" s="320">
        <v>175</v>
      </c>
      <c r="C177" s="158">
        <v>522443</v>
      </c>
      <c r="D177" s="156">
        <v>41806013</v>
      </c>
      <c r="E177" s="205" t="s">
        <v>927</v>
      </c>
      <c r="F177" s="158">
        <v>42</v>
      </c>
      <c r="G177" s="156" t="s">
        <v>928</v>
      </c>
      <c r="H177" s="43" t="s">
        <v>461</v>
      </c>
      <c r="I177" s="43" t="s">
        <v>929</v>
      </c>
      <c r="J177" s="43" t="s">
        <v>162</v>
      </c>
      <c r="K177" s="493">
        <v>46052</v>
      </c>
      <c r="L177" s="43" t="s">
        <v>930</v>
      </c>
      <c r="M177" s="484" t="s">
        <v>260</v>
      </c>
      <c r="N177" s="43" t="s">
        <v>241</v>
      </c>
      <c r="O177" s="490">
        <v>46062</v>
      </c>
      <c r="P177" s="242" t="s">
        <v>512</v>
      </c>
      <c r="Q177" s="471" t="s">
        <v>358</v>
      </c>
      <c r="R177" s="43"/>
      <c r="S177" s="43"/>
      <c r="T177" s="43"/>
      <c r="U177" s="43"/>
      <c r="V177" s="43"/>
      <c r="W177" s="43"/>
      <c r="X177" s="43"/>
      <c r="Y177" s="43"/>
      <c r="Z177" s="67"/>
      <c r="AA177" s="67"/>
      <c r="AB177" s="67"/>
      <c r="AC177" s="67"/>
      <c r="AD177" s="67"/>
      <c r="AE177" s="67"/>
      <c r="AF177" s="67"/>
      <c r="AG177" s="67"/>
    </row>
    <row r="178" spans="1:33" ht="15" customHeight="1">
      <c r="A178" s="320"/>
      <c r="B178" s="320">
        <v>176</v>
      </c>
      <c r="C178" s="158">
        <v>235019</v>
      </c>
      <c r="D178" s="156">
        <v>15602760</v>
      </c>
      <c r="E178" s="156" t="s">
        <v>931</v>
      </c>
      <c r="F178" s="158">
        <v>71</v>
      </c>
      <c r="G178" s="156" t="s">
        <v>932</v>
      </c>
      <c r="H178" s="43" t="s">
        <v>278</v>
      </c>
      <c r="I178" s="320" t="s">
        <v>933</v>
      </c>
      <c r="J178" s="43" t="s">
        <v>238</v>
      </c>
      <c r="K178" s="493">
        <v>46052</v>
      </c>
      <c r="L178" s="43" t="s">
        <v>913</v>
      </c>
      <c r="M178" s="484" t="s">
        <v>260</v>
      </c>
      <c r="N178" s="43" t="s">
        <v>241</v>
      </c>
      <c r="O178" s="490">
        <v>46062</v>
      </c>
      <c r="P178" s="242"/>
      <c r="Q178" s="414"/>
      <c r="R178" s="320"/>
      <c r="S178" s="320"/>
      <c r="T178" s="320"/>
      <c r="U178" s="320"/>
      <c r="V178" s="320"/>
      <c r="W178" s="320"/>
      <c r="X178" s="320"/>
      <c r="Y178" s="320"/>
      <c r="Z178" s="68"/>
      <c r="AA178" s="68"/>
      <c r="AB178" s="68"/>
      <c r="AC178" s="68"/>
      <c r="AD178" s="68"/>
      <c r="AE178" s="68"/>
      <c r="AF178" s="68"/>
      <c r="AG178" s="68"/>
    </row>
    <row r="179" spans="1:33" ht="15" customHeight="1">
      <c r="A179" s="320"/>
      <c r="B179" s="320">
        <v>177</v>
      </c>
      <c r="C179" s="158">
        <v>522444</v>
      </c>
      <c r="D179" s="156">
        <v>44253543</v>
      </c>
      <c r="E179" s="156" t="s">
        <v>934</v>
      </c>
      <c r="F179" s="158">
        <v>42</v>
      </c>
      <c r="G179" s="156" t="s">
        <v>935</v>
      </c>
      <c r="H179" s="43" t="s">
        <v>271</v>
      </c>
      <c r="I179" s="43" t="s">
        <v>936</v>
      </c>
      <c r="J179" s="43" t="s">
        <v>164</v>
      </c>
      <c r="K179" s="493">
        <v>46052</v>
      </c>
      <c r="L179" s="43" t="s">
        <v>913</v>
      </c>
      <c r="M179" s="484" t="s">
        <v>260</v>
      </c>
      <c r="N179" s="43" t="s">
        <v>241</v>
      </c>
      <c r="O179" s="490">
        <v>46062</v>
      </c>
      <c r="P179" s="242" t="s">
        <v>512</v>
      </c>
      <c r="Q179" s="471" t="s">
        <v>358</v>
      </c>
      <c r="R179" s="43"/>
      <c r="S179" s="43"/>
      <c r="T179" s="43"/>
      <c r="U179" s="43"/>
      <c r="V179" s="43"/>
      <c r="W179" s="43"/>
      <c r="X179" s="43"/>
      <c r="Y179" s="43"/>
      <c r="Z179" s="67"/>
      <c r="AA179" s="67"/>
      <c r="AB179" s="67"/>
      <c r="AC179" s="67"/>
      <c r="AD179" s="67"/>
      <c r="AE179" s="67"/>
      <c r="AF179" s="67"/>
      <c r="AG179" s="67"/>
    </row>
    <row r="180" spans="1:33" ht="15" customHeight="1">
      <c r="A180" s="320"/>
      <c r="B180" s="320">
        <v>178</v>
      </c>
      <c r="C180" s="158">
        <v>40774</v>
      </c>
      <c r="D180" s="158">
        <v>15731737</v>
      </c>
      <c r="E180" s="156" t="s">
        <v>937</v>
      </c>
      <c r="F180" s="158">
        <v>54</v>
      </c>
      <c r="G180" s="156" t="s">
        <v>938</v>
      </c>
      <c r="H180" s="43" t="s">
        <v>939</v>
      </c>
      <c r="I180" s="320">
        <v>974509632</v>
      </c>
      <c r="J180" s="43" t="s">
        <v>302</v>
      </c>
      <c r="K180" s="493">
        <v>46052</v>
      </c>
      <c r="L180" s="43" t="s">
        <v>940</v>
      </c>
      <c r="M180" s="484" t="s">
        <v>260</v>
      </c>
      <c r="N180" s="43" t="s">
        <v>241</v>
      </c>
      <c r="O180" s="490">
        <v>46062</v>
      </c>
      <c r="P180" s="242"/>
      <c r="Q180" s="308">
        <v>46054</v>
      </c>
      <c r="R180" s="320" t="s">
        <v>350</v>
      </c>
      <c r="S180" s="43"/>
      <c r="T180" s="43"/>
      <c r="U180" s="43"/>
      <c r="V180" s="43"/>
      <c r="W180" s="43"/>
      <c r="X180" s="43"/>
      <c r="Y180" s="43"/>
      <c r="Z180" s="67"/>
      <c r="AA180" s="67"/>
      <c r="AB180" s="67"/>
      <c r="AC180" s="67"/>
      <c r="AD180" s="67"/>
      <c r="AE180" s="67"/>
      <c r="AF180" s="67"/>
      <c r="AG180" s="67"/>
    </row>
    <row r="181" spans="1:33" ht="15" customHeight="1">
      <c r="A181" s="320"/>
      <c r="B181" s="320">
        <v>179</v>
      </c>
      <c r="C181" s="158">
        <v>522446</v>
      </c>
      <c r="D181" s="156">
        <v>15949469</v>
      </c>
      <c r="E181" s="156" t="s">
        <v>941</v>
      </c>
      <c r="F181" s="158">
        <v>59</v>
      </c>
      <c r="G181" s="156" t="s">
        <v>942</v>
      </c>
      <c r="H181" s="43" t="s">
        <v>461</v>
      </c>
      <c r="I181" s="43">
        <v>986406170</v>
      </c>
      <c r="J181" s="43" t="s">
        <v>162</v>
      </c>
      <c r="K181" s="493">
        <v>46052</v>
      </c>
      <c r="L181" s="43" t="s">
        <v>943</v>
      </c>
      <c r="M181" s="484" t="s">
        <v>312</v>
      </c>
      <c r="N181" s="43" t="s">
        <v>241</v>
      </c>
      <c r="O181" s="490">
        <v>46062</v>
      </c>
      <c r="P181" s="242" t="s">
        <v>512</v>
      </c>
      <c r="Q181" s="471" t="s">
        <v>358</v>
      </c>
      <c r="R181" s="43"/>
      <c r="S181" s="43"/>
      <c r="T181" s="43"/>
      <c r="U181" s="43"/>
      <c r="V181" s="43"/>
      <c r="W181" s="43"/>
      <c r="X181" s="43"/>
      <c r="Y181" s="43"/>
      <c r="Z181" s="67"/>
      <c r="AA181" s="67"/>
      <c r="AB181" s="67"/>
      <c r="AC181" s="67"/>
      <c r="AD181" s="67"/>
      <c r="AE181" s="67"/>
      <c r="AF181" s="67"/>
      <c r="AG181" s="67"/>
    </row>
    <row r="182" spans="1:33" ht="15" customHeight="1">
      <c r="A182" s="320"/>
      <c r="B182" s="320">
        <v>180</v>
      </c>
      <c r="C182" s="158">
        <v>221193</v>
      </c>
      <c r="D182" s="158">
        <v>41260839</v>
      </c>
      <c r="E182" s="156" t="s">
        <v>944</v>
      </c>
      <c r="F182" s="158">
        <v>43</v>
      </c>
      <c r="G182" s="156" t="s">
        <v>945</v>
      </c>
      <c r="H182" s="43" t="s">
        <v>278</v>
      </c>
      <c r="I182" s="320">
        <v>938606405</v>
      </c>
      <c r="J182" s="43" t="s">
        <v>384</v>
      </c>
      <c r="K182" s="493">
        <v>46052</v>
      </c>
      <c r="L182" s="43" t="s">
        <v>946</v>
      </c>
      <c r="M182" s="484" t="s">
        <v>260</v>
      </c>
      <c r="N182" s="43" t="s">
        <v>241</v>
      </c>
      <c r="O182" s="489">
        <v>46065</v>
      </c>
      <c r="P182" s="243" t="s">
        <v>292</v>
      </c>
      <c r="Q182" s="422" t="s">
        <v>377</v>
      </c>
      <c r="R182" s="320"/>
      <c r="S182" s="43"/>
      <c r="T182" s="43"/>
      <c r="U182" s="43"/>
      <c r="V182" s="43"/>
      <c r="W182" s="43"/>
      <c r="X182" s="43"/>
      <c r="Y182" s="43"/>
      <c r="Z182" s="67"/>
      <c r="AA182" s="67"/>
      <c r="AB182" s="67"/>
      <c r="AC182" s="67"/>
      <c r="AD182" s="67"/>
      <c r="AE182" s="67"/>
      <c r="AF182" s="67"/>
      <c r="AG182" s="67"/>
    </row>
    <row r="183" spans="1:33" ht="15" customHeight="1">
      <c r="A183" s="532" t="s">
        <v>219</v>
      </c>
      <c r="B183" s="320">
        <v>181</v>
      </c>
      <c r="C183" s="161">
        <v>296410</v>
      </c>
      <c r="D183" s="159">
        <v>15730617</v>
      </c>
      <c r="E183" s="159" t="s">
        <v>947</v>
      </c>
      <c r="F183" s="161">
        <v>55</v>
      </c>
      <c r="G183" s="159" t="s">
        <v>948</v>
      </c>
      <c r="H183" s="132" t="s">
        <v>301</v>
      </c>
      <c r="I183" s="474">
        <v>992211791</v>
      </c>
      <c r="J183" s="150" t="s">
        <v>238</v>
      </c>
      <c r="K183" s="495">
        <v>46020</v>
      </c>
      <c r="L183" s="847" t="s">
        <v>949</v>
      </c>
      <c r="M183" s="850" t="s">
        <v>260</v>
      </c>
      <c r="N183" s="132" t="s">
        <v>950</v>
      </c>
      <c r="O183" s="487">
        <v>46038</v>
      </c>
      <c r="P183" s="246"/>
      <c r="Q183" s="516" t="s">
        <v>951</v>
      </c>
      <c r="R183" s="513">
        <v>46071</v>
      </c>
      <c r="S183" s="512" t="s">
        <v>952</v>
      </c>
      <c r="T183" s="474" t="s">
        <v>312</v>
      </c>
      <c r="U183" s="474"/>
      <c r="V183" s="495">
        <v>46052</v>
      </c>
      <c r="W183" s="474" t="s">
        <v>953</v>
      </c>
      <c r="X183" s="396" t="s">
        <v>312</v>
      </c>
      <c r="Y183" s="513">
        <v>46087</v>
      </c>
      <c r="Z183" s="68"/>
      <c r="AA183" s="68"/>
      <c r="AB183" s="67"/>
      <c r="AC183" s="67"/>
      <c r="AD183" s="67"/>
      <c r="AE183" s="67"/>
      <c r="AF183" s="67"/>
      <c r="AG183" s="67"/>
    </row>
    <row r="184" spans="1:33" ht="15" customHeight="1">
      <c r="A184" s="320"/>
      <c r="B184" s="320">
        <v>182</v>
      </c>
      <c r="C184" s="158">
        <v>522455</v>
      </c>
      <c r="D184" s="156">
        <v>15748974</v>
      </c>
      <c r="E184" s="156" t="s">
        <v>954</v>
      </c>
      <c r="F184" s="158">
        <v>55</v>
      </c>
      <c r="G184" s="156" t="s">
        <v>955</v>
      </c>
      <c r="H184" s="43" t="s">
        <v>461</v>
      </c>
      <c r="I184" s="43">
        <v>956334767</v>
      </c>
      <c r="J184" s="43" t="s">
        <v>162</v>
      </c>
      <c r="K184" s="493">
        <v>46052</v>
      </c>
      <c r="L184" s="43" t="s">
        <v>913</v>
      </c>
      <c r="M184" s="484" t="s">
        <v>260</v>
      </c>
      <c r="N184" s="43" t="s">
        <v>241</v>
      </c>
      <c r="O184" s="490">
        <v>46062</v>
      </c>
      <c r="P184" s="242" t="s">
        <v>512</v>
      </c>
      <c r="Q184" s="471" t="s">
        <v>358</v>
      </c>
      <c r="R184" s="43"/>
      <c r="S184" s="43"/>
      <c r="T184" s="43"/>
      <c r="U184" s="43"/>
      <c r="V184" s="43"/>
      <c r="W184" s="43"/>
      <c r="X184" s="43"/>
      <c r="Y184" s="43"/>
      <c r="Z184" s="67"/>
      <c r="AA184" s="67"/>
      <c r="AB184" s="67"/>
      <c r="AC184" s="67"/>
      <c r="AD184" s="67"/>
      <c r="AE184" s="67"/>
      <c r="AF184" s="67"/>
      <c r="AG184" s="67"/>
    </row>
    <row r="185" spans="1:33" ht="15" customHeight="1">
      <c r="A185" s="320"/>
      <c r="B185" s="320">
        <v>183</v>
      </c>
      <c r="C185" s="158">
        <v>447159</v>
      </c>
      <c r="D185" s="156">
        <v>15747413</v>
      </c>
      <c r="E185" s="156" t="s">
        <v>956</v>
      </c>
      <c r="F185" s="158">
        <v>53</v>
      </c>
      <c r="G185" s="156" t="s">
        <v>957</v>
      </c>
      <c r="H185" s="43" t="s">
        <v>461</v>
      </c>
      <c r="I185" s="43">
        <v>906707187</v>
      </c>
      <c r="J185" s="43" t="s">
        <v>162</v>
      </c>
      <c r="K185" s="493">
        <v>46052</v>
      </c>
      <c r="L185" s="43" t="s">
        <v>958</v>
      </c>
      <c r="M185" s="484" t="s">
        <v>260</v>
      </c>
      <c r="N185" s="43" t="s">
        <v>241</v>
      </c>
      <c r="O185" s="490">
        <v>46062</v>
      </c>
      <c r="P185" s="242" t="s">
        <v>512</v>
      </c>
      <c r="Q185" s="471" t="s">
        <v>358</v>
      </c>
      <c r="R185" s="43"/>
      <c r="S185" s="43"/>
      <c r="T185" s="43"/>
      <c r="U185" s="43"/>
      <c r="V185" s="43"/>
      <c r="W185" s="43"/>
      <c r="X185" s="43"/>
      <c r="Y185" s="43"/>
      <c r="Z185" s="67"/>
      <c r="AA185" s="67"/>
      <c r="AB185" s="67"/>
      <c r="AC185" s="67"/>
      <c r="AD185" s="67"/>
      <c r="AE185" s="67"/>
      <c r="AF185" s="67"/>
      <c r="AG185" s="67"/>
    </row>
    <row r="186" spans="1:33" ht="15" customHeight="1">
      <c r="A186" s="320"/>
      <c r="B186" s="320">
        <v>184</v>
      </c>
      <c r="C186" s="158">
        <v>522462</v>
      </c>
      <c r="D186" s="156">
        <v>16023302</v>
      </c>
      <c r="E186" s="156" t="s">
        <v>959</v>
      </c>
      <c r="F186" s="158">
        <v>47</v>
      </c>
      <c r="G186" s="156" t="s">
        <v>960</v>
      </c>
      <c r="H186" s="43" t="s">
        <v>461</v>
      </c>
      <c r="I186" s="43" t="s">
        <v>961</v>
      </c>
      <c r="J186" s="43" t="s">
        <v>162</v>
      </c>
      <c r="K186" s="493">
        <v>46052</v>
      </c>
      <c r="L186" s="43" t="s">
        <v>962</v>
      </c>
      <c r="M186" s="484" t="s">
        <v>260</v>
      </c>
      <c r="N186" s="43" t="s">
        <v>241</v>
      </c>
      <c r="O186" s="490">
        <v>46062</v>
      </c>
      <c r="P186" s="242" t="s">
        <v>512</v>
      </c>
      <c r="Q186" s="471" t="s">
        <v>358</v>
      </c>
      <c r="R186" s="43"/>
      <c r="S186" s="43"/>
      <c r="T186" s="43"/>
      <c r="U186" s="43"/>
      <c r="V186" s="43"/>
      <c r="W186" s="43"/>
      <c r="X186" s="43"/>
      <c r="Y186" s="43"/>
      <c r="Z186" s="67"/>
      <c r="AA186" s="67"/>
      <c r="AB186" s="67"/>
      <c r="AC186" s="67"/>
      <c r="AD186" s="67"/>
      <c r="AE186" s="67"/>
      <c r="AF186" s="67"/>
      <c r="AG186" s="67"/>
    </row>
    <row r="187" spans="1:33" ht="15" customHeight="1">
      <c r="A187" s="320"/>
      <c r="B187" s="320">
        <v>185</v>
      </c>
      <c r="C187" s="158">
        <v>107958</v>
      </c>
      <c r="D187" s="158">
        <v>42240920</v>
      </c>
      <c r="E187" s="156" t="s">
        <v>963</v>
      </c>
      <c r="F187" s="158">
        <v>45</v>
      </c>
      <c r="G187" s="156" t="s">
        <v>964</v>
      </c>
      <c r="H187" s="43" t="s">
        <v>278</v>
      </c>
      <c r="I187" s="320">
        <v>958335842</v>
      </c>
      <c r="J187" s="43" t="s">
        <v>283</v>
      </c>
      <c r="K187" s="493">
        <v>46052</v>
      </c>
      <c r="L187" s="43" t="s">
        <v>965</v>
      </c>
      <c r="M187" s="484" t="s">
        <v>230</v>
      </c>
      <c r="N187" s="43" t="s">
        <v>241</v>
      </c>
      <c r="O187" s="490">
        <v>46062</v>
      </c>
      <c r="P187" s="242"/>
      <c r="Q187" s="308">
        <v>46054</v>
      </c>
      <c r="R187" s="805" t="s">
        <v>228</v>
      </c>
      <c r="S187" s="43"/>
      <c r="T187" s="43"/>
      <c r="U187" s="43"/>
      <c r="V187" s="43"/>
      <c r="W187" s="43"/>
      <c r="X187" s="43"/>
      <c r="Y187" s="43"/>
      <c r="Z187" s="67"/>
      <c r="AA187" s="67"/>
      <c r="AB187" s="67"/>
      <c r="AC187" s="67"/>
      <c r="AD187" s="67"/>
      <c r="AE187" s="67"/>
      <c r="AF187" s="67"/>
      <c r="AG187" s="67"/>
    </row>
    <row r="188" spans="1:33" ht="15" customHeight="1">
      <c r="A188" s="474"/>
      <c r="B188" s="474">
        <v>186</v>
      </c>
      <c r="C188" s="161">
        <v>522463</v>
      </c>
      <c r="D188" s="159">
        <v>15948103</v>
      </c>
      <c r="E188" s="159" t="s">
        <v>966</v>
      </c>
      <c r="F188" s="161">
        <v>60</v>
      </c>
      <c r="G188" s="159" t="s">
        <v>967</v>
      </c>
      <c r="H188" s="132" t="s">
        <v>461</v>
      </c>
      <c r="I188" s="132">
        <v>980187462</v>
      </c>
      <c r="J188" s="132" t="s">
        <v>162</v>
      </c>
      <c r="K188" s="495">
        <v>46052</v>
      </c>
      <c r="L188" s="132" t="s">
        <v>968</v>
      </c>
      <c r="M188" s="850" t="s">
        <v>225</v>
      </c>
      <c r="N188" s="132" t="s">
        <v>950</v>
      </c>
      <c r="O188" s="487">
        <v>46066</v>
      </c>
      <c r="P188" s="137" t="s">
        <v>512</v>
      </c>
      <c r="Q188" s="471" t="s">
        <v>358</v>
      </c>
      <c r="R188" s="307" t="s">
        <v>969</v>
      </c>
      <c r="S188" s="132"/>
      <c r="T188" s="132"/>
      <c r="U188" s="132"/>
      <c r="V188" s="132"/>
      <c r="W188" s="132"/>
      <c r="X188" s="132"/>
      <c r="Y188" s="132"/>
      <c r="Z188" s="67"/>
      <c r="AA188" s="67"/>
      <c r="AB188" s="67"/>
      <c r="AC188" s="67"/>
      <c r="AD188" s="67"/>
      <c r="AE188" s="67"/>
      <c r="AF188" s="67"/>
      <c r="AG188" s="67"/>
    </row>
    <row r="189" spans="1:33" ht="15" customHeight="1">
      <c r="A189" s="320"/>
      <c r="B189" s="320">
        <v>187</v>
      </c>
      <c r="C189" s="158">
        <v>522460</v>
      </c>
      <c r="D189" s="156">
        <v>15974615</v>
      </c>
      <c r="E189" s="156" t="s">
        <v>970</v>
      </c>
      <c r="F189" s="158">
        <v>59</v>
      </c>
      <c r="G189" s="156" t="s">
        <v>971</v>
      </c>
      <c r="H189" s="43" t="s">
        <v>461</v>
      </c>
      <c r="I189" s="43">
        <v>942066457</v>
      </c>
      <c r="J189" s="43" t="s">
        <v>421</v>
      </c>
      <c r="K189" s="493">
        <v>46052</v>
      </c>
      <c r="L189" s="43" t="s">
        <v>913</v>
      </c>
      <c r="M189" s="484" t="s">
        <v>260</v>
      </c>
      <c r="N189" s="43" t="s">
        <v>241</v>
      </c>
      <c r="O189" s="525">
        <v>46066</v>
      </c>
      <c r="P189" s="239" t="s">
        <v>512</v>
      </c>
      <c r="Q189" s="471" t="s">
        <v>358</v>
      </c>
      <c r="R189" s="43"/>
      <c r="S189" s="43"/>
      <c r="T189" s="43"/>
      <c r="U189" s="43"/>
      <c r="V189" s="43"/>
      <c r="W189" s="43"/>
      <c r="X189" s="43"/>
      <c r="Y189" s="43"/>
      <c r="Z189" s="67"/>
      <c r="AA189" s="67"/>
      <c r="AB189" s="67"/>
      <c r="AC189" s="67"/>
      <c r="AD189" s="67"/>
      <c r="AE189" s="67"/>
      <c r="AF189" s="67"/>
      <c r="AG189" s="67"/>
    </row>
    <row r="190" spans="1:33" ht="15" customHeight="1">
      <c r="A190" s="320"/>
      <c r="B190" s="320">
        <v>188</v>
      </c>
      <c r="C190" s="158">
        <v>460014</v>
      </c>
      <c r="D190" s="156">
        <v>15978868</v>
      </c>
      <c r="E190" s="156" t="s">
        <v>972</v>
      </c>
      <c r="F190" s="158">
        <v>62</v>
      </c>
      <c r="G190" s="156" t="s">
        <v>973</v>
      </c>
      <c r="H190" s="43" t="s">
        <v>271</v>
      </c>
      <c r="I190" s="43">
        <v>902314193</v>
      </c>
      <c r="J190" s="43" t="s">
        <v>164</v>
      </c>
      <c r="K190" s="493">
        <v>46052</v>
      </c>
      <c r="L190" s="846" t="s">
        <v>974</v>
      </c>
      <c r="M190" s="851" t="s">
        <v>323</v>
      </c>
      <c r="N190" s="846" t="s">
        <v>241</v>
      </c>
      <c r="O190" s="525">
        <v>46066</v>
      </c>
      <c r="P190" s="242" t="s">
        <v>512</v>
      </c>
      <c r="Q190" s="471" t="s">
        <v>358</v>
      </c>
      <c r="R190" s="43" t="s">
        <v>975</v>
      </c>
      <c r="S190" s="43"/>
      <c r="T190" s="43"/>
      <c r="U190" s="43"/>
      <c r="V190" s="43"/>
      <c r="W190" s="43"/>
      <c r="X190" s="43"/>
      <c r="Y190" s="43"/>
      <c r="Z190" s="67"/>
      <c r="AA190" s="67"/>
      <c r="AB190" s="67"/>
      <c r="AC190" s="67"/>
      <c r="AD190" s="67"/>
      <c r="AE190" s="67"/>
      <c r="AF190" s="67"/>
      <c r="AG190" s="67"/>
    </row>
    <row r="191" spans="1:33" ht="15" customHeight="1">
      <c r="A191" s="320"/>
      <c r="B191" s="320">
        <v>189</v>
      </c>
      <c r="C191" s="158">
        <v>522464</v>
      </c>
      <c r="D191" s="156">
        <v>41028380</v>
      </c>
      <c r="E191" s="156" t="s">
        <v>976</v>
      </c>
      <c r="F191" s="158">
        <v>44</v>
      </c>
      <c r="G191" s="156" t="s">
        <v>973</v>
      </c>
      <c r="H191" s="43" t="s">
        <v>271</v>
      </c>
      <c r="I191" s="43">
        <v>902314193</v>
      </c>
      <c r="J191" s="43" t="s">
        <v>164</v>
      </c>
      <c r="K191" s="493">
        <v>46052</v>
      </c>
      <c r="L191" s="43" t="s">
        <v>977</v>
      </c>
      <c r="M191" s="484" t="s">
        <v>260</v>
      </c>
      <c r="N191" s="43" t="s">
        <v>241</v>
      </c>
      <c r="O191" s="525">
        <v>46066</v>
      </c>
      <c r="P191" s="242" t="s">
        <v>512</v>
      </c>
      <c r="Q191" s="471" t="s">
        <v>358</v>
      </c>
      <c r="R191" s="43"/>
      <c r="S191" s="43"/>
      <c r="T191" s="43"/>
      <c r="U191" s="43"/>
      <c r="V191" s="43"/>
      <c r="W191" s="43"/>
      <c r="X191" s="43"/>
      <c r="Y191" s="43"/>
      <c r="Z191" s="67"/>
      <c r="AA191" s="67"/>
      <c r="AB191" s="67"/>
      <c r="AC191" s="67"/>
      <c r="AD191" s="67"/>
      <c r="AE191" s="67"/>
      <c r="AF191" s="67"/>
      <c r="AG191" s="67"/>
    </row>
    <row r="192" spans="1:33" ht="15" customHeight="1">
      <c r="A192" s="320"/>
      <c r="B192" s="320">
        <v>190</v>
      </c>
      <c r="C192" s="158">
        <v>522468</v>
      </c>
      <c r="D192" s="156">
        <v>41867055</v>
      </c>
      <c r="E192" s="156" t="s">
        <v>978</v>
      </c>
      <c r="F192" s="158">
        <v>42</v>
      </c>
      <c r="G192" s="156" t="s">
        <v>979</v>
      </c>
      <c r="H192" s="43" t="s">
        <v>461</v>
      </c>
      <c r="I192" s="43">
        <v>968090174</v>
      </c>
      <c r="J192" s="43" t="s">
        <v>162</v>
      </c>
      <c r="K192" s="493">
        <v>46052</v>
      </c>
      <c r="L192" s="43" t="s">
        <v>980</v>
      </c>
      <c r="M192" s="484" t="s">
        <v>230</v>
      </c>
      <c r="N192" s="43" t="s">
        <v>241</v>
      </c>
      <c r="O192" s="525">
        <v>46066</v>
      </c>
      <c r="P192" s="242" t="s">
        <v>512</v>
      </c>
      <c r="Q192" s="471" t="s">
        <v>358</v>
      </c>
      <c r="R192" s="43"/>
      <c r="S192" s="43"/>
      <c r="T192" s="43"/>
      <c r="U192" s="43"/>
      <c r="V192" s="43"/>
      <c r="W192" s="43"/>
      <c r="X192" s="43"/>
      <c r="Y192" s="43"/>
      <c r="Z192" s="67"/>
      <c r="AA192" s="67"/>
      <c r="AB192" s="67"/>
      <c r="AC192" s="67"/>
      <c r="AD192" s="67"/>
      <c r="AE192" s="67"/>
      <c r="AF192" s="67"/>
      <c r="AG192" s="67"/>
    </row>
    <row r="193" spans="1:33" ht="15" customHeight="1">
      <c r="A193" s="526">
        <v>46053</v>
      </c>
      <c r="B193" s="320">
        <v>191</v>
      </c>
      <c r="C193" s="158">
        <v>195981</v>
      </c>
      <c r="D193" s="158">
        <v>80617229</v>
      </c>
      <c r="E193" s="156" t="s">
        <v>981</v>
      </c>
      <c r="F193" s="158">
        <v>46</v>
      </c>
      <c r="G193" s="156" t="s">
        <v>982</v>
      </c>
      <c r="H193" s="43" t="s">
        <v>222</v>
      </c>
      <c r="I193" s="320">
        <v>901066307</v>
      </c>
      <c r="J193" s="43" t="s">
        <v>223</v>
      </c>
      <c r="K193" s="493">
        <v>46053</v>
      </c>
      <c r="L193" s="112" t="s">
        <v>980</v>
      </c>
      <c r="M193" s="484" t="s">
        <v>260</v>
      </c>
      <c r="N193" s="43" t="s">
        <v>241</v>
      </c>
      <c r="O193" s="489">
        <v>46065</v>
      </c>
      <c r="P193" s="243" t="s">
        <v>292</v>
      </c>
      <c r="Q193" s="308">
        <v>46054</v>
      </c>
      <c r="R193" s="318">
        <v>46082</v>
      </c>
      <c r="S193" s="320" t="s">
        <v>983</v>
      </c>
      <c r="T193" s="43"/>
      <c r="U193" s="43"/>
      <c r="V193" s="43"/>
      <c r="W193" s="43"/>
      <c r="X193" s="43"/>
      <c r="Y193" s="43"/>
      <c r="Z193" s="67"/>
      <c r="AA193" s="67"/>
      <c r="AB193" s="67"/>
      <c r="AC193" s="67"/>
      <c r="AD193" s="67"/>
      <c r="AE193" s="67"/>
      <c r="AF193" s="67"/>
      <c r="AG193" s="67"/>
    </row>
    <row r="194" spans="1:33" ht="15" customHeight="1">
      <c r="A194" s="320"/>
      <c r="B194" s="320">
        <v>192</v>
      </c>
      <c r="C194" s="158">
        <v>39638</v>
      </c>
      <c r="D194" s="158">
        <v>22704336</v>
      </c>
      <c r="E194" s="156" t="s">
        <v>984</v>
      </c>
      <c r="F194" s="158">
        <v>59</v>
      </c>
      <c r="G194" s="156" t="s">
        <v>985</v>
      </c>
      <c r="H194" s="43" t="s">
        <v>301</v>
      </c>
      <c r="I194" s="320" t="s">
        <v>986</v>
      </c>
      <c r="J194" s="43" t="s">
        <v>302</v>
      </c>
      <c r="K194" s="502">
        <v>46053</v>
      </c>
      <c r="L194" s="848" t="s">
        <v>987</v>
      </c>
      <c r="M194" s="852" t="s">
        <v>260</v>
      </c>
      <c r="N194" s="43" t="s">
        <v>241</v>
      </c>
      <c r="O194" s="489">
        <v>46065</v>
      </c>
      <c r="P194" s="243" t="s">
        <v>292</v>
      </c>
      <c r="Q194" s="422" t="s">
        <v>710</v>
      </c>
      <c r="R194" s="320"/>
      <c r="S194" s="209"/>
      <c r="T194" s="43"/>
      <c r="U194" s="43"/>
      <c r="V194" s="43"/>
      <c r="W194" s="43"/>
      <c r="X194" s="43"/>
      <c r="Y194" s="43"/>
      <c r="Z194" s="67"/>
      <c r="AA194" s="67"/>
      <c r="AB194" s="67"/>
      <c r="AC194" s="67"/>
      <c r="AD194" s="67"/>
      <c r="AE194" s="67"/>
      <c r="AF194" s="67"/>
      <c r="AG194" s="67"/>
    </row>
    <row r="195" spans="1:33" ht="15" customHeight="1">
      <c r="A195" s="320"/>
      <c r="B195" s="320">
        <v>193</v>
      </c>
      <c r="C195" s="158">
        <v>163046</v>
      </c>
      <c r="D195" s="156">
        <v>15660139</v>
      </c>
      <c r="E195" s="204" t="s">
        <v>988</v>
      </c>
      <c r="F195" s="158">
        <v>53</v>
      </c>
      <c r="G195" s="156" t="s">
        <v>989</v>
      </c>
      <c r="H195" s="43" t="s">
        <v>237</v>
      </c>
      <c r="I195" s="43" t="s">
        <v>990</v>
      </c>
      <c r="J195" s="43" t="s">
        <v>429</v>
      </c>
      <c r="K195" s="493">
        <v>46053</v>
      </c>
      <c r="L195" s="849" t="s">
        <v>980</v>
      </c>
      <c r="M195" s="484" t="s">
        <v>260</v>
      </c>
      <c r="N195" s="43" t="s">
        <v>241</v>
      </c>
      <c r="O195" s="489">
        <v>46065</v>
      </c>
      <c r="P195" s="243" t="s">
        <v>292</v>
      </c>
      <c r="Q195" s="471" t="s">
        <v>358</v>
      </c>
      <c r="R195" s="43"/>
      <c r="S195" s="112"/>
      <c r="T195" s="43"/>
      <c r="U195" s="43"/>
      <c r="V195" s="43"/>
      <c r="W195" s="43"/>
      <c r="X195" s="43"/>
      <c r="Y195" s="43"/>
      <c r="Z195" s="67"/>
      <c r="AA195" s="67"/>
      <c r="AB195" s="67"/>
      <c r="AC195" s="67"/>
      <c r="AD195" s="67"/>
      <c r="AE195" s="67"/>
      <c r="AF195" s="67"/>
      <c r="AG195" s="67"/>
    </row>
    <row r="196" spans="1:33" ht="15" customHeight="1">
      <c r="A196" s="320"/>
      <c r="B196" s="320">
        <v>194</v>
      </c>
      <c r="C196" s="158">
        <v>205910</v>
      </c>
      <c r="D196" s="158">
        <v>41452054</v>
      </c>
      <c r="E196" s="156" t="s">
        <v>991</v>
      </c>
      <c r="F196" s="158">
        <v>43</v>
      </c>
      <c r="G196" s="156" t="s">
        <v>992</v>
      </c>
      <c r="H196" s="43" t="s">
        <v>278</v>
      </c>
      <c r="I196" s="320">
        <v>918832710</v>
      </c>
      <c r="J196" s="43" t="s">
        <v>384</v>
      </c>
      <c r="K196" s="502">
        <v>46053</v>
      </c>
      <c r="L196" s="848" t="s">
        <v>993</v>
      </c>
      <c r="M196" s="852" t="s">
        <v>260</v>
      </c>
      <c r="N196" s="43" t="s">
        <v>241</v>
      </c>
      <c r="O196" s="489">
        <v>46065</v>
      </c>
      <c r="P196" s="243" t="s">
        <v>292</v>
      </c>
      <c r="Q196" s="308">
        <v>46054</v>
      </c>
      <c r="R196" s="393" t="s">
        <v>350</v>
      </c>
      <c r="S196" s="436"/>
      <c r="T196" s="257"/>
      <c r="U196" s="43"/>
      <c r="V196" s="43"/>
      <c r="W196" s="43"/>
      <c r="X196" s="43"/>
      <c r="Y196" s="43"/>
      <c r="Z196" s="67"/>
      <c r="AA196" s="67"/>
      <c r="AB196" s="67"/>
      <c r="AC196" s="67"/>
      <c r="AD196" s="67"/>
      <c r="AE196" s="67"/>
      <c r="AF196" s="67"/>
      <c r="AG196" s="67"/>
    </row>
    <row r="197" spans="1:33">
      <c r="E197" s="69"/>
    </row>
    <row r="198" spans="1:33">
      <c r="E198" s="69"/>
    </row>
    <row r="199" spans="1:33">
      <c r="E199" s="69"/>
    </row>
    <row r="200" spans="1:33">
      <c r="E200" s="69"/>
    </row>
  </sheetData>
  <autoFilter ref="A1:AG196" xr:uid="{00000000-0001-0000-0200-000000000000}">
    <filterColumn colId="27" showButton="0"/>
    <filterColumn colId="28" showButton="0"/>
  </autoFilter>
  <mergeCells count="30">
    <mergeCell ref="H1:H2"/>
    <mergeCell ref="M1:M2"/>
    <mergeCell ref="L1:L2"/>
    <mergeCell ref="K1:K2"/>
    <mergeCell ref="J1:J2"/>
    <mergeCell ref="I1:I2"/>
    <mergeCell ref="A1:A2"/>
    <mergeCell ref="G1:G2"/>
    <mergeCell ref="F1:F2"/>
    <mergeCell ref="E1:E2"/>
    <mergeCell ref="D1:D2"/>
    <mergeCell ref="B1:B2"/>
    <mergeCell ref="C1:C2"/>
    <mergeCell ref="AB1:AD1"/>
    <mergeCell ref="AE1:AE2"/>
    <mergeCell ref="AF1:AF2"/>
    <mergeCell ref="AG1:AG2"/>
    <mergeCell ref="Z1:Z2"/>
    <mergeCell ref="Y1:Y2"/>
    <mergeCell ref="T1:T2"/>
    <mergeCell ref="U1:U2"/>
    <mergeCell ref="V1:V2"/>
    <mergeCell ref="W1:W2"/>
    <mergeCell ref="S1:S2"/>
    <mergeCell ref="R1:R2"/>
    <mergeCell ref="O1:O2"/>
    <mergeCell ref="N1:N2"/>
    <mergeCell ref="X1:X2"/>
    <mergeCell ref="P1:P2"/>
    <mergeCell ref="Q1:Q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8A2ED-325C-4820-89C1-6CC869521E44}">
  <dimension ref="A1:AG756"/>
  <sheetViews>
    <sheetView workbookViewId="0">
      <pane ySplit="2" topLeftCell="A218" activePane="bottomLeft" state="frozen"/>
      <selection pane="bottomLeft" activeCell="G745" sqref="G745"/>
    </sheetView>
  </sheetViews>
  <sheetFormatPr defaultRowHeight="15"/>
  <cols>
    <col min="1" max="1" width="9.140625" style="39"/>
    <col min="2" max="2" width="3.85546875" style="39" customWidth="1"/>
    <col min="3" max="3" width="7.85546875" style="39" customWidth="1"/>
    <col min="4" max="4" width="9.140625" style="39"/>
    <col min="5" max="5" width="29.28515625" style="71" customWidth="1"/>
    <col min="6" max="6" width="4.5703125" style="39" customWidth="1"/>
    <col min="7" max="7" width="27.7109375" customWidth="1"/>
    <col min="8" max="8" width="13.28515625" customWidth="1"/>
    <col min="9" max="9" width="12.85546875" style="39" customWidth="1"/>
    <col min="10" max="10" width="24.28515625" customWidth="1"/>
    <col min="11" max="11" width="11" style="39" customWidth="1"/>
    <col min="12" max="12" width="44.7109375" customWidth="1"/>
    <col min="13" max="13" width="10.42578125" style="39" customWidth="1"/>
    <col min="14" max="14" width="27.140625" customWidth="1"/>
    <col min="15" max="15" width="12.140625" customWidth="1"/>
    <col min="16" max="16" width="26.5703125" style="39" customWidth="1"/>
    <col min="17" max="17" width="26" style="39" customWidth="1"/>
    <col min="18" max="18" width="9.140625" style="39"/>
    <col min="21" max="21" width="12.5703125" customWidth="1"/>
    <col min="22" max="22" width="13.85546875" customWidth="1"/>
    <col min="23" max="23" width="14.140625" customWidth="1"/>
    <col min="25" max="25" width="12.5703125" customWidth="1"/>
  </cols>
  <sheetData>
    <row r="1" spans="1:33" ht="45.75">
      <c r="A1" s="1465" t="s">
        <v>186</v>
      </c>
      <c r="B1" s="1467" t="s">
        <v>187</v>
      </c>
      <c r="C1" s="1469" t="s">
        <v>188</v>
      </c>
      <c r="D1" s="1467" t="s">
        <v>189</v>
      </c>
      <c r="E1" s="1463" t="s">
        <v>190</v>
      </c>
      <c r="F1" s="1463" t="s">
        <v>191</v>
      </c>
      <c r="G1" s="1463" t="s">
        <v>192</v>
      </c>
      <c r="H1" s="1463" t="s">
        <v>193</v>
      </c>
      <c r="I1" s="1463" t="s">
        <v>194</v>
      </c>
      <c r="J1" s="1463" t="s">
        <v>195</v>
      </c>
      <c r="K1" s="1463" t="s">
        <v>196</v>
      </c>
      <c r="L1" s="1463" t="s">
        <v>197</v>
      </c>
      <c r="M1" s="1463" t="s">
        <v>198</v>
      </c>
      <c r="N1" s="1463" t="s">
        <v>199</v>
      </c>
      <c r="O1" s="1460" t="s">
        <v>200</v>
      </c>
      <c r="P1" s="1458" t="s">
        <v>201</v>
      </c>
      <c r="Q1" s="1458" t="s">
        <v>202</v>
      </c>
      <c r="R1" s="1460" t="s">
        <v>203</v>
      </c>
      <c r="S1" s="1460" t="s">
        <v>204</v>
      </c>
      <c r="T1" s="1458" t="s">
        <v>205</v>
      </c>
      <c r="U1" s="1458" t="s">
        <v>206</v>
      </c>
      <c r="V1" s="1458" t="s">
        <v>207</v>
      </c>
      <c r="W1" s="1458" t="s">
        <v>208</v>
      </c>
      <c r="X1" s="1458" t="s">
        <v>205</v>
      </c>
      <c r="Y1" s="1458" t="s">
        <v>206</v>
      </c>
      <c r="Z1" s="1460" t="s">
        <v>209</v>
      </c>
      <c r="AA1" s="470" t="s">
        <v>210</v>
      </c>
      <c r="AB1" s="1461" t="s">
        <v>211</v>
      </c>
      <c r="AC1" s="1461"/>
      <c r="AD1" s="1461"/>
      <c r="AE1" s="1462" t="s">
        <v>212</v>
      </c>
      <c r="AF1" s="1462" t="s">
        <v>213</v>
      </c>
      <c r="AG1" s="1464" t="s">
        <v>214</v>
      </c>
    </row>
    <row r="2" spans="1:33" ht="24.75">
      <c r="A2" s="1465"/>
      <c r="B2" s="1469"/>
      <c r="C2" s="1472"/>
      <c r="D2" s="1469"/>
      <c r="E2" s="1471"/>
      <c r="F2" s="1471"/>
      <c r="G2" s="1471"/>
      <c r="H2" s="1471"/>
      <c r="I2" s="1471"/>
      <c r="J2" s="1471"/>
      <c r="K2" s="1471"/>
      <c r="L2" s="1471"/>
      <c r="M2" s="1471"/>
      <c r="N2" s="1471"/>
      <c r="O2" s="1460"/>
      <c r="P2" s="1459"/>
      <c r="Q2" s="1459"/>
      <c r="R2" s="1458"/>
      <c r="S2" s="1458"/>
      <c r="T2" s="1473"/>
      <c r="U2" s="1473"/>
      <c r="V2" s="1473"/>
      <c r="W2" s="1473"/>
      <c r="X2" s="1473"/>
      <c r="Y2" s="1473"/>
      <c r="Z2" s="1458"/>
      <c r="AA2" s="1401" t="s">
        <v>215</v>
      </c>
      <c r="AB2" s="210" t="s">
        <v>216</v>
      </c>
      <c r="AC2" s="210" t="s">
        <v>217</v>
      </c>
      <c r="AD2" s="1401" t="s">
        <v>218</v>
      </c>
      <c r="AE2" s="1475"/>
      <c r="AF2" s="1475"/>
      <c r="AG2" s="1474"/>
    </row>
    <row r="3" spans="1:33">
      <c r="A3" s="533">
        <v>46055</v>
      </c>
      <c r="B3" s="534">
        <v>1</v>
      </c>
      <c r="C3" s="564">
        <v>107505</v>
      </c>
      <c r="D3" s="566">
        <v>15607399</v>
      </c>
      <c r="E3" s="48" t="s">
        <v>994</v>
      </c>
      <c r="F3" s="564">
        <v>63</v>
      </c>
      <c r="G3" s="48" t="s">
        <v>995</v>
      </c>
      <c r="H3" s="430" t="s">
        <v>222</v>
      </c>
      <c r="I3" s="566">
        <v>967435070</v>
      </c>
      <c r="J3" s="49" t="s">
        <v>238</v>
      </c>
      <c r="K3" s="535">
        <v>46055</v>
      </c>
      <c r="L3" s="49" t="s">
        <v>376</v>
      </c>
      <c r="M3" s="555" t="s">
        <v>230</v>
      </c>
      <c r="N3" s="49" t="s">
        <v>317</v>
      </c>
      <c r="O3" s="53">
        <v>46062</v>
      </c>
      <c r="P3" s="539"/>
      <c r="Q3" s="539" t="s">
        <v>996</v>
      </c>
      <c r="R3" s="534"/>
      <c r="S3" s="49"/>
      <c r="T3" s="49"/>
      <c r="U3" s="49"/>
      <c r="V3" s="49"/>
      <c r="W3" s="49"/>
      <c r="X3" s="49"/>
      <c r="Y3" s="49"/>
      <c r="Z3" s="49"/>
      <c r="AA3" s="49"/>
      <c r="AB3" s="49"/>
      <c r="AC3" s="49"/>
      <c r="AD3" s="91"/>
      <c r="AE3" s="91"/>
      <c r="AF3" s="91"/>
      <c r="AG3" s="91"/>
    </row>
    <row r="4" spans="1:33">
      <c r="A4" s="534"/>
      <c r="B4" s="534">
        <v>2</v>
      </c>
      <c r="C4" s="534">
        <v>522524</v>
      </c>
      <c r="D4" s="534">
        <v>15995170</v>
      </c>
      <c r="E4" s="50" t="s">
        <v>997</v>
      </c>
      <c r="F4" s="534">
        <v>55</v>
      </c>
      <c r="G4" s="49" t="s">
        <v>998</v>
      </c>
      <c r="H4" s="49" t="s">
        <v>271</v>
      </c>
      <c r="I4" s="534" t="s">
        <v>999</v>
      </c>
      <c r="J4" s="49" t="s">
        <v>164</v>
      </c>
      <c r="K4" s="535">
        <v>46055</v>
      </c>
      <c r="L4" s="49" t="s">
        <v>376</v>
      </c>
      <c r="M4" s="555" t="s">
        <v>230</v>
      </c>
      <c r="N4" s="49" t="s">
        <v>317</v>
      </c>
      <c r="O4" s="53">
        <v>46062</v>
      </c>
      <c r="P4" s="539" t="s">
        <v>512</v>
      </c>
      <c r="Q4" s="471" t="s">
        <v>358</v>
      </c>
      <c r="R4" s="535"/>
      <c r="S4" s="49"/>
      <c r="T4" s="49"/>
      <c r="U4" s="49"/>
      <c r="V4" s="49"/>
      <c r="W4" s="49"/>
      <c r="X4" s="49"/>
      <c r="Y4" s="49"/>
      <c r="Z4" s="49"/>
      <c r="AA4" s="49"/>
      <c r="AB4" s="49"/>
      <c r="AC4" s="49"/>
      <c r="AD4" s="91"/>
      <c r="AE4" s="91"/>
      <c r="AF4" s="91"/>
      <c r="AG4" s="91"/>
    </row>
    <row r="5" spans="1:33">
      <c r="A5" s="534"/>
      <c r="B5" s="534">
        <v>3</v>
      </c>
      <c r="C5" s="534">
        <v>123111</v>
      </c>
      <c r="D5" s="534">
        <v>42522977</v>
      </c>
      <c r="E5" s="50" t="s">
        <v>1000</v>
      </c>
      <c r="F5" s="534">
        <v>41</v>
      </c>
      <c r="G5" s="49" t="s">
        <v>1001</v>
      </c>
      <c r="H5" s="49" t="s">
        <v>222</v>
      </c>
      <c r="I5" s="534" t="s">
        <v>1002</v>
      </c>
      <c r="J5" s="49" t="s">
        <v>223</v>
      </c>
      <c r="K5" s="535">
        <v>46055</v>
      </c>
      <c r="L5" s="54" t="s">
        <v>376</v>
      </c>
      <c r="M5" s="555" t="s">
        <v>230</v>
      </c>
      <c r="N5" s="49" t="s">
        <v>317</v>
      </c>
      <c r="O5" s="437">
        <v>46065</v>
      </c>
      <c r="P5" s="539" t="s">
        <v>292</v>
      </c>
      <c r="Q5" s="802">
        <v>46082</v>
      </c>
      <c r="R5" s="534" t="s">
        <v>318</v>
      </c>
      <c r="S5" s="49"/>
      <c r="T5" s="49"/>
      <c r="U5" s="49"/>
      <c r="V5" s="49"/>
      <c r="W5" s="49"/>
      <c r="X5" s="49"/>
      <c r="Y5" s="49"/>
      <c r="Z5" s="49"/>
      <c r="AA5" s="49"/>
      <c r="AB5" s="49"/>
      <c r="AC5" s="49"/>
      <c r="AD5" s="91"/>
      <c r="AE5" s="91"/>
      <c r="AF5" s="91"/>
      <c r="AG5" s="91"/>
    </row>
    <row r="6" spans="1:33">
      <c r="A6" s="535"/>
      <c r="B6" s="534">
        <v>4</v>
      </c>
      <c r="C6" s="534">
        <v>116524</v>
      </c>
      <c r="D6" s="534">
        <v>41637267</v>
      </c>
      <c r="E6" s="50" t="s">
        <v>1003</v>
      </c>
      <c r="F6" s="534">
        <v>42</v>
      </c>
      <c r="G6" s="49" t="s">
        <v>1004</v>
      </c>
      <c r="H6" s="49" t="s">
        <v>222</v>
      </c>
      <c r="I6" s="534" t="s">
        <v>1005</v>
      </c>
      <c r="J6" s="49" t="s">
        <v>223</v>
      </c>
      <c r="K6" s="535">
        <v>46055</v>
      </c>
      <c r="L6" s="49" t="s">
        <v>376</v>
      </c>
      <c r="M6" s="555" t="s">
        <v>230</v>
      </c>
      <c r="N6" s="49" t="s">
        <v>317</v>
      </c>
      <c r="O6" s="437">
        <v>46065</v>
      </c>
      <c r="P6" s="539" t="s">
        <v>292</v>
      </c>
      <c r="Q6" s="802">
        <v>46082</v>
      </c>
      <c r="R6" s="534" t="s">
        <v>318</v>
      </c>
      <c r="S6" s="49"/>
      <c r="T6" s="49"/>
      <c r="U6" s="49"/>
      <c r="V6" s="49"/>
      <c r="W6" s="49"/>
      <c r="X6" s="49"/>
      <c r="Y6" s="49"/>
      <c r="Z6" s="49"/>
      <c r="AA6" s="49"/>
      <c r="AB6" s="49"/>
      <c r="AC6" s="49"/>
      <c r="AD6" s="91"/>
      <c r="AE6" s="91"/>
      <c r="AF6" s="91"/>
      <c r="AG6" s="91"/>
    </row>
    <row r="7" spans="1:33">
      <c r="A7" s="535"/>
      <c r="B7" s="534">
        <v>5</v>
      </c>
      <c r="C7" s="534">
        <v>126264</v>
      </c>
      <c r="D7" s="534">
        <v>42748150</v>
      </c>
      <c r="E7" s="50" t="s">
        <v>1006</v>
      </c>
      <c r="F7" s="534">
        <v>41</v>
      </c>
      <c r="G7" s="49" t="s">
        <v>1007</v>
      </c>
      <c r="H7" s="49" t="s">
        <v>278</v>
      </c>
      <c r="I7" s="534">
        <v>995768525</v>
      </c>
      <c r="J7" s="49" t="s">
        <v>384</v>
      </c>
      <c r="K7" s="535">
        <v>46055</v>
      </c>
      <c r="L7" s="49" t="s">
        <v>388</v>
      </c>
      <c r="M7" s="555" t="s">
        <v>230</v>
      </c>
      <c r="N7" s="49" t="s">
        <v>655</v>
      </c>
      <c r="O7" s="437">
        <v>46065</v>
      </c>
      <c r="P7" s="539" t="s">
        <v>292</v>
      </c>
      <c r="Q7" s="802">
        <v>46082</v>
      </c>
      <c r="R7" s="808">
        <v>46082</v>
      </c>
      <c r="S7" s="49"/>
      <c r="T7" s="49"/>
      <c r="U7" s="49"/>
      <c r="V7" s="49"/>
      <c r="W7" s="49"/>
      <c r="X7" s="49"/>
      <c r="Y7" s="49"/>
      <c r="Z7" s="49"/>
      <c r="AA7" s="49"/>
      <c r="AB7" s="49"/>
      <c r="AC7" s="49"/>
      <c r="AD7" s="91"/>
      <c r="AE7" s="91"/>
      <c r="AF7" s="91"/>
      <c r="AG7" s="91"/>
    </row>
    <row r="8" spans="1:33">
      <c r="A8" s="534"/>
      <c r="B8" s="534">
        <v>6</v>
      </c>
      <c r="C8" s="534">
        <v>44361</v>
      </c>
      <c r="D8" s="534">
        <v>15657873</v>
      </c>
      <c r="E8" s="50" t="s">
        <v>1008</v>
      </c>
      <c r="F8" s="534">
        <v>63</v>
      </c>
      <c r="G8" s="49" t="s">
        <v>1009</v>
      </c>
      <c r="H8" s="49" t="s">
        <v>301</v>
      </c>
      <c r="I8" s="534">
        <v>963304118</v>
      </c>
      <c r="J8" s="49" t="s">
        <v>302</v>
      </c>
      <c r="K8" s="535">
        <v>46055</v>
      </c>
      <c r="L8" s="49" t="s">
        <v>376</v>
      </c>
      <c r="M8" s="555" t="s">
        <v>230</v>
      </c>
      <c r="N8" s="49" t="s">
        <v>317</v>
      </c>
      <c r="O8" s="437">
        <v>46065</v>
      </c>
      <c r="P8" s="539" t="s">
        <v>292</v>
      </c>
      <c r="Q8" s="827" t="s">
        <v>385</v>
      </c>
      <c r="R8" s="534"/>
      <c r="S8" s="49"/>
      <c r="T8" s="49"/>
      <c r="U8" s="49"/>
      <c r="V8" s="49"/>
      <c r="W8" s="49"/>
      <c r="X8" s="49"/>
      <c r="Y8" s="49"/>
      <c r="Z8" s="49"/>
      <c r="AA8" s="49"/>
      <c r="AB8" s="49"/>
      <c r="AC8" s="49"/>
      <c r="AD8" s="91"/>
      <c r="AE8" s="91"/>
      <c r="AF8" s="91"/>
      <c r="AG8" s="91"/>
    </row>
    <row r="9" spans="1:33">
      <c r="A9" s="534"/>
      <c r="B9" s="534">
        <v>7</v>
      </c>
      <c r="C9" s="534">
        <v>490386</v>
      </c>
      <c r="D9" s="534">
        <v>31925832</v>
      </c>
      <c r="E9" s="50" t="s">
        <v>1010</v>
      </c>
      <c r="F9" s="534">
        <v>49</v>
      </c>
      <c r="G9" s="49" t="s">
        <v>1011</v>
      </c>
      <c r="H9" s="49" t="s">
        <v>278</v>
      </c>
      <c r="I9" s="534">
        <v>951222404</v>
      </c>
      <c r="J9" s="49" t="s">
        <v>1012</v>
      </c>
      <c r="K9" s="535">
        <v>46055</v>
      </c>
      <c r="L9" s="49" t="s">
        <v>376</v>
      </c>
      <c r="M9" s="555" t="s">
        <v>230</v>
      </c>
      <c r="N9" s="49" t="s">
        <v>317</v>
      </c>
      <c r="O9" s="437">
        <v>46091</v>
      </c>
      <c r="P9" s="539" t="s">
        <v>1013</v>
      </c>
      <c r="Q9" s="825">
        <v>46082</v>
      </c>
      <c r="R9" s="535" t="s">
        <v>318</v>
      </c>
      <c r="S9" s="49"/>
      <c r="T9" s="49"/>
      <c r="U9" s="49"/>
      <c r="V9" s="51"/>
      <c r="W9" s="49"/>
      <c r="X9" s="49"/>
      <c r="Y9" s="49"/>
      <c r="Z9" s="51"/>
      <c r="AA9" s="49"/>
      <c r="AB9" s="49"/>
      <c r="AC9" s="49"/>
      <c r="AD9" s="91"/>
      <c r="AE9" s="91"/>
      <c r="AF9" s="91"/>
      <c r="AG9" s="91"/>
    </row>
    <row r="10" spans="1:33">
      <c r="A10" s="535"/>
      <c r="B10" s="534">
        <v>8</v>
      </c>
      <c r="C10" s="534">
        <v>69034</v>
      </c>
      <c r="D10" s="534">
        <v>15860622</v>
      </c>
      <c r="E10" s="50" t="s">
        <v>1014</v>
      </c>
      <c r="F10" s="534">
        <v>52</v>
      </c>
      <c r="G10" s="49" t="s">
        <v>1015</v>
      </c>
      <c r="H10" s="49" t="s">
        <v>288</v>
      </c>
      <c r="I10" s="534" t="s">
        <v>1016</v>
      </c>
      <c r="J10" s="49" t="s">
        <v>238</v>
      </c>
      <c r="K10" s="535">
        <v>46055</v>
      </c>
      <c r="L10" s="49" t="s">
        <v>388</v>
      </c>
      <c r="M10" s="555" t="s">
        <v>230</v>
      </c>
      <c r="N10" s="49" t="s">
        <v>655</v>
      </c>
      <c r="O10" s="53">
        <v>46062</v>
      </c>
      <c r="P10" s="534"/>
      <c r="Q10" s="534" t="s">
        <v>1017</v>
      </c>
      <c r="R10" s="534"/>
      <c r="S10" s="49"/>
      <c r="T10" s="49"/>
      <c r="U10" s="49"/>
      <c r="V10" s="49"/>
      <c r="W10" s="49"/>
      <c r="X10" s="49"/>
      <c r="Y10" s="49"/>
      <c r="Z10" s="49"/>
      <c r="AA10" s="49"/>
      <c r="AB10" s="49"/>
      <c r="AC10" s="49"/>
      <c r="AD10" s="91"/>
      <c r="AE10" s="91"/>
      <c r="AF10" s="91"/>
      <c r="AG10" s="91"/>
    </row>
    <row r="11" spans="1:33">
      <c r="A11" s="534"/>
      <c r="B11" s="534">
        <v>9</v>
      </c>
      <c r="C11" s="534">
        <v>522523</v>
      </c>
      <c r="D11" s="572" t="s">
        <v>1018</v>
      </c>
      <c r="E11" s="50" t="s">
        <v>1019</v>
      </c>
      <c r="F11" s="534">
        <v>68</v>
      </c>
      <c r="G11" s="49" t="s">
        <v>1020</v>
      </c>
      <c r="H11" s="49" t="s">
        <v>461</v>
      </c>
      <c r="I11" s="534" t="s">
        <v>1021</v>
      </c>
      <c r="J11" s="49" t="s">
        <v>162</v>
      </c>
      <c r="K11" s="535">
        <v>46055</v>
      </c>
      <c r="L11" s="49" t="s">
        <v>1022</v>
      </c>
      <c r="M11" s="555" t="s">
        <v>230</v>
      </c>
      <c r="N11" s="49" t="s">
        <v>317</v>
      </c>
      <c r="O11" s="53">
        <v>46062</v>
      </c>
      <c r="P11" s="566" t="s">
        <v>1023</v>
      </c>
      <c r="Q11" s="471" t="s">
        <v>358</v>
      </c>
      <c r="R11" s="534"/>
      <c r="S11" s="49"/>
      <c r="T11" s="49"/>
      <c r="U11" s="49"/>
      <c r="V11" s="51"/>
      <c r="W11" s="450"/>
      <c r="X11" s="49"/>
      <c r="Y11" s="49"/>
      <c r="Z11" s="51"/>
      <c r="AA11" s="49"/>
      <c r="AB11" s="49"/>
      <c r="AC11" s="49"/>
      <c r="AD11" s="91"/>
      <c r="AE11" s="91"/>
      <c r="AF11" s="91"/>
      <c r="AG11" s="91"/>
    </row>
    <row r="12" spans="1:33">
      <c r="A12" s="534"/>
      <c r="B12" s="534">
        <v>10</v>
      </c>
      <c r="C12" s="534">
        <v>128546</v>
      </c>
      <c r="D12" s="534">
        <v>41504581</v>
      </c>
      <c r="E12" s="50" t="s">
        <v>1024</v>
      </c>
      <c r="F12" s="534">
        <v>54</v>
      </c>
      <c r="G12" s="49" t="s">
        <v>1025</v>
      </c>
      <c r="H12" s="49" t="s">
        <v>278</v>
      </c>
      <c r="I12" s="534" t="s">
        <v>1026</v>
      </c>
      <c r="J12" s="49" t="s">
        <v>384</v>
      </c>
      <c r="K12" s="535">
        <v>46055</v>
      </c>
      <c r="L12" s="49" t="s">
        <v>376</v>
      </c>
      <c r="M12" s="555" t="s">
        <v>230</v>
      </c>
      <c r="N12" s="49" t="s">
        <v>317</v>
      </c>
      <c r="O12" s="437">
        <v>46065</v>
      </c>
      <c r="P12" s="539" t="s">
        <v>292</v>
      </c>
      <c r="Q12" s="802">
        <v>46082</v>
      </c>
      <c r="R12" s="808">
        <v>46082</v>
      </c>
      <c r="S12" s="49"/>
      <c r="T12" s="49"/>
      <c r="U12" s="49"/>
      <c r="V12" s="49"/>
      <c r="W12" s="49"/>
      <c r="X12" s="49"/>
      <c r="Y12" s="49"/>
      <c r="Z12" s="49"/>
      <c r="AA12" s="49"/>
      <c r="AB12" s="49"/>
      <c r="AC12" s="49"/>
      <c r="AD12" s="91"/>
      <c r="AE12" s="91"/>
      <c r="AF12" s="91"/>
      <c r="AG12" s="91"/>
    </row>
    <row r="13" spans="1:33">
      <c r="A13" s="534"/>
      <c r="B13" s="534">
        <v>11</v>
      </c>
      <c r="C13" s="534">
        <v>236765</v>
      </c>
      <c r="D13" s="534">
        <v>42409072</v>
      </c>
      <c r="E13" s="50" t="s">
        <v>1027</v>
      </c>
      <c r="F13" s="534">
        <v>44</v>
      </c>
      <c r="G13" s="49" t="s">
        <v>1028</v>
      </c>
      <c r="H13" s="49" t="s">
        <v>222</v>
      </c>
      <c r="I13" s="534" t="s">
        <v>1029</v>
      </c>
      <c r="J13" s="49" t="s">
        <v>283</v>
      </c>
      <c r="K13" s="535">
        <v>46055</v>
      </c>
      <c r="L13" s="49" t="s">
        <v>376</v>
      </c>
      <c r="M13" s="555" t="s">
        <v>230</v>
      </c>
      <c r="N13" s="49" t="s">
        <v>317</v>
      </c>
      <c r="O13" s="437">
        <v>46065</v>
      </c>
      <c r="P13" s="539" t="s">
        <v>292</v>
      </c>
      <c r="Q13" s="825">
        <v>46082</v>
      </c>
      <c r="R13" s="534" t="s">
        <v>318</v>
      </c>
      <c r="S13" s="49"/>
      <c r="T13" s="49"/>
      <c r="U13" s="49"/>
      <c r="V13" s="49"/>
      <c r="W13" s="49"/>
      <c r="X13" s="49"/>
      <c r="Y13" s="49"/>
      <c r="Z13" s="49"/>
      <c r="AA13" s="49"/>
      <c r="AB13" s="49"/>
      <c r="AC13" s="49"/>
      <c r="AD13" s="91"/>
      <c r="AE13" s="91"/>
      <c r="AF13" s="91"/>
      <c r="AG13" s="91"/>
    </row>
    <row r="14" spans="1:33">
      <c r="A14" s="534"/>
      <c r="B14" s="534">
        <v>12</v>
      </c>
      <c r="C14" s="534">
        <v>32110</v>
      </c>
      <c r="D14" s="534">
        <v>44309290</v>
      </c>
      <c r="E14" s="50" t="s">
        <v>1030</v>
      </c>
      <c r="F14" s="534">
        <v>40</v>
      </c>
      <c r="G14" s="49" t="s">
        <v>1031</v>
      </c>
      <c r="H14" s="49" t="s">
        <v>222</v>
      </c>
      <c r="I14" s="534" t="s">
        <v>1032</v>
      </c>
      <c r="J14" s="49" t="s">
        <v>283</v>
      </c>
      <c r="K14" s="535">
        <v>46055</v>
      </c>
      <c r="L14" s="49" t="s">
        <v>376</v>
      </c>
      <c r="M14" s="555" t="s">
        <v>230</v>
      </c>
      <c r="N14" s="49" t="s">
        <v>317</v>
      </c>
      <c r="O14" s="437">
        <v>46065</v>
      </c>
      <c r="P14" s="539" t="s">
        <v>292</v>
      </c>
      <c r="Q14" s="825">
        <v>46082</v>
      </c>
      <c r="R14" s="534" t="s">
        <v>318</v>
      </c>
      <c r="S14" s="49"/>
      <c r="T14" s="49"/>
      <c r="U14" s="49"/>
      <c r="V14" s="49"/>
      <c r="W14" s="49"/>
      <c r="X14" s="49"/>
      <c r="Y14" s="49"/>
      <c r="Z14" s="49"/>
      <c r="AA14" s="49"/>
      <c r="AB14" s="49"/>
      <c r="AC14" s="49"/>
      <c r="AD14" s="91"/>
      <c r="AE14" s="91"/>
      <c r="AF14" s="91"/>
      <c r="AG14" s="91"/>
    </row>
    <row r="15" spans="1:33">
      <c r="A15" s="536"/>
      <c r="B15" s="534">
        <v>13</v>
      </c>
      <c r="C15" s="536">
        <v>522525</v>
      </c>
      <c r="D15" s="536">
        <v>80116128</v>
      </c>
      <c r="E15" s="212" t="s">
        <v>1033</v>
      </c>
      <c r="F15" s="536">
        <v>50</v>
      </c>
      <c r="G15" s="59" t="s">
        <v>1034</v>
      </c>
      <c r="H15" s="59" t="s">
        <v>461</v>
      </c>
      <c r="I15" s="536" t="s">
        <v>1035</v>
      </c>
      <c r="J15" s="59" t="s">
        <v>162</v>
      </c>
      <c r="K15" s="591">
        <v>46055</v>
      </c>
      <c r="L15" s="59" t="s">
        <v>1036</v>
      </c>
      <c r="M15" s="536" t="s">
        <v>323</v>
      </c>
      <c r="N15" s="59" t="s">
        <v>241</v>
      </c>
      <c r="O15" s="438">
        <v>46062</v>
      </c>
      <c r="P15" s="612" t="s">
        <v>1023</v>
      </c>
      <c r="Q15" s="471" t="s">
        <v>358</v>
      </c>
      <c r="R15" s="536"/>
      <c r="S15" s="59"/>
      <c r="T15" s="59"/>
      <c r="U15" s="59"/>
      <c r="V15" s="59"/>
      <c r="W15" s="59"/>
      <c r="X15" s="59"/>
      <c r="Y15" s="59"/>
      <c r="Z15" s="59"/>
      <c r="AA15" s="59"/>
      <c r="AB15" s="59"/>
      <c r="AC15" s="59"/>
      <c r="AD15" s="91"/>
      <c r="AE15" s="91"/>
      <c r="AF15" s="91"/>
      <c r="AG15" s="91"/>
    </row>
    <row r="16" spans="1:33">
      <c r="A16" s="534"/>
      <c r="B16" s="534">
        <v>14</v>
      </c>
      <c r="C16" s="534">
        <v>5225274</v>
      </c>
      <c r="D16" s="534">
        <v>15747880</v>
      </c>
      <c r="E16" s="50" t="s">
        <v>1037</v>
      </c>
      <c r="F16" s="534">
        <v>56</v>
      </c>
      <c r="G16" s="49" t="s">
        <v>1038</v>
      </c>
      <c r="H16" s="49" t="s">
        <v>1039</v>
      </c>
      <c r="I16" s="534">
        <v>917735123</v>
      </c>
      <c r="J16" s="49" t="s">
        <v>162</v>
      </c>
      <c r="K16" s="535">
        <v>46055</v>
      </c>
      <c r="L16" s="49" t="s">
        <v>1040</v>
      </c>
      <c r="M16" s="555" t="s">
        <v>230</v>
      </c>
      <c r="N16" s="49" t="s">
        <v>317</v>
      </c>
      <c r="O16" s="53">
        <v>46062</v>
      </c>
      <c r="P16" s="566" t="s">
        <v>1023</v>
      </c>
      <c r="Q16" s="471" t="s">
        <v>358</v>
      </c>
      <c r="R16" s="534"/>
      <c r="S16" s="49"/>
      <c r="T16" s="49"/>
      <c r="U16" s="49"/>
      <c r="V16" s="49"/>
      <c r="W16" s="49"/>
      <c r="X16" s="49"/>
      <c r="Y16" s="49"/>
      <c r="Z16" s="49"/>
      <c r="AA16" s="49"/>
      <c r="AB16" s="49"/>
      <c r="AC16" s="49"/>
      <c r="AD16" s="91"/>
      <c r="AE16" s="91"/>
      <c r="AF16" s="91"/>
      <c r="AG16" s="91"/>
    </row>
    <row r="17" spans="1:33">
      <c r="A17" s="534"/>
      <c r="B17" s="534">
        <v>15</v>
      </c>
      <c r="C17" s="534">
        <v>140430</v>
      </c>
      <c r="D17" s="534">
        <v>46513083</v>
      </c>
      <c r="E17" s="50" t="s">
        <v>1041</v>
      </c>
      <c r="F17" s="534">
        <v>56</v>
      </c>
      <c r="G17" s="49" t="s">
        <v>1042</v>
      </c>
      <c r="H17" s="49" t="s">
        <v>278</v>
      </c>
      <c r="I17" s="534">
        <v>944912384</v>
      </c>
      <c r="J17" s="49" t="s">
        <v>238</v>
      </c>
      <c r="K17" s="535">
        <v>46055</v>
      </c>
      <c r="L17" s="49" t="s">
        <v>1040</v>
      </c>
      <c r="M17" s="555" t="s">
        <v>230</v>
      </c>
      <c r="N17" s="49" t="s">
        <v>317</v>
      </c>
      <c r="O17" s="53">
        <v>46062</v>
      </c>
      <c r="P17" s="826">
        <v>46082</v>
      </c>
      <c r="Q17" s="631" t="s">
        <v>318</v>
      </c>
      <c r="R17" s="546"/>
      <c r="S17" s="49"/>
      <c r="T17" s="49"/>
      <c r="U17" s="49"/>
      <c r="V17" s="49"/>
      <c r="W17" s="49"/>
      <c r="X17" s="49"/>
      <c r="Y17" s="49"/>
      <c r="Z17" s="49"/>
      <c r="AA17" s="49"/>
      <c r="AB17" s="49"/>
      <c r="AC17" s="49"/>
      <c r="AD17" s="91"/>
      <c r="AE17" s="91"/>
      <c r="AF17" s="91"/>
      <c r="AG17" s="91"/>
    </row>
    <row r="18" spans="1:33">
      <c r="A18" s="536"/>
      <c r="B18" s="534">
        <v>16</v>
      </c>
      <c r="C18" s="536">
        <v>43133</v>
      </c>
      <c r="D18" s="536" t="s">
        <v>1043</v>
      </c>
      <c r="E18" s="212" t="s">
        <v>1044</v>
      </c>
      <c r="F18" s="536">
        <v>40</v>
      </c>
      <c r="G18" s="59" t="s">
        <v>1045</v>
      </c>
      <c r="H18" s="59" t="s">
        <v>1046</v>
      </c>
      <c r="I18" s="536">
        <v>917054199</v>
      </c>
      <c r="J18" s="59" t="s">
        <v>238</v>
      </c>
      <c r="K18" s="591">
        <v>46055</v>
      </c>
      <c r="L18" s="59" t="s">
        <v>1047</v>
      </c>
      <c r="M18" s="536" t="s">
        <v>323</v>
      </c>
      <c r="N18" s="59" t="s">
        <v>241</v>
      </c>
      <c r="O18" s="438">
        <v>46066</v>
      </c>
      <c r="P18" s="536"/>
      <c r="Q18" s="536" t="s">
        <v>794</v>
      </c>
      <c r="R18" s="612"/>
      <c r="S18" s="59"/>
      <c r="T18" s="59"/>
      <c r="U18" s="59"/>
      <c r="V18" s="59"/>
      <c r="W18" s="59"/>
      <c r="X18" s="59"/>
      <c r="Y18" s="59"/>
      <c r="Z18" s="59"/>
      <c r="AA18" s="59"/>
      <c r="AB18" s="59"/>
      <c r="AC18" s="59"/>
      <c r="AD18" s="91"/>
      <c r="AE18" s="91"/>
      <c r="AF18" s="91"/>
      <c r="AG18" s="91"/>
    </row>
    <row r="19" spans="1:33">
      <c r="A19" s="534"/>
      <c r="B19" s="534">
        <v>17</v>
      </c>
      <c r="C19" s="534">
        <v>162294</v>
      </c>
      <c r="D19" s="534">
        <v>32402902</v>
      </c>
      <c r="E19" s="50" t="s">
        <v>1048</v>
      </c>
      <c r="F19" s="534">
        <v>54</v>
      </c>
      <c r="G19" s="49" t="s">
        <v>1049</v>
      </c>
      <c r="H19" s="49" t="s">
        <v>301</v>
      </c>
      <c r="I19" s="534">
        <v>933943554</v>
      </c>
      <c r="J19" s="49" t="s">
        <v>164</v>
      </c>
      <c r="K19" s="535">
        <v>46055</v>
      </c>
      <c r="L19" s="49" t="s">
        <v>1040</v>
      </c>
      <c r="M19" s="555" t="s">
        <v>230</v>
      </c>
      <c r="N19" s="49" t="s">
        <v>317</v>
      </c>
      <c r="O19" s="53">
        <v>46062</v>
      </c>
      <c r="P19" s="539" t="s">
        <v>512</v>
      </c>
      <c r="Q19" s="471" t="s">
        <v>358</v>
      </c>
      <c r="R19" s="546"/>
      <c r="S19" s="49"/>
      <c r="T19" s="49"/>
      <c r="U19" s="49"/>
      <c r="V19" s="49"/>
      <c r="W19" s="49"/>
      <c r="X19" s="49"/>
      <c r="Y19" s="49"/>
      <c r="Z19" s="49"/>
      <c r="AA19" s="49"/>
      <c r="AB19" s="49"/>
      <c r="AC19" s="49"/>
      <c r="AD19" s="91"/>
      <c r="AE19" s="91"/>
      <c r="AF19" s="91"/>
      <c r="AG19" s="91"/>
    </row>
    <row r="20" spans="1:33">
      <c r="A20" s="536"/>
      <c r="B20" s="534">
        <v>18</v>
      </c>
      <c r="C20" s="536">
        <v>199627</v>
      </c>
      <c r="D20" s="536">
        <v>15584245</v>
      </c>
      <c r="E20" s="212" t="s">
        <v>1050</v>
      </c>
      <c r="F20" s="536">
        <v>65</v>
      </c>
      <c r="G20" s="59" t="s">
        <v>1051</v>
      </c>
      <c r="H20" s="59" t="s">
        <v>278</v>
      </c>
      <c r="I20" s="536" t="s">
        <v>1052</v>
      </c>
      <c r="J20" s="59" t="s">
        <v>238</v>
      </c>
      <c r="K20" s="591">
        <v>46055</v>
      </c>
      <c r="L20" s="59" t="s">
        <v>1053</v>
      </c>
      <c r="M20" s="536" t="s">
        <v>323</v>
      </c>
      <c r="N20" s="59" t="s">
        <v>241</v>
      </c>
      <c r="O20" s="438">
        <v>46062</v>
      </c>
      <c r="P20" s="536"/>
      <c r="Q20" s="536" t="s">
        <v>996</v>
      </c>
      <c r="R20" s="612"/>
      <c r="S20" s="59"/>
      <c r="T20" s="59"/>
      <c r="U20" s="59"/>
      <c r="V20" s="59"/>
      <c r="W20" s="59"/>
      <c r="X20" s="59"/>
      <c r="Y20" s="59"/>
      <c r="Z20" s="59"/>
      <c r="AA20" s="59"/>
      <c r="AB20" s="59"/>
      <c r="AC20" s="59"/>
      <c r="AD20" s="91"/>
      <c r="AE20" s="91"/>
      <c r="AF20" s="91"/>
      <c r="AG20" s="91"/>
    </row>
    <row r="21" spans="1:33">
      <c r="A21" s="534"/>
      <c r="B21" s="534">
        <v>19</v>
      </c>
      <c r="C21" s="534">
        <v>522529</v>
      </c>
      <c r="D21" s="534">
        <v>40380611</v>
      </c>
      <c r="E21" s="50" t="s">
        <v>1054</v>
      </c>
      <c r="F21" s="534">
        <v>47</v>
      </c>
      <c r="G21" s="49"/>
      <c r="H21" s="49"/>
      <c r="I21" s="534" t="s">
        <v>1055</v>
      </c>
      <c r="J21" s="49" t="s">
        <v>164</v>
      </c>
      <c r="K21" s="535">
        <v>46055</v>
      </c>
      <c r="L21" s="49" t="s">
        <v>1040</v>
      </c>
      <c r="M21" s="555" t="s">
        <v>230</v>
      </c>
      <c r="N21" s="49" t="s">
        <v>317</v>
      </c>
      <c r="O21" s="53">
        <v>46062</v>
      </c>
      <c r="P21" s="539" t="s">
        <v>512</v>
      </c>
      <c r="Q21" s="471" t="s">
        <v>358</v>
      </c>
      <c r="R21" s="546"/>
      <c r="S21" s="49"/>
      <c r="T21" s="49"/>
      <c r="U21" s="49"/>
      <c r="V21" s="49"/>
      <c r="W21" s="49"/>
      <c r="X21" s="49"/>
      <c r="Y21" s="49"/>
      <c r="Z21" s="49"/>
      <c r="AA21" s="49"/>
      <c r="AB21" s="49"/>
      <c r="AC21" s="49"/>
      <c r="AD21" s="91"/>
      <c r="AE21" s="91"/>
      <c r="AF21" s="91"/>
      <c r="AG21" s="91"/>
    </row>
    <row r="22" spans="1:33">
      <c r="A22" s="534"/>
      <c r="B22" s="534">
        <v>20</v>
      </c>
      <c r="C22" s="534">
        <v>12147</v>
      </c>
      <c r="D22" s="534" t="s">
        <v>1056</v>
      </c>
      <c r="E22" s="50" t="s">
        <v>1057</v>
      </c>
      <c r="F22" s="534">
        <v>49</v>
      </c>
      <c r="G22" s="49" t="s">
        <v>1058</v>
      </c>
      <c r="H22" s="49" t="s">
        <v>278</v>
      </c>
      <c r="I22" s="534">
        <v>987627187</v>
      </c>
      <c r="J22" s="49" t="s">
        <v>238</v>
      </c>
      <c r="K22" s="535">
        <v>46055</v>
      </c>
      <c r="L22" s="49" t="s">
        <v>1059</v>
      </c>
      <c r="M22" s="534" t="s">
        <v>260</v>
      </c>
      <c r="N22" s="49" t="s">
        <v>241</v>
      </c>
      <c r="O22" s="53">
        <v>46066</v>
      </c>
      <c r="P22" s="546"/>
      <c r="Q22" s="824" t="s">
        <v>334</v>
      </c>
      <c r="R22" s="597">
        <v>46055</v>
      </c>
      <c r="S22" s="49" t="s">
        <v>1060</v>
      </c>
      <c r="T22" s="49" t="s">
        <v>230</v>
      </c>
      <c r="U22" s="49" t="s">
        <v>1061</v>
      </c>
      <c r="V22" s="49"/>
      <c r="W22" s="49"/>
      <c r="X22" s="49"/>
      <c r="Y22" s="49"/>
      <c r="Z22" s="49"/>
      <c r="AA22" s="49"/>
      <c r="AB22" s="49"/>
      <c r="AC22" s="49"/>
      <c r="AD22" s="91"/>
      <c r="AE22" s="91"/>
      <c r="AF22" s="91"/>
      <c r="AG22" s="91"/>
    </row>
    <row r="23" spans="1:33">
      <c r="A23" s="534"/>
      <c r="B23" s="534">
        <v>21</v>
      </c>
      <c r="C23" s="534">
        <v>310484</v>
      </c>
      <c r="D23" s="534">
        <v>41245669</v>
      </c>
      <c r="E23" s="50" t="s">
        <v>1062</v>
      </c>
      <c r="F23" s="534">
        <v>43</v>
      </c>
      <c r="G23" s="49" t="s">
        <v>1063</v>
      </c>
      <c r="H23" s="49" t="s">
        <v>278</v>
      </c>
      <c r="I23" s="534">
        <v>960150333</v>
      </c>
      <c r="J23" s="49" t="s">
        <v>164</v>
      </c>
      <c r="K23" s="535">
        <v>46055</v>
      </c>
      <c r="L23" s="49" t="s">
        <v>1064</v>
      </c>
      <c r="M23" s="555" t="s">
        <v>230</v>
      </c>
      <c r="N23" s="49" t="s">
        <v>241</v>
      </c>
      <c r="O23" s="53">
        <v>46062</v>
      </c>
      <c r="P23" s="539" t="s">
        <v>512</v>
      </c>
      <c r="Q23" s="471" t="s">
        <v>358</v>
      </c>
      <c r="R23" s="546"/>
      <c r="S23" s="49"/>
      <c r="T23" s="49"/>
      <c r="U23" s="49"/>
      <c r="V23" s="49"/>
      <c r="W23" s="49"/>
      <c r="X23" s="49"/>
      <c r="Y23" s="49"/>
      <c r="Z23" s="49"/>
      <c r="AA23" s="49"/>
      <c r="AB23" s="49"/>
      <c r="AC23" s="49"/>
      <c r="AD23" s="91"/>
      <c r="AE23" s="91"/>
      <c r="AF23" s="91"/>
      <c r="AG23" s="91"/>
    </row>
    <row r="24" spans="1:33">
      <c r="A24" s="536"/>
      <c r="B24" s="534">
        <v>22</v>
      </c>
      <c r="C24" s="536">
        <v>522535</v>
      </c>
      <c r="D24" s="536">
        <v>46057737</v>
      </c>
      <c r="E24" s="212" t="s">
        <v>1065</v>
      </c>
      <c r="F24" s="536">
        <v>40</v>
      </c>
      <c r="G24" s="59" t="s">
        <v>1066</v>
      </c>
      <c r="H24" s="59" t="s">
        <v>1039</v>
      </c>
      <c r="I24" s="536">
        <v>999182120</v>
      </c>
      <c r="J24" s="59" t="s">
        <v>162</v>
      </c>
      <c r="K24" s="591">
        <v>46055</v>
      </c>
      <c r="L24" s="59" t="s">
        <v>1067</v>
      </c>
      <c r="M24" s="536" t="s">
        <v>323</v>
      </c>
      <c r="N24" s="59" t="s">
        <v>241</v>
      </c>
      <c r="O24" s="438">
        <v>46062</v>
      </c>
      <c r="P24" s="612" t="s">
        <v>1023</v>
      </c>
      <c r="Q24" s="471" t="s">
        <v>358</v>
      </c>
      <c r="R24" s="612"/>
      <c r="S24" s="59"/>
      <c r="T24" s="59"/>
      <c r="U24" s="59"/>
      <c r="V24" s="59"/>
      <c r="W24" s="59"/>
      <c r="X24" s="59"/>
      <c r="Y24" s="59"/>
      <c r="Z24" s="59"/>
      <c r="AA24" s="59"/>
      <c r="AB24" s="59"/>
      <c r="AC24" s="59"/>
      <c r="AD24" s="91"/>
      <c r="AE24" s="91"/>
      <c r="AF24" s="91"/>
      <c r="AG24" s="91"/>
    </row>
    <row r="25" spans="1:33">
      <c r="A25" s="537" t="s">
        <v>513</v>
      </c>
      <c r="B25" s="534">
        <v>23</v>
      </c>
      <c r="C25" s="545">
        <v>522549</v>
      </c>
      <c r="D25" s="545">
        <v>16011422</v>
      </c>
      <c r="E25" s="57" t="s">
        <v>1068</v>
      </c>
      <c r="F25" s="545">
        <v>50</v>
      </c>
      <c r="G25" s="56" t="s">
        <v>1069</v>
      </c>
      <c r="H25" s="56" t="s">
        <v>1070</v>
      </c>
      <c r="I25" s="545">
        <v>9950684508</v>
      </c>
      <c r="J25" s="56" t="s">
        <v>164</v>
      </c>
      <c r="K25" s="592">
        <v>46055</v>
      </c>
      <c r="L25" s="56" t="s">
        <v>1071</v>
      </c>
      <c r="M25" s="545" t="s">
        <v>256</v>
      </c>
      <c r="N25" s="56" t="s">
        <v>241</v>
      </c>
      <c r="O25" s="439">
        <v>46062</v>
      </c>
      <c r="P25" s="545" t="s">
        <v>512</v>
      </c>
      <c r="Q25" s="471" t="s">
        <v>358</v>
      </c>
      <c r="R25" s="614"/>
      <c r="S25" s="56"/>
      <c r="T25" s="56"/>
      <c r="U25" s="56"/>
      <c r="V25" s="56"/>
      <c r="W25" s="56"/>
      <c r="X25" s="56"/>
      <c r="Y25" s="56"/>
      <c r="Z25" s="56"/>
      <c r="AA25" s="56"/>
      <c r="AB25" s="56"/>
      <c r="AC25" s="56"/>
      <c r="AD25" s="91"/>
      <c r="AE25" s="91"/>
      <c r="AF25" s="91"/>
      <c r="AG25" s="91"/>
    </row>
    <row r="26" spans="1:33">
      <c r="A26" s="534"/>
      <c r="B26" s="534">
        <v>24</v>
      </c>
      <c r="C26" s="534">
        <v>267632</v>
      </c>
      <c r="D26" s="534">
        <v>43805565</v>
      </c>
      <c r="E26" s="50" t="s">
        <v>1072</v>
      </c>
      <c r="F26" s="534">
        <v>41</v>
      </c>
      <c r="G26" s="49" t="s">
        <v>1073</v>
      </c>
      <c r="H26" s="49" t="s">
        <v>278</v>
      </c>
      <c r="I26" s="534">
        <v>997658437</v>
      </c>
      <c r="J26" s="49" t="s">
        <v>238</v>
      </c>
      <c r="K26" s="535">
        <v>46055</v>
      </c>
      <c r="L26" s="49" t="s">
        <v>913</v>
      </c>
      <c r="M26" s="555" t="s">
        <v>230</v>
      </c>
      <c r="N26" s="49" t="s">
        <v>655</v>
      </c>
      <c r="O26" s="53">
        <v>46062</v>
      </c>
      <c r="P26" s="546"/>
      <c r="Q26" s="632"/>
      <c r="R26" s="546"/>
      <c r="S26" s="49"/>
      <c r="T26" s="49"/>
      <c r="U26" s="49"/>
      <c r="V26" s="49"/>
      <c r="W26" s="49"/>
      <c r="X26" s="49"/>
      <c r="Y26" s="49"/>
      <c r="Z26" s="49"/>
      <c r="AA26" s="49"/>
      <c r="AB26" s="49"/>
      <c r="AC26" s="49"/>
      <c r="AD26" s="91"/>
      <c r="AE26" s="91"/>
      <c r="AF26" s="91"/>
      <c r="AG26" s="91"/>
    </row>
    <row r="27" spans="1:33">
      <c r="A27" s="534"/>
      <c r="B27" s="534">
        <v>25</v>
      </c>
      <c r="C27" s="534">
        <v>389103</v>
      </c>
      <c r="D27" s="534">
        <v>15430979</v>
      </c>
      <c r="E27" s="50" t="s">
        <v>1074</v>
      </c>
      <c r="F27" s="534">
        <v>51</v>
      </c>
      <c r="G27" s="49" t="s">
        <v>1075</v>
      </c>
      <c r="H27" s="49" t="s">
        <v>1076</v>
      </c>
      <c r="I27" s="534">
        <v>950849865</v>
      </c>
      <c r="J27" s="49" t="s">
        <v>384</v>
      </c>
      <c r="K27" s="535">
        <v>46055</v>
      </c>
      <c r="L27" s="49" t="s">
        <v>1022</v>
      </c>
      <c r="M27" s="555" t="s">
        <v>230</v>
      </c>
      <c r="N27" s="49" t="s">
        <v>317</v>
      </c>
      <c r="O27" s="437">
        <v>46065</v>
      </c>
      <c r="P27" s="539" t="s">
        <v>292</v>
      </c>
      <c r="Q27" s="802">
        <v>46082</v>
      </c>
      <c r="R27" s="808">
        <v>46082</v>
      </c>
      <c r="S27" s="49"/>
      <c r="T27" s="49"/>
      <c r="U27" s="49"/>
      <c r="V27" s="49"/>
      <c r="W27" s="49"/>
      <c r="X27" s="49"/>
      <c r="Y27" s="49"/>
      <c r="Z27" s="49"/>
      <c r="AA27" s="49"/>
      <c r="AB27" s="49"/>
      <c r="AC27" s="49"/>
      <c r="AD27" s="91"/>
      <c r="AE27" s="91"/>
      <c r="AF27" s="91"/>
      <c r="AG27" s="91"/>
    </row>
    <row r="28" spans="1:33">
      <c r="A28" s="534"/>
      <c r="B28" s="534">
        <v>26</v>
      </c>
      <c r="C28" s="534">
        <v>236425</v>
      </c>
      <c r="D28" s="534">
        <v>15643839</v>
      </c>
      <c r="E28" s="50" t="s">
        <v>1077</v>
      </c>
      <c r="F28" s="534">
        <v>61</v>
      </c>
      <c r="G28" s="49" t="s">
        <v>1078</v>
      </c>
      <c r="H28" s="49" t="s">
        <v>222</v>
      </c>
      <c r="I28" s="534" t="s">
        <v>1079</v>
      </c>
      <c r="J28" s="49" t="s">
        <v>223</v>
      </c>
      <c r="K28" s="535">
        <v>46055</v>
      </c>
      <c r="L28" s="49" t="s">
        <v>1080</v>
      </c>
      <c r="M28" s="534" t="s">
        <v>260</v>
      </c>
      <c r="N28" s="49" t="s">
        <v>241</v>
      </c>
      <c r="O28" s="437">
        <v>46065</v>
      </c>
      <c r="P28" s="539" t="s">
        <v>292</v>
      </c>
      <c r="Q28" s="802">
        <v>46082</v>
      </c>
      <c r="R28" s="806" t="s">
        <v>228</v>
      </c>
      <c r="S28" s="49"/>
      <c r="T28" s="49"/>
      <c r="U28" s="49"/>
      <c r="V28" s="49"/>
      <c r="W28" s="49"/>
      <c r="X28" s="49"/>
      <c r="Y28" s="49"/>
      <c r="Z28" s="49"/>
      <c r="AA28" s="49"/>
      <c r="AB28" s="49"/>
      <c r="AC28" s="49"/>
      <c r="AD28" s="91"/>
      <c r="AE28" s="91"/>
      <c r="AF28" s="91"/>
      <c r="AG28" s="91"/>
    </row>
    <row r="29" spans="1:33">
      <c r="A29" s="534"/>
      <c r="B29" s="534">
        <v>27</v>
      </c>
      <c r="C29" s="534">
        <v>113036</v>
      </c>
      <c r="D29" s="534">
        <v>41630500</v>
      </c>
      <c r="E29" s="50" t="s">
        <v>1081</v>
      </c>
      <c r="F29" s="534">
        <v>42</v>
      </c>
      <c r="G29" s="49" t="s">
        <v>1082</v>
      </c>
      <c r="H29" s="49" t="s">
        <v>278</v>
      </c>
      <c r="I29" s="534">
        <v>946284836</v>
      </c>
      <c r="J29" s="49" t="s">
        <v>384</v>
      </c>
      <c r="K29" s="535">
        <v>46055</v>
      </c>
      <c r="L29" s="49" t="s">
        <v>1083</v>
      </c>
      <c r="M29" s="534" t="s">
        <v>260</v>
      </c>
      <c r="N29" s="49" t="s">
        <v>241</v>
      </c>
      <c r="O29" s="437">
        <v>46065</v>
      </c>
      <c r="P29" s="539" t="s">
        <v>292</v>
      </c>
      <c r="Q29" s="802">
        <v>46082</v>
      </c>
      <c r="R29" s="808">
        <v>46082</v>
      </c>
      <c r="S29" s="49"/>
      <c r="T29" s="49"/>
      <c r="U29" s="49"/>
      <c r="V29" s="49"/>
      <c r="W29" s="49"/>
      <c r="X29" s="49"/>
      <c r="Y29" s="49"/>
      <c r="Z29" s="49"/>
      <c r="AA29" s="49"/>
      <c r="AB29" s="49"/>
      <c r="AC29" s="49"/>
      <c r="AD29" s="91"/>
      <c r="AE29" s="91"/>
      <c r="AF29" s="91"/>
      <c r="AG29" s="91"/>
    </row>
    <row r="30" spans="1:33">
      <c r="A30" s="534"/>
      <c r="B30" s="534">
        <v>28</v>
      </c>
      <c r="C30" s="534">
        <v>522469</v>
      </c>
      <c r="D30" s="534">
        <v>41580173</v>
      </c>
      <c r="E30" s="50" t="s">
        <v>1084</v>
      </c>
      <c r="F30" s="534">
        <v>43</v>
      </c>
      <c r="G30" s="49" t="s">
        <v>1085</v>
      </c>
      <c r="H30" s="49" t="s">
        <v>1039</v>
      </c>
      <c r="I30" s="534">
        <v>927102958</v>
      </c>
      <c r="J30" s="49" t="s">
        <v>162</v>
      </c>
      <c r="K30" s="535">
        <v>46052</v>
      </c>
      <c r="L30" s="49" t="s">
        <v>1086</v>
      </c>
      <c r="M30" s="534" t="s">
        <v>260</v>
      </c>
      <c r="N30" s="49" t="s">
        <v>1087</v>
      </c>
      <c r="O30" s="53">
        <v>46062</v>
      </c>
      <c r="P30" s="566" t="s">
        <v>1023</v>
      </c>
      <c r="Q30" s="471" t="s">
        <v>358</v>
      </c>
      <c r="R30" s="566"/>
      <c r="S30" s="49"/>
      <c r="T30" s="49"/>
      <c r="U30" s="49"/>
      <c r="V30" s="49"/>
      <c r="W30" s="49"/>
      <c r="X30" s="49"/>
      <c r="Y30" s="49"/>
      <c r="Z30" s="49"/>
      <c r="AA30" s="49"/>
      <c r="AB30" s="49"/>
      <c r="AC30" s="49"/>
      <c r="AD30" s="91"/>
      <c r="AE30" s="91"/>
      <c r="AF30" s="91"/>
      <c r="AG30" s="91"/>
    </row>
    <row r="31" spans="1:33">
      <c r="A31" s="534"/>
      <c r="B31" s="534">
        <v>29</v>
      </c>
      <c r="C31" s="534">
        <v>522470</v>
      </c>
      <c r="D31" s="534">
        <v>16010727</v>
      </c>
      <c r="E31" s="50" t="s">
        <v>1088</v>
      </c>
      <c r="F31" s="534">
        <v>50</v>
      </c>
      <c r="G31" s="49" t="s">
        <v>1089</v>
      </c>
      <c r="H31" s="49" t="s">
        <v>1039</v>
      </c>
      <c r="I31" s="534">
        <v>949205184</v>
      </c>
      <c r="J31" s="49" t="s">
        <v>162</v>
      </c>
      <c r="K31" s="535">
        <v>46052</v>
      </c>
      <c r="L31" s="49" t="s">
        <v>1090</v>
      </c>
      <c r="M31" s="555" t="s">
        <v>230</v>
      </c>
      <c r="N31" s="49" t="s">
        <v>241</v>
      </c>
      <c r="O31" s="53">
        <v>46062</v>
      </c>
      <c r="P31" s="566" t="s">
        <v>1023</v>
      </c>
      <c r="Q31" s="471" t="s">
        <v>358</v>
      </c>
      <c r="R31" s="566"/>
      <c r="S31" s="49"/>
      <c r="T31" s="49"/>
      <c r="U31" s="49"/>
      <c r="V31" s="49"/>
      <c r="W31" s="49"/>
      <c r="X31" s="49"/>
      <c r="Y31" s="49"/>
      <c r="Z31" s="49"/>
      <c r="AA31" s="49"/>
      <c r="AB31" s="49"/>
      <c r="AC31" s="49"/>
      <c r="AD31" s="91"/>
      <c r="AE31" s="91"/>
      <c r="AF31" s="91"/>
      <c r="AG31" s="91"/>
    </row>
    <row r="32" spans="1:33">
      <c r="A32" s="534"/>
      <c r="B32" s="534">
        <v>30</v>
      </c>
      <c r="C32" s="534">
        <v>522447</v>
      </c>
      <c r="D32" s="534">
        <v>16018876</v>
      </c>
      <c r="E32" s="50" t="s">
        <v>1091</v>
      </c>
      <c r="F32" s="534">
        <v>69</v>
      </c>
      <c r="G32" s="49" t="s">
        <v>1092</v>
      </c>
      <c r="H32" s="49" t="s">
        <v>1039</v>
      </c>
      <c r="I32" s="534">
        <v>995494644</v>
      </c>
      <c r="J32" s="49" t="s">
        <v>162</v>
      </c>
      <c r="K32" s="535">
        <v>46052</v>
      </c>
      <c r="L32" s="49" t="s">
        <v>1093</v>
      </c>
      <c r="M32" s="534" t="s">
        <v>260</v>
      </c>
      <c r="N32" s="49" t="s">
        <v>241</v>
      </c>
      <c r="O32" s="53">
        <v>46062</v>
      </c>
      <c r="P32" s="566" t="s">
        <v>1023</v>
      </c>
      <c r="Q32" s="471" t="s">
        <v>358</v>
      </c>
      <c r="R32" s="566"/>
      <c r="S32" s="49"/>
      <c r="T32" s="49"/>
      <c r="U32" s="49"/>
      <c r="V32" s="49"/>
      <c r="W32" s="49"/>
      <c r="X32" s="49"/>
      <c r="Y32" s="49"/>
      <c r="Z32" s="49"/>
      <c r="AA32" s="49"/>
      <c r="AB32" s="49"/>
      <c r="AC32" s="49"/>
      <c r="AD32" s="91"/>
      <c r="AE32" s="91"/>
      <c r="AF32" s="91"/>
      <c r="AG32" s="91"/>
    </row>
    <row r="33" spans="1:33">
      <c r="A33" s="534"/>
      <c r="B33" s="534">
        <v>31</v>
      </c>
      <c r="C33" s="534">
        <v>289526</v>
      </c>
      <c r="D33" s="534">
        <v>42908869</v>
      </c>
      <c r="E33" s="50" t="s">
        <v>1094</v>
      </c>
      <c r="F33" s="534">
        <v>41</v>
      </c>
      <c r="G33" s="49" t="s">
        <v>1095</v>
      </c>
      <c r="H33" s="49" t="s">
        <v>301</v>
      </c>
      <c r="I33" s="534">
        <v>989497359</v>
      </c>
      <c r="J33" s="49" t="s">
        <v>162</v>
      </c>
      <c r="K33" s="535">
        <v>46052</v>
      </c>
      <c r="L33" s="49" t="s">
        <v>1040</v>
      </c>
      <c r="M33" s="555" t="s">
        <v>230</v>
      </c>
      <c r="N33" s="49" t="s">
        <v>317</v>
      </c>
      <c r="O33" s="53">
        <v>46062</v>
      </c>
      <c r="P33" s="566" t="s">
        <v>1023</v>
      </c>
      <c r="Q33" s="471" t="s">
        <v>358</v>
      </c>
      <c r="R33" s="566"/>
      <c r="S33" s="49"/>
      <c r="T33" s="49"/>
      <c r="U33" s="49"/>
      <c r="V33" s="49"/>
      <c r="W33" s="49"/>
      <c r="X33" s="49"/>
      <c r="Y33" s="49"/>
      <c r="Z33" s="49"/>
      <c r="AA33" s="49"/>
      <c r="AB33" s="49"/>
      <c r="AC33" s="49"/>
      <c r="AD33" s="91"/>
      <c r="AE33" s="91"/>
      <c r="AF33" s="91"/>
      <c r="AG33" s="91"/>
    </row>
    <row r="34" spans="1:33">
      <c r="A34" s="534"/>
      <c r="B34" s="534">
        <v>32</v>
      </c>
      <c r="C34" s="534">
        <v>231459</v>
      </c>
      <c r="D34" s="534">
        <v>9528596</v>
      </c>
      <c r="E34" s="50" t="s">
        <v>1096</v>
      </c>
      <c r="F34" s="534">
        <v>56</v>
      </c>
      <c r="G34" s="49" t="s">
        <v>1097</v>
      </c>
      <c r="H34" s="49" t="s">
        <v>326</v>
      </c>
      <c r="I34" s="534">
        <v>931778160</v>
      </c>
      <c r="J34" s="49" t="s">
        <v>827</v>
      </c>
      <c r="K34" s="535">
        <v>46051</v>
      </c>
      <c r="L34" s="49" t="s">
        <v>1098</v>
      </c>
      <c r="M34" s="534" t="s">
        <v>230</v>
      </c>
      <c r="N34" s="49" t="s">
        <v>241</v>
      </c>
      <c r="O34" s="437">
        <v>46065</v>
      </c>
      <c r="P34" s="539" t="s">
        <v>292</v>
      </c>
      <c r="Q34" s="809" t="s">
        <v>334</v>
      </c>
      <c r="R34" s="566"/>
      <c r="S34" s="49"/>
      <c r="T34" s="49"/>
      <c r="U34" s="49"/>
      <c r="V34" s="49"/>
      <c r="W34" s="49"/>
      <c r="X34" s="49"/>
      <c r="Y34" s="49"/>
      <c r="Z34" s="49"/>
      <c r="AA34" s="49"/>
      <c r="AB34" s="49"/>
      <c r="AC34" s="49"/>
      <c r="AD34" s="91"/>
      <c r="AE34" s="91"/>
      <c r="AF34" s="91"/>
      <c r="AG34" s="91"/>
    </row>
    <row r="35" spans="1:33">
      <c r="A35" s="534"/>
      <c r="B35" s="534">
        <v>33</v>
      </c>
      <c r="C35" s="534">
        <v>522465</v>
      </c>
      <c r="D35" s="534">
        <v>96055502</v>
      </c>
      <c r="E35" s="50" t="s">
        <v>1099</v>
      </c>
      <c r="F35" s="534">
        <v>67</v>
      </c>
      <c r="G35" s="49" t="s">
        <v>1100</v>
      </c>
      <c r="H35" s="49" t="s">
        <v>326</v>
      </c>
      <c r="I35" s="534">
        <v>960552502</v>
      </c>
      <c r="J35" s="49" t="s">
        <v>827</v>
      </c>
      <c r="K35" s="535">
        <v>46052</v>
      </c>
      <c r="L35" s="49" t="s">
        <v>1101</v>
      </c>
      <c r="M35" s="534" t="s">
        <v>1102</v>
      </c>
      <c r="N35" s="49" t="s">
        <v>1087</v>
      </c>
      <c r="O35" s="437">
        <v>46065</v>
      </c>
      <c r="P35" s="539" t="s">
        <v>292</v>
      </c>
      <c r="Q35" s="830" t="s">
        <v>339</v>
      </c>
      <c r="R35" s="566"/>
      <c r="S35" s="49"/>
      <c r="T35" s="49"/>
      <c r="U35" s="49"/>
      <c r="V35" s="49"/>
      <c r="W35" s="49"/>
      <c r="X35" s="49"/>
      <c r="Y35" s="49"/>
      <c r="Z35" s="49"/>
      <c r="AA35" s="49"/>
      <c r="AB35" s="49"/>
      <c r="AC35" s="49"/>
      <c r="AD35" s="91"/>
      <c r="AE35" s="91"/>
      <c r="AF35" s="91"/>
      <c r="AG35" s="91"/>
    </row>
    <row r="36" spans="1:33">
      <c r="A36" s="534"/>
      <c r="B36" s="534">
        <v>34</v>
      </c>
      <c r="C36" s="534">
        <v>367623</v>
      </c>
      <c r="D36" s="534">
        <v>991475023</v>
      </c>
      <c r="E36" s="50" t="s">
        <v>1103</v>
      </c>
      <c r="F36" s="534">
        <v>40</v>
      </c>
      <c r="G36" s="49" t="s">
        <v>1104</v>
      </c>
      <c r="H36" s="49" t="s">
        <v>301</v>
      </c>
      <c r="I36" s="534">
        <v>9914757023</v>
      </c>
      <c r="J36" s="49" t="s">
        <v>1105</v>
      </c>
      <c r="K36" s="535">
        <v>46052</v>
      </c>
      <c r="L36" s="49" t="s">
        <v>376</v>
      </c>
      <c r="M36" s="534" t="s">
        <v>230</v>
      </c>
      <c r="N36" s="49" t="s">
        <v>317</v>
      </c>
      <c r="O36" s="437">
        <v>46065</v>
      </c>
      <c r="P36" s="539" t="s">
        <v>292</v>
      </c>
      <c r="Q36" s="647" t="s">
        <v>1106</v>
      </c>
      <c r="R36" s="566"/>
      <c r="S36" s="49"/>
      <c r="T36" s="49"/>
      <c r="U36" s="49"/>
      <c r="V36" s="49"/>
      <c r="W36" s="49"/>
      <c r="X36" s="49"/>
      <c r="Y36" s="49"/>
      <c r="Z36" s="49"/>
      <c r="AA36" s="49"/>
      <c r="AB36" s="49"/>
      <c r="AC36" s="49"/>
      <c r="AD36" s="91"/>
      <c r="AE36" s="91"/>
      <c r="AF36" s="91"/>
      <c r="AG36" s="91"/>
    </row>
    <row r="37" spans="1:33">
      <c r="A37" s="534"/>
      <c r="B37" s="534">
        <v>35</v>
      </c>
      <c r="C37" s="534">
        <v>522442</v>
      </c>
      <c r="D37" s="534">
        <v>42797661</v>
      </c>
      <c r="E37" s="50" t="s">
        <v>1107</v>
      </c>
      <c r="F37" s="534">
        <v>41</v>
      </c>
      <c r="G37" s="49" t="s">
        <v>1108</v>
      </c>
      <c r="H37" s="49" t="s">
        <v>1039</v>
      </c>
      <c r="I37" s="534">
        <v>980321039</v>
      </c>
      <c r="J37" s="49" t="s">
        <v>162</v>
      </c>
      <c r="K37" s="535">
        <v>46052</v>
      </c>
      <c r="L37" s="49" t="s">
        <v>1109</v>
      </c>
      <c r="M37" s="534" t="s">
        <v>260</v>
      </c>
      <c r="N37" s="49" t="s">
        <v>241</v>
      </c>
      <c r="O37" s="53">
        <v>46062</v>
      </c>
      <c r="P37" s="566" t="s">
        <v>1023</v>
      </c>
      <c r="Q37" s="471" t="s">
        <v>358</v>
      </c>
      <c r="R37" s="566"/>
      <c r="S37" s="49"/>
      <c r="T37" s="49"/>
      <c r="U37" s="49"/>
      <c r="V37" s="49"/>
      <c r="W37" s="49"/>
      <c r="X37" s="49"/>
      <c r="Y37" s="49"/>
      <c r="Z37" s="49"/>
      <c r="AA37" s="49"/>
      <c r="AB37" s="49"/>
      <c r="AC37" s="49"/>
      <c r="AD37" s="91"/>
      <c r="AE37" s="91"/>
      <c r="AF37" s="91"/>
      <c r="AG37" s="91"/>
    </row>
    <row r="38" spans="1:33">
      <c r="A38" s="534"/>
      <c r="B38" s="534">
        <v>36</v>
      </c>
      <c r="C38" s="534">
        <v>522449</v>
      </c>
      <c r="D38" s="534">
        <v>16017512</v>
      </c>
      <c r="E38" s="50" t="s">
        <v>1110</v>
      </c>
      <c r="F38" s="534">
        <v>49</v>
      </c>
      <c r="G38" s="49" t="s">
        <v>1111</v>
      </c>
      <c r="H38" s="49" t="s">
        <v>1039</v>
      </c>
      <c r="I38" s="534">
        <v>999405208</v>
      </c>
      <c r="J38" s="49" t="s">
        <v>162</v>
      </c>
      <c r="K38" s="535">
        <v>46052</v>
      </c>
      <c r="L38" s="49" t="s">
        <v>376</v>
      </c>
      <c r="M38" s="534" t="s">
        <v>230</v>
      </c>
      <c r="N38" s="49" t="s">
        <v>317</v>
      </c>
      <c r="O38" s="53">
        <v>46065</v>
      </c>
      <c r="P38" s="566" t="s">
        <v>1023</v>
      </c>
      <c r="Q38" s="471" t="s">
        <v>358</v>
      </c>
      <c r="R38" s="566"/>
      <c r="S38" s="49"/>
      <c r="T38" s="49"/>
      <c r="U38" s="49"/>
      <c r="V38" s="49"/>
      <c r="W38" s="49"/>
      <c r="X38" s="49"/>
      <c r="Y38" s="49"/>
      <c r="Z38" s="49"/>
      <c r="AA38" s="49"/>
      <c r="AB38" s="49"/>
      <c r="AC38" s="49"/>
      <c r="AD38" s="91"/>
      <c r="AE38" s="91"/>
      <c r="AF38" s="91"/>
      <c r="AG38" s="91"/>
    </row>
    <row r="39" spans="1:33">
      <c r="A39" s="534"/>
      <c r="B39" s="534">
        <v>37</v>
      </c>
      <c r="C39" s="534">
        <v>239354</v>
      </c>
      <c r="D39" s="534">
        <v>45569305</v>
      </c>
      <c r="E39" s="50" t="s">
        <v>1112</v>
      </c>
      <c r="F39" s="534">
        <v>42</v>
      </c>
      <c r="G39" s="49" t="s">
        <v>1113</v>
      </c>
      <c r="H39" s="49" t="s">
        <v>1114</v>
      </c>
      <c r="I39" s="534">
        <v>962204567</v>
      </c>
      <c r="J39" s="49" t="s">
        <v>375</v>
      </c>
      <c r="K39" s="535">
        <v>46055</v>
      </c>
      <c r="L39" s="49" t="s">
        <v>1115</v>
      </c>
      <c r="M39" s="534" t="s">
        <v>1102</v>
      </c>
      <c r="N39" s="49" t="s">
        <v>1087</v>
      </c>
      <c r="O39" s="437">
        <v>46065</v>
      </c>
      <c r="P39" s="539" t="s">
        <v>292</v>
      </c>
      <c r="Q39" s="647" t="s">
        <v>1116</v>
      </c>
      <c r="R39" s="566"/>
      <c r="S39" s="49"/>
      <c r="T39" s="49"/>
      <c r="U39" s="49"/>
      <c r="V39" s="49"/>
      <c r="W39" s="49"/>
      <c r="X39" s="49"/>
      <c r="Y39" s="49"/>
      <c r="Z39" s="49"/>
      <c r="AA39" s="49"/>
      <c r="AB39" s="49"/>
      <c r="AC39" s="49"/>
      <c r="AD39" s="91"/>
      <c r="AE39" s="91"/>
      <c r="AF39" s="91"/>
      <c r="AG39" s="91"/>
    </row>
    <row r="40" spans="1:33">
      <c r="A40" s="534"/>
      <c r="B40" s="534">
        <v>38</v>
      </c>
      <c r="C40" s="534">
        <v>287472</v>
      </c>
      <c r="D40" s="534">
        <v>44742332</v>
      </c>
      <c r="E40" s="50" t="s">
        <v>1117</v>
      </c>
      <c r="F40" s="534">
        <v>43</v>
      </c>
      <c r="G40" s="49" t="s">
        <v>1118</v>
      </c>
      <c r="H40" s="49" t="s">
        <v>222</v>
      </c>
      <c r="I40" s="534">
        <v>983476355</v>
      </c>
      <c r="J40" s="49" t="s">
        <v>283</v>
      </c>
      <c r="K40" s="535">
        <v>46055</v>
      </c>
      <c r="L40" s="49" t="s">
        <v>1098</v>
      </c>
      <c r="M40" s="534" t="s">
        <v>230</v>
      </c>
      <c r="N40" s="49" t="s">
        <v>655</v>
      </c>
      <c r="O40" s="437">
        <v>46065</v>
      </c>
      <c r="P40" s="539" t="s">
        <v>292</v>
      </c>
      <c r="Q40" s="828" t="s">
        <v>334</v>
      </c>
      <c r="R40" s="566"/>
      <c r="S40" s="49"/>
      <c r="T40" s="49"/>
      <c r="U40" s="49"/>
      <c r="V40" s="49"/>
      <c r="W40" s="49"/>
      <c r="X40" s="49"/>
      <c r="Y40" s="49"/>
      <c r="Z40" s="49"/>
      <c r="AA40" s="49"/>
      <c r="AB40" s="49"/>
      <c r="AC40" s="49"/>
      <c r="AD40" s="91"/>
      <c r="AE40" s="91"/>
      <c r="AF40" s="91"/>
      <c r="AG40" s="91"/>
    </row>
    <row r="41" spans="1:33">
      <c r="A41" s="534"/>
      <c r="B41" s="534">
        <v>39</v>
      </c>
      <c r="C41" s="534">
        <v>522554</v>
      </c>
      <c r="D41" s="534">
        <v>80125340</v>
      </c>
      <c r="E41" s="50" t="s">
        <v>1119</v>
      </c>
      <c r="F41" s="534">
        <v>53</v>
      </c>
      <c r="G41" s="49" t="s">
        <v>1120</v>
      </c>
      <c r="H41" s="49"/>
      <c r="I41" s="534" t="s">
        <v>1121</v>
      </c>
      <c r="J41" s="49" t="s">
        <v>162</v>
      </c>
      <c r="K41" s="535">
        <v>46055</v>
      </c>
      <c r="L41" s="49" t="s">
        <v>683</v>
      </c>
      <c r="M41" s="534" t="s">
        <v>1102</v>
      </c>
      <c r="N41" s="49" t="s">
        <v>317</v>
      </c>
      <c r="O41" s="53">
        <v>46065</v>
      </c>
      <c r="P41" s="566" t="s">
        <v>1023</v>
      </c>
      <c r="Q41" s="471" t="s">
        <v>358</v>
      </c>
      <c r="R41" s="566"/>
      <c r="S41" s="49"/>
      <c r="T41" s="49"/>
      <c r="U41" s="49"/>
      <c r="V41" s="49"/>
      <c r="W41" s="49"/>
      <c r="X41" s="49"/>
      <c r="Y41" s="49"/>
      <c r="Z41" s="49"/>
      <c r="AA41" s="49"/>
      <c r="AB41" s="49"/>
      <c r="AC41" s="49"/>
      <c r="AD41" s="91"/>
      <c r="AE41" s="91"/>
      <c r="AF41" s="91"/>
      <c r="AG41" s="91"/>
    </row>
    <row r="42" spans="1:33">
      <c r="A42" s="534"/>
      <c r="B42" s="534">
        <v>40</v>
      </c>
      <c r="C42" s="534">
        <v>522552</v>
      </c>
      <c r="D42" s="534">
        <v>806177969</v>
      </c>
      <c r="E42" s="50" t="s">
        <v>1122</v>
      </c>
      <c r="F42" s="534">
        <v>48</v>
      </c>
      <c r="G42" s="49" t="s">
        <v>1123</v>
      </c>
      <c r="H42" s="49" t="s">
        <v>1039</v>
      </c>
      <c r="I42" s="534">
        <v>922709309</v>
      </c>
      <c r="J42" s="49" t="s">
        <v>162</v>
      </c>
      <c r="K42" s="535">
        <v>46055</v>
      </c>
      <c r="L42" s="49" t="s">
        <v>683</v>
      </c>
      <c r="M42" s="534" t="s">
        <v>1102</v>
      </c>
      <c r="N42" s="49" t="s">
        <v>317</v>
      </c>
      <c r="O42" s="53">
        <v>46065</v>
      </c>
      <c r="P42" s="566" t="s">
        <v>1023</v>
      </c>
      <c r="Q42" s="471" t="s">
        <v>358</v>
      </c>
      <c r="R42" s="566"/>
      <c r="S42" s="49"/>
      <c r="T42" s="49"/>
      <c r="U42" s="49"/>
      <c r="V42" s="49"/>
      <c r="W42" s="49"/>
      <c r="X42" s="49"/>
      <c r="Y42" s="49"/>
      <c r="Z42" s="49"/>
      <c r="AA42" s="49"/>
      <c r="AB42" s="49"/>
      <c r="AC42" s="49"/>
      <c r="AD42" s="91"/>
      <c r="AE42" s="91"/>
      <c r="AF42" s="91"/>
      <c r="AG42" s="91"/>
    </row>
    <row r="43" spans="1:33">
      <c r="A43" s="534"/>
      <c r="B43" s="534">
        <v>41</v>
      </c>
      <c r="C43" s="534">
        <v>431693</v>
      </c>
      <c r="D43" s="534">
        <v>15766296</v>
      </c>
      <c r="E43" s="50" t="s">
        <v>1124</v>
      </c>
      <c r="F43" s="534">
        <v>47</v>
      </c>
      <c r="G43" s="49" t="s">
        <v>1125</v>
      </c>
      <c r="H43" s="49" t="s">
        <v>246</v>
      </c>
      <c r="I43" s="534" t="s">
        <v>1126</v>
      </c>
      <c r="J43" s="49" t="s">
        <v>238</v>
      </c>
      <c r="K43" s="535">
        <v>46055</v>
      </c>
      <c r="L43" s="49" t="s">
        <v>458</v>
      </c>
      <c r="M43" s="534" t="s">
        <v>260</v>
      </c>
      <c r="N43" s="49" t="s">
        <v>241</v>
      </c>
      <c r="O43" s="53">
        <v>46065</v>
      </c>
      <c r="P43" s="546"/>
      <c r="Q43" s="634"/>
      <c r="R43" s="566"/>
      <c r="S43" s="49"/>
      <c r="T43" s="49"/>
      <c r="U43" s="49"/>
      <c r="V43" s="49"/>
      <c r="W43" s="49"/>
      <c r="X43" s="49"/>
      <c r="Y43" s="49"/>
      <c r="Z43" s="49"/>
      <c r="AA43" s="49"/>
      <c r="AB43" s="49"/>
      <c r="AC43" s="49"/>
      <c r="AD43" s="91"/>
      <c r="AE43" s="91"/>
      <c r="AF43" s="91"/>
      <c r="AG43" s="91"/>
    </row>
    <row r="44" spans="1:33">
      <c r="A44" s="533">
        <v>46056</v>
      </c>
      <c r="B44" s="534">
        <v>42</v>
      </c>
      <c r="C44" s="534">
        <v>60137</v>
      </c>
      <c r="D44" s="534">
        <v>15738405</v>
      </c>
      <c r="E44" s="50" t="s">
        <v>1127</v>
      </c>
      <c r="F44" s="534">
        <v>50</v>
      </c>
      <c r="G44" s="49" t="s">
        <v>1128</v>
      </c>
      <c r="H44" s="49" t="s">
        <v>278</v>
      </c>
      <c r="I44" s="534">
        <v>947452109</v>
      </c>
      <c r="J44" s="49" t="s">
        <v>238</v>
      </c>
      <c r="K44" s="535">
        <v>46056</v>
      </c>
      <c r="L44" s="49" t="s">
        <v>1129</v>
      </c>
      <c r="M44" s="534" t="s">
        <v>260</v>
      </c>
      <c r="N44" s="49" t="s">
        <v>655</v>
      </c>
      <c r="O44" s="53">
        <v>46065</v>
      </c>
      <c r="P44" s="889"/>
      <c r="Q44" s="824" t="s">
        <v>334</v>
      </c>
      <c r="R44" s="566"/>
      <c r="S44" s="49"/>
      <c r="T44" s="49"/>
      <c r="U44" s="49"/>
      <c r="V44" s="49"/>
      <c r="W44" s="49"/>
      <c r="X44" s="49"/>
      <c r="Y44" s="49"/>
      <c r="Z44" s="49"/>
      <c r="AA44" s="49"/>
      <c r="AB44" s="49"/>
      <c r="AC44" s="49"/>
      <c r="AD44" s="91"/>
      <c r="AE44" s="91"/>
      <c r="AF44" s="91"/>
      <c r="AG44" s="91"/>
    </row>
    <row r="45" spans="1:33">
      <c r="A45" s="534"/>
      <c r="B45" s="534">
        <v>43</v>
      </c>
      <c r="C45" s="534">
        <v>260668</v>
      </c>
      <c r="D45" s="534">
        <v>43860146</v>
      </c>
      <c r="E45" s="50" t="s">
        <v>1130</v>
      </c>
      <c r="F45" s="534">
        <v>42</v>
      </c>
      <c r="G45" s="49" t="s">
        <v>1131</v>
      </c>
      <c r="H45" s="49" t="s">
        <v>288</v>
      </c>
      <c r="I45" s="534" t="s">
        <v>1132</v>
      </c>
      <c r="J45" s="49" t="s">
        <v>238</v>
      </c>
      <c r="K45" s="535">
        <v>46056</v>
      </c>
      <c r="L45" s="49" t="s">
        <v>630</v>
      </c>
      <c r="M45" s="534" t="s">
        <v>260</v>
      </c>
      <c r="N45" s="49" t="s">
        <v>655</v>
      </c>
      <c r="O45" s="53">
        <v>46065</v>
      </c>
      <c r="P45" s="611"/>
      <c r="Q45" s="534" t="s">
        <v>1133</v>
      </c>
      <c r="R45" s="566"/>
      <c r="S45" s="49"/>
      <c r="T45" s="49"/>
      <c r="U45" s="49"/>
      <c r="V45" s="49"/>
      <c r="W45" s="49"/>
      <c r="X45" s="49"/>
      <c r="Y45" s="49"/>
      <c r="Z45" s="49"/>
      <c r="AA45" s="49"/>
      <c r="AB45" s="49"/>
      <c r="AC45" s="49"/>
      <c r="AD45" s="91"/>
      <c r="AE45" s="91"/>
      <c r="AF45" s="91"/>
      <c r="AG45" s="91"/>
    </row>
    <row r="46" spans="1:33">
      <c r="A46" s="534"/>
      <c r="B46" s="534">
        <v>44</v>
      </c>
      <c r="C46" s="534">
        <v>191987</v>
      </c>
      <c r="D46" s="534">
        <v>15744676</v>
      </c>
      <c r="E46" s="50" t="s">
        <v>1134</v>
      </c>
      <c r="F46" s="534">
        <v>49</v>
      </c>
      <c r="G46" s="49" t="s">
        <v>1135</v>
      </c>
      <c r="H46" s="49" t="s">
        <v>301</v>
      </c>
      <c r="I46" s="534" t="s">
        <v>1136</v>
      </c>
      <c r="J46" s="49" t="s">
        <v>238</v>
      </c>
      <c r="K46" s="535">
        <v>46056</v>
      </c>
      <c r="L46" s="43" t="s">
        <v>1137</v>
      </c>
      <c r="M46" s="534" t="s">
        <v>260</v>
      </c>
      <c r="N46" s="49" t="s">
        <v>655</v>
      </c>
      <c r="O46" s="53">
        <v>46065</v>
      </c>
      <c r="P46" s="534"/>
      <c r="Q46" s="534" t="s">
        <v>1133</v>
      </c>
      <c r="R46" s="566"/>
      <c r="S46" s="49"/>
      <c r="T46" s="49"/>
      <c r="U46" s="49"/>
      <c r="V46" s="49"/>
      <c r="W46" s="49"/>
      <c r="X46" s="49"/>
      <c r="Y46" s="49"/>
      <c r="Z46" s="49"/>
      <c r="AA46" s="49"/>
      <c r="AB46" s="49"/>
      <c r="AC46" s="49"/>
      <c r="AD46" s="91"/>
      <c r="AE46" s="91"/>
      <c r="AF46" s="91"/>
      <c r="AG46" s="91"/>
    </row>
    <row r="47" spans="1:33">
      <c r="A47" s="534"/>
      <c r="B47" s="534">
        <v>45</v>
      </c>
      <c r="C47" s="534">
        <v>497715</v>
      </c>
      <c r="D47" s="534">
        <v>43239315</v>
      </c>
      <c r="E47" s="50" t="s">
        <v>1138</v>
      </c>
      <c r="F47" s="534">
        <v>40</v>
      </c>
      <c r="G47" s="49" t="s">
        <v>1139</v>
      </c>
      <c r="H47" s="49" t="s">
        <v>1114</v>
      </c>
      <c r="I47" s="534">
        <v>925239844</v>
      </c>
      <c r="J47" s="49" t="s">
        <v>375</v>
      </c>
      <c r="K47" s="535">
        <v>46056</v>
      </c>
      <c r="L47" s="49" t="s">
        <v>1129</v>
      </c>
      <c r="M47" s="534" t="s">
        <v>260</v>
      </c>
      <c r="N47" s="49" t="s">
        <v>241</v>
      </c>
      <c r="O47" s="437">
        <v>46065</v>
      </c>
      <c r="P47" s="539" t="s">
        <v>292</v>
      </c>
      <c r="Q47" s="803" t="s">
        <v>334</v>
      </c>
      <c r="R47" s="566"/>
      <c r="S47" s="49"/>
      <c r="T47" s="49"/>
      <c r="U47" s="49"/>
      <c r="V47" s="49"/>
      <c r="W47" s="49"/>
      <c r="X47" s="49"/>
      <c r="Y47" s="49"/>
      <c r="Z47" s="49"/>
      <c r="AA47" s="49"/>
      <c r="AB47" s="49"/>
      <c r="AC47" s="49"/>
      <c r="AD47" s="91"/>
      <c r="AE47" s="91"/>
      <c r="AF47" s="91"/>
      <c r="AG47" s="91"/>
    </row>
    <row r="48" spans="1:33">
      <c r="A48" s="534"/>
      <c r="B48" s="534">
        <v>46</v>
      </c>
      <c r="C48" s="534">
        <v>522574</v>
      </c>
      <c r="D48" s="534">
        <v>42104333</v>
      </c>
      <c r="E48" s="50" t="s">
        <v>1140</v>
      </c>
      <c r="F48" s="534">
        <v>42</v>
      </c>
      <c r="G48" s="49" t="s">
        <v>1141</v>
      </c>
      <c r="H48" s="49" t="s">
        <v>271</v>
      </c>
      <c r="I48" s="534" t="s">
        <v>1142</v>
      </c>
      <c r="J48" s="49" t="s">
        <v>164</v>
      </c>
      <c r="K48" s="535">
        <v>46056</v>
      </c>
      <c r="L48" s="49" t="s">
        <v>1143</v>
      </c>
      <c r="M48" s="534" t="s">
        <v>260</v>
      </c>
      <c r="N48" s="49" t="s">
        <v>241</v>
      </c>
      <c r="O48" s="53">
        <v>46065</v>
      </c>
      <c r="P48" s="539" t="s">
        <v>512</v>
      </c>
      <c r="Q48" s="471" t="s">
        <v>358</v>
      </c>
      <c r="R48" s="566"/>
      <c r="S48" s="49"/>
      <c r="T48" s="49"/>
      <c r="U48" s="49"/>
      <c r="V48" s="49"/>
      <c r="W48" s="49"/>
      <c r="X48" s="49"/>
      <c r="Y48" s="49"/>
      <c r="Z48" s="49"/>
      <c r="AA48" s="49"/>
      <c r="AB48" s="49"/>
      <c r="AC48" s="49"/>
      <c r="AD48" s="91"/>
      <c r="AE48" s="91"/>
      <c r="AF48" s="91"/>
      <c r="AG48" s="91"/>
    </row>
    <row r="49" spans="1:33">
      <c r="A49" s="534"/>
      <c r="B49" s="534">
        <v>47</v>
      </c>
      <c r="C49" s="534">
        <v>98050</v>
      </c>
      <c r="D49" s="534">
        <v>40428220</v>
      </c>
      <c r="E49" s="50" t="s">
        <v>1144</v>
      </c>
      <c r="F49" s="534">
        <v>46</v>
      </c>
      <c r="G49" s="49" t="s">
        <v>1145</v>
      </c>
      <c r="H49" s="49" t="s">
        <v>278</v>
      </c>
      <c r="I49" s="534" t="s">
        <v>1146</v>
      </c>
      <c r="J49" s="49" t="s">
        <v>238</v>
      </c>
      <c r="K49" s="535">
        <v>46056</v>
      </c>
      <c r="L49" s="49" t="s">
        <v>1083</v>
      </c>
      <c r="M49" s="534" t="s">
        <v>260</v>
      </c>
      <c r="N49" s="49" t="s">
        <v>241</v>
      </c>
      <c r="O49" s="53">
        <v>46065</v>
      </c>
      <c r="P49" s="546"/>
      <c r="Q49" s="632"/>
      <c r="R49" s="566"/>
      <c r="S49" s="49"/>
      <c r="T49" s="49"/>
      <c r="U49" s="49"/>
      <c r="V49" s="49"/>
      <c r="W49" s="49"/>
      <c r="X49" s="49"/>
      <c r="Y49" s="49"/>
      <c r="Z49" s="49"/>
      <c r="AA49" s="49"/>
      <c r="AB49" s="49"/>
      <c r="AC49" s="49"/>
      <c r="AD49" s="91"/>
      <c r="AE49" s="91"/>
      <c r="AF49" s="91"/>
      <c r="AG49" s="91"/>
    </row>
    <row r="50" spans="1:33">
      <c r="A50" s="534"/>
      <c r="B50" s="534">
        <v>48</v>
      </c>
      <c r="C50" s="534">
        <v>99595</v>
      </c>
      <c r="D50" s="534">
        <v>15723892</v>
      </c>
      <c r="E50" s="50" t="s">
        <v>1147</v>
      </c>
      <c r="F50" s="534">
        <v>46</v>
      </c>
      <c r="G50" s="49" t="s">
        <v>1148</v>
      </c>
      <c r="H50" s="49" t="s">
        <v>222</v>
      </c>
      <c r="I50" s="534">
        <v>965994960</v>
      </c>
      <c r="J50" s="49" t="s">
        <v>223</v>
      </c>
      <c r="K50" s="535">
        <v>46056</v>
      </c>
      <c r="L50" s="49" t="s">
        <v>1149</v>
      </c>
      <c r="M50" s="534" t="s">
        <v>260</v>
      </c>
      <c r="N50" s="49" t="s">
        <v>655</v>
      </c>
      <c r="O50" s="437">
        <v>46065</v>
      </c>
      <c r="P50" s="539" t="s">
        <v>292</v>
      </c>
      <c r="Q50" s="802">
        <v>46082</v>
      </c>
      <c r="R50" s="806" t="s">
        <v>228</v>
      </c>
      <c r="S50" s="49"/>
      <c r="T50" s="49"/>
      <c r="U50" s="49"/>
      <c r="V50" s="49"/>
      <c r="W50" s="49"/>
      <c r="X50" s="49"/>
      <c r="Y50" s="49"/>
      <c r="Z50" s="49"/>
      <c r="AA50" s="49"/>
      <c r="AB50" s="49"/>
      <c r="AC50" s="49"/>
      <c r="AD50" s="91"/>
      <c r="AE50" s="91"/>
      <c r="AF50" s="91"/>
      <c r="AG50" s="91"/>
    </row>
    <row r="51" spans="1:33">
      <c r="A51" s="534"/>
      <c r="B51" s="534">
        <v>49</v>
      </c>
      <c r="C51" s="534">
        <v>354320</v>
      </c>
      <c r="D51" s="534">
        <v>18161734</v>
      </c>
      <c r="E51" s="50" t="s">
        <v>1150</v>
      </c>
      <c r="F51" s="534">
        <v>49</v>
      </c>
      <c r="G51" s="49" t="s">
        <v>1151</v>
      </c>
      <c r="H51" s="49" t="s">
        <v>1152</v>
      </c>
      <c r="I51" s="534">
        <v>902416758</v>
      </c>
      <c r="J51" s="49" t="s">
        <v>238</v>
      </c>
      <c r="K51" s="535">
        <v>46056</v>
      </c>
      <c r="L51" s="49" t="s">
        <v>1098</v>
      </c>
      <c r="M51" s="534" t="s">
        <v>230</v>
      </c>
      <c r="N51" s="49" t="s">
        <v>655</v>
      </c>
      <c r="O51" s="53">
        <v>46065</v>
      </c>
      <c r="P51" s="546"/>
      <c r="Q51" s="632"/>
      <c r="R51" s="566"/>
      <c r="S51" s="49"/>
      <c r="T51" s="49"/>
      <c r="U51" s="49"/>
      <c r="V51" s="49"/>
      <c r="W51" s="49"/>
      <c r="X51" s="49"/>
      <c r="Y51" s="49"/>
      <c r="Z51" s="49"/>
      <c r="AA51" s="49"/>
      <c r="AB51" s="49"/>
      <c r="AC51" s="49"/>
      <c r="AD51" s="91"/>
      <c r="AE51" s="91"/>
      <c r="AF51" s="91"/>
      <c r="AG51" s="91"/>
    </row>
    <row r="52" spans="1:33">
      <c r="A52" s="535"/>
      <c r="B52" s="534">
        <v>50</v>
      </c>
      <c r="C52" s="534">
        <v>242157</v>
      </c>
      <c r="D52" s="534">
        <v>15658877</v>
      </c>
      <c r="E52" s="50" t="s">
        <v>1153</v>
      </c>
      <c r="F52" s="534">
        <v>49</v>
      </c>
      <c r="G52" s="49" t="s">
        <v>741</v>
      </c>
      <c r="H52" s="49" t="s">
        <v>237</v>
      </c>
      <c r="I52" s="534">
        <v>912713135</v>
      </c>
      <c r="J52" s="49" t="s">
        <v>742</v>
      </c>
      <c r="K52" s="535">
        <v>46318</v>
      </c>
      <c r="L52" s="49" t="s">
        <v>630</v>
      </c>
      <c r="M52" s="534" t="s">
        <v>260</v>
      </c>
      <c r="N52" s="49" t="s">
        <v>655</v>
      </c>
      <c r="O52" s="437">
        <v>46065</v>
      </c>
      <c r="P52" s="539" t="s">
        <v>292</v>
      </c>
      <c r="Q52" s="802">
        <v>46082</v>
      </c>
      <c r="R52" s="534" t="s">
        <v>242</v>
      </c>
      <c r="S52" s="49"/>
      <c r="T52" s="49"/>
      <c r="U52" s="49"/>
      <c r="V52" s="49"/>
      <c r="W52" s="49"/>
      <c r="X52" s="49"/>
      <c r="Y52" s="49"/>
      <c r="Z52" s="49"/>
      <c r="AA52" s="49"/>
      <c r="AB52" s="49"/>
      <c r="AC52" s="49"/>
      <c r="AD52" s="91"/>
      <c r="AE52" s="91"/>
      <c r="AF52" s="91"/>
      <c r="AG52" s="91"/>
    </row>
    <row r="53" spans="1:33">
      <c r="A53" s="534"/>
      <c r="B53" s="534">
        <v>51</v>
      </c>
      <c r="C53" s="534">
        <v>522445</v>
      </c>
      <c r="D53" s="534">
        <v>43069419</v>
      </c>
      <c r="E53" s="50" t="s">
        <v>1154</v>
      </c>
      <c r="F53" s="534">
        <v>40</v>
      </c>
      <c r="G53" s="49" t="s">
        <v>1155</v>
      </c>
      <c r="H53" s="49" t="s">
        <v>461</v>
      </c>
      <c r="I53" s="534">
        <v>926040354</v>
      </c>
      <c r="J53" s="49" t="s">
        <v>162</v>
      </c>
      <c r="K53" s="535">
        <v>46052</v>
      </c>
      <c r="L53" s="43" t="s">
        <v>1156</v>
      </c>
      <c r="M53" s="534" t="s">
        <v>260</v>
      </c>
      <c r="N53" s="49" t="s">
        <v>655</v>
      </c>
      <c r="O53" s="53">
        <v>46065</v>
      </c>
      <c r="P53" s="566" t="s">
        <v>1023</v>
      </c>
      <c r="Q53" s="471" t="s">
        <v>358</v>
      </c>
      <c r="R53" s="534"/>
      <c r="S53" s="49"/>
      <c r="T53" s="49"/>
      <c r="U53" s="49"/>
      <c r="V53" s="49"/>
      <c r="W53" s="49"/>
      <c r="X53" s="49"/>
      <c r="Y53" s="49"/>
      <c r="Z53" s="49"/>
      <c r="AA53" s="49"/>
      <c r="AB53" s="49"/>
      <c r="AC53" s="49"/>
      <c r="AD53" s="91"/>
      <c r="AE53" s="91"/>
      <c r="AF53" s="91"/>
      <c r="AG53" s="91"/>
    </row>
    <row r="54" spans="1:33">
      <c r="A54" s="534"/>
      <c r="B54" s="534">
        <v>52</v>
      </c>
      <c r="C54" s="534">
        <v>522578</v>
      </c>
      <c r="D54" s="534">
        <v>43226813</v>
      </c>
      <c r="E54" s="50" t="s">
        <v>1157</v>
      </c>
      <c r="F54" s="534">
        <v>41</v>
      </c>
      <c r="G54" s="49" t="s">
        <v>1158</v>
      </c>
      <c r="H54" s="49" t="s">
        <v>271</v>
      </c>
      <c r="I54" s="534">
        <v>943098807</v>
      </c>
      <c r="J54" s="49" t="s">
        <v>164</v>
      </c>
      <c r="K54" s="535">
        <v>46056</v>
      </c>
      <c r="L54" s="49" t="s">
        <v>1159</v>
      </c>
      <c r="M54" s="534" t="s">
        <v>260</v>
      </c>
      <c r="N54" s="49" t="s">
        <v>655</v>
      </c>
      <c r="O54" s="53">
        <v>46065</v>
      </c>
      <c r="P54" s="539" t="s">
        <v>512</v>
      </c>
      <c r="Q54" s="471" t="s">
        <v>358</v>
      </c>
      <c r="R54" s="566"/>
      <c r="S54" s="49"/>
      <c r="T54" s="49"/>
      <c r="U54" s="49"/>
      <c r="V54" s="49"/>
      <c r="W54" s="49"/>
      <c r="X54" s="49"/>
      <c r="Y54" s="49"/>
      <c r="Z54" s="49"/>
      <c r="AA54" s="49"/>
      <c r="AB54" s="49"/>
      <c r="AC54" s="49"/>
      <c r="AD54" s="91"/>
      <c r="AE54" s="91"/>
      <c r="AF54" s="91"/>
      <c r="AG54" s="91"/>
    </row>
    <row r="55" spans="1:33" ht="15.75" customHeight="1">
      <c r="A55" s="533" t="s">
        <v>513</v>
      </c>
      <c r="B55" s="534">
        <v>53</v>
      </c>
      <c r="C55" s="534">
        <v>353115</v>
      </c>
      <c r="D55" s="534">
        <v>15616464</v>
      </c>
      <c r="E55" s="50" t="s">
        <v>1160</v>
      </c>
      <c r="F55" s="534">
        <v>58</v>
      </c>
      <c r="G55" s="49" t="s">
        <v>1161</v>
      </c>
      <c r="H55" s="49" t="s">
        <v>278</v>
      </c>
      <c r="I55" s="534" t="s">
        <v>1162</v>
      </c>
      <c r="J55" s="49" t="s">
        <v>238</v>
      </c>
      <c r="K55" s="535">
        <v>46056</v>
      </c>
      <c r="L55" s="49" t="s">
        <v>1163</v>
      </c>
      <c r="M55" s="555" t="s">
        <v>230</v>
      </c>
      <c r="N55" s="49" t="s">
        <v>317</v>
      </c>
      <c r="O55" s="53">
        <v>46065</v>
      </c>
      <c r="P55" s="546"/>
      <c r="Q55" s="632"/>
      <c r="R55" s="566"/>
      <c r="S55" s="49"/>
      <c r="T55" s="49"/>
      <c r="U55" s="49"/>
      <c r="V55" s="49"/>
      <c r="W55" s="49"/>
      <c r="X55" s="49"/>
      <c r="Y55" s="49"/>
      <c r="Z55" s="49"/>
      <c r="AA55" s="49"/>
      <c r="AB55" s="49"/>
      <c r="AC55" s="49"/>
      <c r="AD55" s="91"/>
      <c r="AE55" s="91"/>
      <c r="AF55" s="91"/>
      <c r="AG55" s="91"/>
    </row>
    <row r="56" spans="1:33">
      <c r="A56" s="534"/>
      <c r="B56" s="534">
        <v>54</v>
      </c>
      <c r="C56" s="534">
        <v>96966</v>
      </c>
      <c r="D56" s="534">
        <v>15735720</v>
      </c>
      <c r="E56" s="50" t="s">
        <v>1164</v>
      </c>
      <c r="F56" s="534">
        <v>51</v>
      </c>
      <c r="G56" s="49" t="s">
        <v>1165</v>
      </c>
      <c r="H56" s="49" t="s">
        <v>278</v>
      </c>
      <c r="I56" s="534">
        <v>966437782</v>
      </c>
      <c r="J56" s="49" t="s">
        <v>384</v>
      </c>
      <c r="K56" s="535">
        <v>46055</v>
      </c>
      <c r="L56" s="49" t="s">
        <v>458</v>
      </c>
      <c r="M56" s="534" t="s">
        <v>260</v>
      </c>
      <c r="N56" s="49" t="s">
        <v>241</v>
      </c>
      <c r="O56" s="437">
        <v>46065</v>
      </c>
      <c r="P56" s="539" t="s">
        <v>292</v>
      </c>
      <c r="Q56" s="803" t="s">
        <v>334</v>
      </c>
      <c r="R56" s="566"/>
      <c r="S56" s="49"/>
      <c r="T56" s="49"/>
      <c r="U56" s="49"/>
      <c r="V56" s="49"/>
      <c r="W56" s="49"/>
      <c r="X56" s="49"/>
      <c r="Y56" s="49"/>
      <c r="Z56" s="49"/>
      <c r="AA56" s="49"/>
      <c r="AB56" s="49"/>
      <c r="AC56" s="49"/>
      <c r="AD56" s="91"/>
      <c r="AE56" s="91"/>
      <c r="AF56" s="91"/>
      <c r="AG56" s="91"/>
    </row>
    <row r="57" spans="1:33">
      <c r="A57" s="536"/>
      <c r="B57" s="534">
        <v>55</v>
      </c>
      <c r="C57" s="536">
        <v>352002</v>
      </c>
      <c r="D57" s="536">
        <v>15730561</v>
      </c>
      <c r="E57" s="212" t="s">
        <v>1166</v>
      </c>
      <c r="F57" s="536">
        <v>57</v>
      </c>
      <c r="G57" s="59" t="s">
        <v>1167</v>
      </c>
      <c r="H57" s="59" t="s">
        <v>301</v>
      </c>
      <c r="I57" s="536" t="s">
        <v>1168</v>
      </c>
      <c r="J57" s="59" t="s">
        <v>238</v>
      </c>
      <c r="K57" s="591">
        <v>46056</v>
      </c>
      <c r="L57" s="59" t="s">
        <v>1169</v>
      </c>
      <c r="M57" s="536" t="s">
        <v>323</v>
      </c>
      <c r="N57" s="59" t="s">
        <v>655</v>
      </c>
      <c r="O57" s="438">
        <v>46065</v>
      </c>
      <c r="P57" s="613" t="s">
        <v>1170</v>
      </c>
      <c r="Q57" s="632"/>
      <c r="R57" s="612"/>
      <c r="S57" s="59"/>
      <c r="T57" s="59"/>
      <c r="U57" s="59"/>
      <c r="V57" s="59"/>
      <c r="W57" s="59"/>
      <c r="X57" s="59"/>
      <c r="Y57" s="59"/>
      <c r="Z57" s="59"/>
      <c r="AA57" s="59"/>
      <c r="AB57" s="59"/>
      <c r="AC57" s="59"/>
      <c r="AD57" s="91"/>
      <c r="AE57" s="91"/>
      <c r="AF57" s="91"/>
      <c r="AG57" s="91"/>
    </row>
    <row r="58" spans="1:33">
      <c r="A58" s="534"/>
      <c r="B58" s="534">
        <v>56</v>
      </c>
      <c r="C58" s="534">
        <v>333829</v>
      </c>
      <c r="D58" s="534">
        <v>42823678</v>
      </c>
      <c r="E58" s="50" t="s">
        <v>1171</v>
      </c>
      <c r="F58" s="534">
        <v>45</v>
      </c>
      <c r="G58" s="49" t="s">
        <v>1172</v>
      </c>
      <c r="H58" s="49" t="s">
        <v>278</v>
      </c>
      <c r="I58" s="534" t="s">
        <v>1173</v>
      </c>
      <c r="J58" s="49" t="s">
        <v>384</v>
      </c>
      <c r="K58" s="535">
        <v>46056</v>
      </c>
      <c r="L58" s="49" t="s">
        <v>1163</v>
      </c>
      <c r="M58" s="555" t="s">
        <v>230</v>
      </c>
      <c r="N58" s="49" t="s">
        <v>1174</v>
      </c>
      <c r="O58" s="437">
        <v>46065</v>
      </c>
      <c r="P58" s="539" t="s">
        <v>292</v>
      </c>
      <c r="Q58" s="802">
        <v>46082</v>
      </c>
      <c r="R58" s="808">
        <v>46082</v>
      </c>
      <c r="S58" s="49"/>
      <c r="T58" s="49"/>
      <c r="U58" s="49"/>
      <c r="V58" s="49"/>
      <c r="W58" s="49"/>
      <c r="X58" s="49"/>
      <c r="Y58" s="49"/>
      <c r="Z58" s="49"/>
      <c r="AA58" s="49"/>
      <c r="AB58" s="49"/>
      <c r="AC58" s="49"/>
      <c r="AD58" s="91"/>
      <c r="AE58" s="91"/>
      <c r="AF58" s="91"/>
      <c r="AG58" s="91"/>
    </row>
    <row r="59" spans="1:33">
      <c r="A59" s="534"/>
      <c r="B59" s="534">
        <v>57</v>
      </c>
      <c r="C59" s="534">
        <v>436441</v>
      </c>
      <c r="D59" s="534">
        <v>40345588</v>
      </c>
      <c r="E59" s="50" t="s">
        <v>1175</v>
      </c>
      <c r="F59" s="534">
        <v>46</v>
      </c>
      <c r="G59" s="49" t="s">
        <v>1176</v>
      </c>
      <c r="H59" s="49" t="s">
        <v>1114</v>
      </c>
      <c r="I59" s="534" t="s">
        <v>1177</v>
      </c>
      <c r="J59" s="49" t="s">
        <v>827</v>
      </c>
      <c r="K59" s="535">
        <v>46056</v>
      </c>
      <c r="L59" s="49" t="s">
        <v>1178</v>
      </c>
      <c r="M59" s="534" t="s">
        <v>260</v>
      </c>
      <c r="N59" s="49" t="s">
        <v>655</v>
      </c>
      <c r="O59" s="437">
        <v>46065</v>
      </c>
      <c r="P59" s="539" t="s">
        <v>292</v>
      </c>
      <c r="Q59" s="803" t="s">
        <v>334</v>
      </c>
      <c r="R59" s="566"/>
      <c r="S59" s="49"/>
      <c r="T59" s="49"/>
      <c r="U59" s="49"/>
      <c r="V59" s="49"/>
      <c r="W59" s="49"/>
      <c r="X59" s="49"/>
      <c r="Y59" s="49"/>
      <c r="Z59" s="49"/>
      <c r="AA59" s="49"/>
      <c r="AB59" s="49"/>
      <c r="AC59" s="49"/>
      <c r="AD59" s="91"/>
      <c r="AE59" s="91"/>
      <c r="AF59" s="91"/>
      <c r="AG59" s="91"/>
    </row>
    <row r="60" spans="1:33">
      <c r="A60" s="534"/>
      <c r="B60" s="534">
        <v>58</v>
      </c>
      <c r="C60" s="534">
        <v>522592</v>
      </c>
      <c r="D60" s="534">
        <v>40566548</v>
      </c>
      <c r="E60" s="50" t="s">
        <v>1179</v>
      </c>
      <c r="F60" s="534">
        <v>45</v>
      </c>
      <c r="G60" s="49" t="s">
        <v>1180</v>
      </c>
      <c r="H60" s="49" t="s">
        <v>301</v>
      </c>
      <c r="I60" s="534" t="s">
        <v>1181</v>
      </c>
      <c r="J60" s="49" t="s">
        <v>380</v>
      </c>
      <c r="K60" s="535">
        <v>46056</v>
      </c>
      <c r="L60" s="49" t="s">
        <v>1182</v>
      </c>
      <c r="M60" s="534" t="s">
        <v>1102</v>
      </c>
      <c r="N60" s="49" t="s">
        <v>655</v>
      </c>
      <c r="O60" s="437">
        <v>46065</v>
      </c>
      <c r="P60" s="539" t="s">
        <v>292</v>
      </c>
      <c r="Q60" s="809" t="s">
        <v>385</v>
      </c>
      <c r="R60" s="566"/>
      <c r="S60" s="49"/>
      <c r="T60" s="49"/>
      <c r="U60" s="49"/>
      <c r="V60" s="49"/>
      <c r="W60" s="49"/>
      <c r="X60" s="49"/>
      <c r="Y60" s="49"/>
      <c r="Z60" s="49"/>
      <c r="AA60" s="49"/>
      <c r="AB60" s="49"/>
      <c r="AC60" s="49"/>
      <c r="AD60" s="91"/>
      <c r="AE60" s="91"/>
      <c r="AF60" s="91"/>
      <c r="AG60" s="91"/>
    </row>
    <row r="61" spans="1:33">
      <c r="A61" s="534"/>
      <c r="B61" s="534">
        <v>59</v>
      </c>
      <c r="C61" s="534">
        <v>60492</v>
      </c>
      <c r="D61" s="534">
        <v>15738492</v>
      </c>
      <c r="E61" s="50" t="s">
        <v>1183</v>
      </c>
      <c r="F61" s="534">
        <v>50</v>
      </c>
      <c r="G61" s="49" t="s">
        <v>1184</v>
      </c>
      <c r="H61" s="49" t="s">
        <v>1114</v>
      </c>
      <c r="I61" s="534">
        <v>926827874</v>
      </c>
      <c r="J61" s="49" t="s">
        <v>238</v>
      </c>
      <c r="K61" s="535">
        <v>46056</v>
      </c>
      <c r="L61" s="49" t="s">
        <v>1185</v>
      </c>
      <c r="M61" s="534" t="s">
        <v>260</v>
      </c>
      <c r="N61" s="49" t="s">
        <v>241</v>
      </c>
      <c r="O61" s="53">
        <v>46065</v>
      </c>
      <c r="P61" s="546"/>
      <c r="Q61" s="546" t="s">
        <v>1186</v>
      </c>
      <c r="R61" s="566"/>
      <c r="S61" s="49"/>
      <c r="T61" s="49"/>
      <c r="U61" s="49"/>
      <c r="V61" s="49"/>
      <c r="W61" s="49"/>
      <c r="X61" s="49"/>
      <c r="Y61" s="49"/>
      <c r="Z61" s="49"/>
      <c r="AA61" s="49"/>
      <c r="AB61" s="49"/>
      <c r="AC61" s="49"/>
      <c r="AD61" s="91"/>
      <c r="AE61" s="91"/>
      <c r="AF61" s="91"/>
      <c r="AG61" s="91"/>
    </row>
    <row r="62" spans="1:33">
      <c r="A62" s="538">
        <v>46057</v>
      </c>
      <c r="B62" s="534">
        <v>60</v>
      </c>
      <c r="C62" s="534">
        <v>462834</v>
      </c>
      <c r="D62" s="539">
        <v>31665642</v>
      </c>
      <c r="E62" s="48" t="s">
        <v>1187</v>
      </c>
      <c r="F62" s="539">
        <v>52</v>
      </c>
      <c r="G62" s="49" t="s">
        <v>1188</v>
      </c>
      <c r="H62" s="54" t="s">
        <v>278</v>
      </c>
      <c r="I62" s="539">
        <v>958682740</v>
      </c>
      <c r="J62" s="49" t="s">
        <v>238</v>
      </c>
      <c r="K62" s="535">
        <v>46057</v>
      </c>
      <c r="L62" s="49" t="s">
        <v>1189</v>
      </c>
      <c r="M62" s="555" t="s">
        <v>230</v>
      </c>
      <c r="N62" s="49" t="s">
        <v>317</v>
      </c>
      <c r="O62" s="53">
        <v>46065</v>
      </c>
      <c r="P62" s="546"/>
      <c r="Q62" s="632"/>
      <c r="R62" s="566"/>
      <c r="S62" s="49"/>
      <c r="T62" s="49"/>
      <c r="U62" s="49"/>
      <c r="V62" s="49"/>
      <c r="W62" s="49"/>
      <c r="X62" s="49"/>
      <c r="Y62" s="49"/>
      <c r="Z62" s="49"/>
      <c r="AA62" s="49"/>
      <c r="AB62" s="49"/>
      <c r="AC62" s="49"/>
      <c r="AD62" s="91"/>
      <c r="AE62" s="91"/>
      <c r="AF62" s="91"/>
      <c r="AG62" s="91"/>
    </row>
    <row r="63" spans="1:33">
      <c r="A63" s="534"/>
      <c r="B63" s="534">
        <v>61</v>
      </c>
      <c r="C63" s="534">
        <v>270941</v>
      </c>
      <c r="D63" s="564">
        <v>43865276</v>
      </c>
      <c r="E63" s="430" t="s">
        <v>1190</v>
      </c>
      <c r="F63" s="539">
        <v>41</v>
      </c>
      <c r="G63" s="49" t="s">
        <v>1191</v>
      </c>
      <c r="H63" s="54" t="s">
        <v>288</v>
      </c>
      <c r="I63" s="539">
        <v>982813209</v>
      </c>
      <c r="J63" s="49" t="s">
        <v>238</v>
      </c>
      <c r="K63" s="535">
        <v>46057</v>
      </c>
      <c r="L63" s="49" t="s">
        <v>1192</v>
      </c>
      <c r="M63" s="555" t="s">
        <v>230</v>
      </c>
      <c r="N63" s="49" t="s">
        <v>241</v>
      </c>
      <c r="O63" s="53">
        <v>46065</v>
      </c>
      <c r="P63" s="546"/>
      <c r="Q63" s="632"/>
      <c r="R63" s="566"/>
      <c r="S63" s="49"/>
      <c r="T63" s="49"/>
      <c r="U63" s="49"/>
      <c r="V63" s="49"/>
      <c r="W63" s="49"/>
      <c r="X63" s="49"/>
      <c r="Y63" s="49"/>
      <c r="Z63" s="49"/>
      <c r="AA63" s="49"/>
      <c r="AB63" s="49"/>
      <c r="AC63" s="49"/>
      <c r="AD63" s="91"/>
      <c r="AE63" s="91"/>
      <c r="AF63" s="91"/>
      <c r="AG63" s="91"/>
    </row>
    <row r="64" spans="1:33">
      <c r="A64" s="539"/>
      <c r="B64" s="534">
        <v>62</v>
      </c>
      <c r="C64" s="565">
        <v>214069</v>
      </c>
      <c r="D64" s="539">
        <v>15763451</v>
      </c>
      <c r="E64" s="430" t="s">
        <v>1193</v>
      </c>
      <c r="F64" s="539">
        <v>48</v>
      </c>
      <c r="G64" s="49" t="s">
        <v>1194</v>
      </c>
      <c r="H64" s="54" t="s">
        <v>288</v>
      </c>
      <c r="I64" s="539">
        <v>907038164</v>
      </c>
      <c r="J64" s="49" t="s">
        <v>429</v>
      </c>
      <c r="K64" s="535">
        <v>46057</v>
      </c>
      <c r="L64" s="54" t="s">
        <v>1195</v>
      </c>
      <c r="M64" s="534" t="s">
        <v>260</v>
      </c>
      <c r="N64" s="54" t="s">
        <v>241</v>
      </c>
      <c r="O64" s="437">
        <v>46065</v>
      </c>
      <c r="P64" s="539" t="s">
        <v>292</v>
      </c>
      <c r="Q64" s="471" t="s">
        <v>358</v>
      </c>
      <c r="R64" s="539"/>
      <c r="S64" s="54"/>
      <c r="T64" s="54"/>
      <c r="U64" s="54"/>
      <c r="V64" s="54"/>
      <c r="W64" s="54"/>
      <c r="X64" s="54"/>
      <c r="Y64" s="54"/>
      <c r="Z64" s="54"/>
      <c r="AA64" s="54"/>
      <c r="AB64" s="54"/>
      <c r="AC64" s="54"/>
      <c r="AD64" s="91"/>
      <c r="AE64" s="91"/>
      <c r="AF64" s="91"/>
      <c r="AG64" s="91"/>
    </row>
    <row r="65" spans="1:33">
      <c r="A65" s="534"/>
      <c r="B65" s="534">
        <v>63</v>
      </c>
      <c r="C65" s="534">
        <v>268</v>
      </c>
      <c r="D65" s="534">
        <v>15685529</v>
      </c>
      <c r="E65" s="50" t="s">
        <v>1196</v>
      </c>
      <c r="F65" s="534">
        <v>55</v>
      </c>
      <c r="G65" s="49" t="s">
        <v>1197</v>
      </c>
      <c r="H65" s="49" t="s">
        <v>1114</v>
      </c>
      <c r="I65" s="534" t="s">
        <v>1198</v>
      </c>
      <c r="J65" s="49" t="s">
        <v>827</v>
      </c>
      <c r="K65" s="535">
        <v>46057</v>
      </c>
      <c r="L65" s="49" t="s">
        <v>916</v>
      </c>
      <c r="M65" s="555" t="s">
        <v>230</v>
      </c>
      <c r="N65" s="49" t="s">
        <v>1199</v>
      </c>
      <c r="O65" s="437">
        <v>46065</v>
      </c>
      <c r="P65" s="539" t="s">
        <v>292</v>
      </c>
      <c r="Q65" s="809" t="s">
        <v>334</v>
      </c>
      <c r="R65" s="566"/>
      <c r="S65" s="49"/>
      <c r="T65" s="49"/>
      <c r="U65" s="49"/>
      <c r="V65" s="49"/>
      <c r="W65" s="49"/>
      <c r="X65" s="49"/>
      <c r="Y65" s="49"/>
      <c r="Z65" s="49"/>
      <c r="AA65" s="49"/>
      <c r="AB65" s="49"/>
      <c r="AC65" s="49"/>
      <c r="AD65" s="91"/>
      <c r="AE65" s="91"/>
      <c r="AF65" s="91"/>
      <c r="AG65" s="91"/>
    </row>
    <row r="66" spans="1:33">
      <c r="A66" s="534"/>
      <c r="B66" s="534">
        <v>64</v>
      </c>
      <c r="C66" s="534"/>
      <c r="D66" s="534">
        <v>42762242</v>
      </c>
      <c r="E66" s="50" t="s">
        <v>1200</v>
      </c>
      <c r="F66" s="534">
        <v>41</v>
      </c>
      <c r="G66" s="49" t="s">
        <v>1201</v>
      </c>
      <c r="H66" s="49" t="s">
        <v>222</v>
      </c>
      <c r="I66" s="534" t="s">
        <v>1202</v>
      </c>
      <c r="J66" s="49" t="s">
        <v>238</v>
      </c>
      <c r="K66" s="535">
        <v>46057</v>
      </c>
      <c r="L66" s="49" t="s">
        <v>1203</v>
      </c>
      <c r="M66" s="555" t="s">
        <v>230</v>
      </c>
      <c r="N66" s="49" t="s">
        <v>241</v>
      </c>
      <c r="O66" s="53">
        <v>46065</v>
      </c>
      <c r="P66" s="546"/>
      <c r="Q66" s="546" t="s">
        <v>996</v>
      </c>
      <c r="R66" s="566"/>
      <c r="S66" s="49"/>
      <c r="T66" s="49"/>
      <c r="U66" s="49"/>
      <c r="V66" s="49"/>
      <c r="W66" s="49"/>
      <c r="X66" s="49"/>
      <c r="Y66" s="49"/>
      <c r="Z66" s="49"/>
      <c r="AA66" s="49"/>
      <c r="AB66" s="49"/>
      <c r="AC66" s="49"/>
      <c r="AD66" s="91"/>
      <c r="AE66" s="91"/>
      <c r="AF66" s="91"/>
      <c r="AG66" s="91"/>
    </row>
    <row r="67" spans="1:33">
      <c r="A67" s="534"/>
      <c r="B67" s="534">
        <v>65</v>
      </c>
      <c r="C67" s="534">
        <v>107488</v>
      </c>
      <c r="D67" s="534">
        <v>47714913</v>
      </c>
      <c r="E67" s="50" t="s">
        <v>1204</v>
      </c>
      <c r="F67" s="534">
        <v>43</v>
      </c>
      <c r="G67" s="49" t="s">
        <v>1205</v>
      </c>
      <c r="H67" s="49"/>
      <c r="I67" s="534">
        <v>907900532</v>
      </c>
      <c r="J67" s="49" t="s">
        <v>283</v>
      </c>
      <c r="K67" s="535">
        <v>46057</v>
      </c>
      <c r="L67" s="49" t="s">
        <v>1206</v>
      </c>
      <c r="M67" s="534" t="s">
        <v>230</v>
      </c>
      <c r="N67" s="49" t="s">
        <v>1199</v>
      </c>
      <c r="O67" s="437">
        <v>46065</v>
      </c>
      <c r="P67" s="539" t="s">
        <v>292</v>
      </c>
      <c r="Q67" s="825">
        <v>46082</v>
      </c>
      <c r="R67" s="566" t="s">
        <v>318</v>
      </c>
      <c r="S67" s="49"/>
      <c r="T67" s="49"/>
      <c r="U67" s="49"/>
      <c r="V67" s="49"/>
      <c r="W67" s="49"/>
      <c r="X67" s="49"/>
      <c r="Y67" s="49"/>
      <c r="Z67" s="49"/>
      <c r="AA67" s="49"/>
      <c r="AB67" s="49"/>
      <c r="AC67" s="49"/>
      <c r="AD67" s="91"/>
      <c r="AE67" s="91"/>
      <c r="AF67" s="91"/>
      <c r="AG67" s="91"/>
    </row>
    <row r="68" spans="1:33">
      <c r="A68" s="534"/>
      <c r="B68" s="534">
        <v>66</v>
      </c>
      <c r="C68" s="534">
        <v>93208</v>
      </c>
      <c r="D68" s="534">
        <v>15640415</v>
      </c>
      <c r="E68" s="48" t="s">
        <v>1207</v>
      </c>
      <c r="F68" s="565">
        <v>63</v>
      </c>
      <c r="G68" s="54" t="s">
        <v>1208</v>
      </c>
      <c r="H68" s="54" t="s">
        <v>432</v>
      </c>
      <c r="I68" s="539">
        <v>972917524</v>
      </c>
      <c r="J68" s="54" t="s">
        <v>1209</v>
      </c>
      <c r="K68" s="544">
        <v>46057</v>
      </c>
      <c r="L68" s="49" t="s">
        <v>1210</v>
      </c>
      <c r="M68" s="534" t="s">
        <v>1102</v>
      </c>
      <c r="N68" s="49" t="s">
        <v>1199</v>
      </c>
      <c r="O68" s="437">
        <v>46065</v>
      </c>
      <c r="P68" s="539" t="s">
        <v>292</v>
      </c>
      <c r="Q68" s="825">
        <v>46082</v>
      </c>
      <c r="R68" s="566" t="s">
        <v>318</v>
      </c>
      <c r="S68" s="49"/>
      <c r="T68" s="49"/>
      <c r="U68" s="49"/>
      <c r="V68" s="49"/>
      <c r="W68" s="49"/>
      <c r="X68" s="49"/>
      <c r="Y68" s="49"/>
      <c r="Z68" s="49"/>
      <c r="AA68" s="49"/>
      <c r="AB68" s="49"/>
      <c r="AC68" s="49"/>
      <c r="AD68" s="91"/>
      <c r="AE68" s="91"/>
      <c r="AF68" s="91"/>
      <c r="AG68" s="91"/>
    </row>
    <row r="69" spans="1:33">
      <c r="A69" s="534"/>
      <c r="B69" s="534">
        <v>67</v>
      </c>
      <c r="C69" s="534">
        <v>189682</v>
      </c>
      <c r="D69" s="534">
        <v>15990675</v>
      </c>
      <c r="E69" s="50" t="s">
        <v>1211</v>
      </c>
      <c r="F69" s="534">
        <v>65</v>
      </c>
      <c r="G69" s="49" t="s">
        <v>1212</v>
      </c>
      <c r="H69" s="49" t="s">
        <v>278</v>
      </c>
      <c r="I69" s="534" t="s">
        <v>1213</v>
      </c>
      <c r="J69" s="49" t="s">
        <v>238</v>
      </c>
      <c r="K69" s="544">
        <v>46057</v>
      </c>
      <c r="L69" s="49" t="s">
        <v>1214</v>
      </c>
      <c r="M69" s="555" t="s">
        <v>230</v>
      </c>
      <c r="N69" s="49" t="s">
        <v>1199</v>
      </c>
      <c r="O69" s="53">
        <v>46065</v>
      </c>
      <c r="P69" s="546"/>
      <c r="Q69" s="632"/>
      <c r="R69" s="566"/>
      <c r="S69" s="49"/>
      <c r="T69" s="49"/>
      <c r="U69" s="49"/>
      <c r="V69" s="49"/>
      <c r="W69" s="49"/>
      <c r="X69" s="49"/>
      <c r="Y69" s="49"/>
      <c r="Z69" s="49"/>
      <c r="AA69" s="49"/>
      <c r="AB69" s="49"/>
      <c r="AC69" s="49"/>
      <c r="AD69" s="91"/>
      <c r="AE69" s="91"/>
      <c r="AF69" s="91"/>
      <c r="AG69" s="91"/>
    </row>
    <row r="70" spans="1:33">
      <c r="A70" s="534"/>
      <c r="B70" s="534">
        <v>68</v>
      </c>
      <c r="C70" s="534">
        <v>176345</v>
      </c>
      <c r="D70" s="539">
        <v>15762946</v>
      </c>
      <c r="E70" s="48" t="s">
        <v>1215</v>
      </c>
      <c r="F70" s="565">
        <v>47</v>
      </c>
      <c r="G70" s="54" t="s">
        <v>1216</v>
      </c>
      <c r="H70" s="54" t="s">
        <v>1217</v>
      </c>
      <c r="I70" s="589">
        <v>969731843</v>
      </c>
      <c r="J70" s="54" t="s">
        <v>238</v>
      </c>
      <c r="K70" s="544">
        <v>46057</v>
      </c>
      <c r="L70" s="49" t="s">
        <v>1189</v>
      </c>
      <c r="M70" s="555" t="s">
        <v>230</v>
      </c>
      <c r="N70" s="49" t="s">
        <v>1199</v>
      </c>
      <c r="O70" s="53">
        <v>46065</v>
      </c>
      <c r="P70" s="546"/>
      <c r="Q70" s="546" t="s">
        <v>1186</v>
      </c>
      <c r="R70" s="566"/>
      <c r="S70" s="49"/>
      <c r="T70" s="49"/>
      <c r="U70" s="49"/>
      <c r="V70" s="49"/>
      <c r="W70" s="49"/>
      <c r="X70" s="49"/>
      <c r="Y70" s="49"/>
      <c r="Z70" s="49"/>
      <c r="AA70" s="49"/>
      <c r="AB70" s="49"/>
      <c r="AC70" s="49"/>
      <c r="AD70" s="91"/>
      <c r="AE70" s="91"/>
      <c r="AF70" s="91"/>
      <c r="AG70" s="91"/>
    </row>
    <row r="71" spans="1:33">
      <c r="A71" s="534"/>
      <c r="B71" s="534">
        <v>69</v>
      </c>
      <c r="C71" s="534">
        <v>14563</v>
      </c>
      <c r="D71" s="534">
        <v>15729379</v>
      </c>
      <c r="E71" s="50" t="s">
        <v>1218</v>
      </c>
      <c r="F71" s="534">
        <v>58</v>
      </c>
      <c r="G71" s="49" t="s">
        <v>1219</v>
      </c>
      <c r="H71" s="49" t="s">
        <v>278</v>
      </c>
      <c r="I71" s="534" t="s">
        <v>1220</v>
      </c>
      <c r="J71" s="49" t="s">
        <v>238</v>
      </c>
      <c r="K71" s="544">
        <v>46057</v>
      </c>
      <c r="L71" s="49" t="s">
        <v>1189</v>
      </c>
      <c r="M71" s="555" t="s">
        <v>230</v>
      </c>
      <c r="N71" s="49" t="s">
        <v>1199</v>
      </c>
      <c r="O71" s="53">
        <v>46065</v>
      </c>
      <c r="P71" s="546"/>
      <c r="Q71" s="546" t="s">
        <v>996</v>
      </c>
      <c r="R71" s="566"/>
      <c r="S71" s="49"/>
      <c r="T71" s="49"/>
      <c r="U71" s="49"/>
      <c r="V71" s="49"/>
      <c r="W71" s="49"/>
      <c r="X71" s="49"/>
      <c r="Y71" s="49"/>
      <c r="Z71" s="49"/>
      <c r="AA71" s="49"/>
      <c r="AB71" s="49"/>
      <c r="AC71" s="49"/>
      <c r="AD71" s="91"/>
      <c r="AE71" s="91"/>
      <c r="AF71" s="91"/>
      <c r="AG71" s="91"/>
    </row>
    <row r="72" spans="1:33">
      <c r="A72" s="534"/>
      <c r="B72" s="534">
        <v>70</v>
      </c>
      <c r="C72" s="534">
        <v>128299</v>
      </c>
      <c r="D72" s="534">
        <v>42948975</v>
      </c>
      <c r="E72" s="50" t="s">
        <v>1221</v>
      </c>
      <c r="F72" s="534">
        <v>40</v>
      </c>
      <c r="G72" s="49" t="s">
        <v>1222</v>
      </c>
      <c r="H72" s="49" t="s">
        <v>222</v>
      </c>
      <c r="I72" s="534" t="s">
        <v>1223</v>
      </c>
      <c r="J72" s="49" t="s">
        <v>223</v>
      </c>
      <c r="K72" s="544">
        <v>46057</v>
      </c>
      <c r="L72" s="49" t="s">
        <v>1224</v>
      </c>
      <c r="M72" s="555" t="s">
        <v>230</v>
      </c>
      <c r="N72" s="49" t="s">
        <v>241</v>
      </c>
      <c r="O72" s="437">
        <v>46065</v>
      </c>
      <c r="P72" s="539" t="s">
        <v>292</v>
      </c>
      <c r="Q72" s="802">
        <v>46082</v>
      </c>
      <c r="R72" s="566" t="s">
        <v>318</v>
      </c>
      <c r="S72" s="49"/>
      <c r="T72" s="49"/>
      <c r="U72" s="49"/>
      <c r="V72" s="49"/>
      <c r="W72" s="49"/>
      <c r="X72" s="49"/>
      <c r="Y72" s="49"/>
      <c r="Z72" s="49"/>
      <c r="AA72" s="49"/>
      <c r="AB72" s="49"/>
      <c r="AC72" s="49"/>
      <c r="AD72" s="91"/>
      <c r="AE72" s="91"/>
      <c r="AF72" s="91"/>
      <c r="AG72" s="91"/>
    </row>
    <row r="73" spans="1:33">
      <c r="A73" s="534"/>
      <c r="B73" s="534">
        <v>71</v>
      </c>
      <c r="C73" s="534">
        <v>59494</v>
      </c>
      <c r="D73" s="534">
        <v>15729837</v>
      </c>
      <c r="E73" s="50" t="s">
        <v>1225</v>
      </c>
      <c r="F73" s="534">
        <v>58</v>
      </c>
      <c r="G73" s="49" t="s">
        <v>1226</v>
      </c>
      <c r="H73" s="49" t="s">
        <v>288</v>
      </c>
      <c r="I73" s="534" t="s">
        <v>1227</v>
      </c>
      <c r="J73" s="49" t="s">
        <v>238</v>
      </c>
      <c r="K73" s="544">
        <v>46057</v>
      </c>
      <c r="L73" s="49" t="s">
        <v>376</v>
      </c>
      <c r="M73" s="555" t="s">
        <v>230</v>
      </c>
      <c r="N73" s="49" t="s">
        <v>1199</v>
      </c>
      <c r="O73" s="53">
        <v>46065</v>
      </c>
      <c r="P73" s="546"/>
      <c r="Q73" s="546" t="s">
        <v>1228</v>
      </c>
      <c r="R73" s="566"/>
      <c r="S73" s="49"/>
      <c r="T73" s="49"/>
      <c r="U73" s="49"/>
      <c r="V73" s="49"/>
      <c r="W73" s="49"/>
      <c r="X73" s="49"/>
      <c r="Y73" s="49"/>
      <c r="Z73" s="49"/>
      <c r="AA73" s="49"/>
      <c r="AB73" s="49"/>
      <c r="AC73" s="49"/>
      <c r="AD73" s="91"/>
      <c r="AE73" s="91"/>
      <c r="AF73" s="91"/>
      <c r="AG73" s="91"/>
    </row>
    <row r="74" spans="1:33">
      <c r="A74" s="534"/>
      <c r="B74" s="534">
        <v>72</v>
      </c>
      <c r="C74" s="534">
        <v>61005</v>
      </c>
      <c r="D74" s="534">
        <v>15641388</v>
      </c>
      <c r="E74" s="50" t="s">
        <v>1229</v>
      </c>
      <c r="F74" s="534">
        <v>49</v>
      </c>
      <c r="G74" s="49" t="s">
        <v>1230</v>
      </c>
      <c r="H74" s="49" t="s">
        <v>432</v>
      </c>
      <c r="I74" s="534"/>
      <c r="J74" s="49" t="s">
        <v>1209</v>
      </c>
      <c r="K74" s="544">
        <v>46057</v>
      </c>
      <c r="L74" s="49" t="s">
        <v>1231</v>
      </c>
      <c r="M74" s="555"/>
      <c r="N74" s="49"/>
      <c r="O74" s="437">
        <v>46065</v>
      </c>
      <c r="P74" s="539" t="s">
        <v>292</v>
      </c>
      <c r="Q74" s="647" t="s">
        <v>1232</v>
      </c>
      <c r="R74" s="566"/>
      <c r="S74" s="49"/>
      <c r="T74" s="49"/>
      <c r="U74" s="49"/>
      <c r="V74" s="49"/>
      <c r="W74" s="49"/>
      <c r="X74" s="49"/>
      <c r="Y74" s="49"/>
      <c r="Z74" s="49"/>
      <c r="AA74" s="49"/>
      <c r="AB74" s="49"/>
      <c r="AC74" s="49"/>
      <c r="AD74" s="91"/>
      <c r="AE74" s="91"/>
      <c r="AF74" s="91"/>
      <c r="AG74" s="91"/>
    </row>
    <row r="75" spans="1:33">
      <c r="A75" s="534"/>
      <c r="B75" s="534">
        <v>73</v>
      </c>
      <c r="C75" s="534">
        <v>311671</v>
      </c>
      <c r="D75" s="534" t="s">
        <v>1233</v>
      </c>
      <c r="E75" s="50" t="s">
        <v>1234</v>
      </c>
      <c r="F75" s="534">
        <v>48</v>
      </c>
      <c r="G75" s="49" t="s">
        <v>1235</v>
      </c>
      <c r="H75" s="49" t="s">
        <v>432</v>
      </c>
      <c r="I75" s="534" t="s">
        <v>1236</v>
      </c>
      <c r="J75" s="49" t="s">
        <v>1209</v>
      </c>
      <c r="K75" s="544">
        <v>46057</v>
      </c>
      <c r="L75" s="49" t="s">
        <v>916</v>
      </c>
      <c r="M75" s="555" t="s">
        <v>312</v>
      </c>
      <c r="N75" s="49" t="s">
        <v>317</v>
      </c>
      <c r="O75" s="437">
        <v>46065</v>
      </c>
      <c r="P75" s="539" t="s">
        <v>292</v>
      </c>
      <c r="Q75" s="802">
        <v>46082</v>
      </c>
      <c r="R75" s="566" t="s">
        <v>242</v>
      </c>
      <c r="S75" s="49"/>
      <c r="T75" s="49"/>
      <c r="U75" s="49"/>
      <c r="V75" s="49"/>
      <c r="W75" s="49"/>
      <c r="X75" s="49"/>
      <c r="Y75" s="49"/>
      <c r="Z75" s="49"/>
      <c r="AA75" s="49"/>
      <c r="AB75" s="49"/>
      <c r="AC75" s="49"/>
      <c r="AD75" s="91"/>
      <c r="AE75" s="91"/>
      <c r="AF75" s="91"/>
      <c r="AG75" s="91"/>
    </row>
    <row r="76" spans="1:33">
      <c r="A76" s="534"/>
      <c r="B76" s="534">
        <v>74</v>
      </c>
      <c r="C76" s="534">
        <v>522602</v>
      </c>
      <c r="D76" s="534">
        <v>40473301</v>
      </c>
      <c r="E76" s="50" t="s">
        <v>1237</v>
      </c>
      <c r="F76" s="534">
        <v>46</v>
      </c>
      <c r="G76" s="49" t="s">
        <v>1238</v>
      </c>
      <c r="H76" s="49" t="s">
        <v>1039</v>
      </c>
      <c r="I76" s="534" t="s">
        <v>1239</v>
      </c>
      <c r="J76" s="49" t="s">
        <v>162</v>
      </c>
      <c r="K76" s="544">
        <v>46057</v>
      </c>
      <c r="L76" s="49" t="s">
        <v>1240</v>
      </c>
      <c r="M76" s="555" t="s">
        <v>230</v>
      </c>
      <c r="N76" s="49" t="s">
        <v>317</v>
      </c>
      <c r="O76" s="53">
        <v>46065</v>
      </c>
      <c r="P76" s="566" t="s">
        <v>1023</v>
      </c>
      <c r="Q76" s="471" t="s">
        <v>358</v>
      </c>
      <c r="R76" s="566"/>
      <c r="S76" s="49"/>
      <c r="T76" s="49"/>
      <c r="U76" s="49"/>
      <c r="V76" s="49"/>
      <c r="W76" s="49"/>
      <c r="X76" s="49"/>
      <c r="Y76" s="49"/>
      <c r="Z76" s="49"/>
      <c r="AA76" s="49"/>
      <c r="AB76" s="49"/>
      <c r="AC76" s="49"/>
      <c r="AD76" s="91"/>
      <c r="AE76" s="91"/>
      <c r="AF76" s="91"/>
      <c r="AG76" s="91"/>
    </row>
    <row r="77" spans="1:33">
      <c r="A77" s="534"/>
      <c r="B77" s="534">
        <v>75</v>
      </c>
      <c r="C77" s="534">
        <v>53354</v>
      </c>
      <c r="D77" s="534">
        <v>15640384</v>
      </c>
      <c r="E77" s="50" t="s">
        <v>1241</v>
      </c>
      <c r="F77" s="534">
        <v>60</v>
      </c>
      <c r="G77" s="49" t="s">
        <v>1242</v>
      </c>
      <c r="H77" s="49" t="s">
        <v>432</v>
      </c>
      <c r="I77" s="534" t="s">
        <v>1243</v>
      </c>
      <c r="J77" s="49" t="s">
        <v>1209</v>
      </c>
      <c r="K77" s="544">
        <v>46057</v>
      </c>
      <c r="L77" s="49" t="s">
        <v>1192</v>
      </c>
      <c r="M77" s="555" t="s">
        <v>230</v>
      </c>
      <c r="N77" s="49" t="s">
        <v>1244</v>
      </c>
      <c r="O77" s="437">
        <v>46065</v>
      </c>
      <c r="P77" s="539" t="s">
        <v>292</v>
      </c>
      <c r="Q77" s="831" t="s">
        <v>710</v>
      </c>
      <c r="R77" s="566"/>
      <c r="S77" s="49"/>
      <c r="T77" s="49"/>
      <c r="U77" s="49"/>
      <c r="V77" s="49"/>
      <c r="W77" s="49"/>
      <c r="X77" s="49"/>
      <c r="Y77" s="49"/>
      <c r="Z77" s="49"/>
      <c r="AA77" s="49"/>
      <c r="AB77" s="49"/>
      <c r="AC77" s="49"/>
      <c r="AD77" s="91"/>
      <c r="AE77" s="91"/>
      <c r="AF77" s="91"/>
      <c r="AG77" s="91"/>
    </row>
    <row r="78" spans="1:33">
      <c r="A78" s="534"/>
      <c r="B78" s="534">
        <v>76</v>
      </c>
      <c r="C78" s="534"/>
      <c r="D78" s="534">
        <v>15764705</v>
      </c>
      <c r="E78" s="50" t="s">
        <v>1245</v>
      </c>
      <c r="F78" s="534">
        <v>47</v>
      </c>
      <c r="G78" s="49" t="s">
        <v>1246</v>
      </c>
      <c r="H78" s="49" t="s">
        <v>432</v>
      </c>
      <c r="I78" s="534" t="s">
        <v>1247</v>
      </c>
      <c r="J78" s="49" t="s">
        <v>238</v>
      </c>
      <c r="K78" s="544">
        <v>46057</v>
      </c>
      <c r="L78" s="43" t="s">
        <v>1248</v>
      </c>
      <c r="M78" s="534" t="s">
        <v>260</v>
      </c>
      <c r="N78" s="54" t="s">
        <v>1249</v>
      </c>
      <c r="O78" s="53">
        <v>46065</v>
      </c>
      <c r="P78" s="546"/>
      <c r="Q78" s="636"/>
      <c r="R78" s="566"/>
      <c r="S78" s="49"/>
      <c r="T78" s="49"/>
      <c r="U78" s="49"/>
      <c r="V78" s="49"/>
      <c r="W78" s="49"/>
      <c r="X78" s="49"/>
      <c r="Y78" s="49"/>
      <c r="Z78" s="49"/>
      <c r="AA78" s="49"/>
      <c r="AB78" s="49"/>
      <c r="AC78" s="49"/>
      <c r="AD78" s="91"/>
      <c r="AE78" s="91"/>
      <c r="AF78" s="91"/>
      <c r="AG78" s="91"/>
    </row>
    <row r="79" spans="1:33">
      <c r="A79" s="536"/>
      <c r="B79" s="534">
        <v>77</v>
      </c>
      <c r="C79" s="536">
        <v>151210</v>
      </c>
      <c r="D79" s="536">
        <v>40172009</v>
      </c>
      <c r="E79" s="212" t="s">
        <v>1250</v>
      </c>
      <c r="F79" s="536">
        <v>46</v>
      </c>
      <c r="G79" s="59" t="s">
        <v>1251</v>
      </c>
      <c r="H79" s="59" t="s">
        <v>301</v>
      </c>
      <c r="I79" s="536" t="s">
        <v>1252</v>
      </c>
      <c r="J79" s="59" t="s">
        <v>238</v>
      </c>
      <c r="K79" s="593">
        <v>46057</v>
      </c>
      <c r="L79" s="59" t="s">
        <v>1253</v>
      </c>
      <c r="M79" s="536" t="s">
        <v>323</v>
      </c>
      <c r="N79" s="59" t="s">
        <v>655</v>
      </c>
      <c r="O79" s="438">
        <v>46065</v>
      </c>
      <c r="P79" s="612"/>
      <c r="Q79" s="632"/>
      <c r="R79" s="612"/>
      <c r="S79" s="59"/>
      <c r="T79" s="59"/>
      <c r="U79" s="59"/>
      <c r="V79" s="59"/>
      <c r="W79" s="59"/>
      <c r="X79" s="59"/>
      <c r="Y79" s="59"/>
      <c r="Z79" s="59"/>
      <c r="AA79" s="59"/>
      <c r="AB79" s="59"/>
      <c r="AC79" s="59"/>
      <c r="AD79" s="91"/>
      <c r="AE79" s="91"/>
      <c r="AF79" s="91"/>
      <c r="AG79" s="91"/>
    </row>
    <row r="80" spans="1:33">
      <c r="A80" s="534"/>
      <c r="B80" s="534">
        <v>78</v>
      </c>
      <c r="C80" s="534">
        <v>218886</v>
      </c>
      <c r="D80" s="534">
        <v>9325134</v>
      </c>
      <c r="E80" s="50" t="s">
        <v>1254</v>
      </c>
      <c r="F80" s="534">
        <v>59</v>
      </c>
      <c r="G80" s="49" t="s">
        <v>1255</v>
      </c>
      <c r="H80" s="49" t="s">
        <v>1256</v>
      </c>
      <c r="I80" s="534" t="s">
        <v>1257</v>
      </c>
      <c r="J80" s="49" t="s">
        <v>238</v>
      </c>
      <c r="K80" s="544">
        <v>46057</v>
      </c>
      <c r="L80" s="49" t="s">
        <v>1258</v>
      </c>
      <c r="M80" s="534" t="s">
        <v>1102</v>
      </c>
      <c r="N80" s="49" t="s">
        <v>317</v>
      </c>
      <c r="O80" s="53">
        <v>46065</v>
      </c>
      <c r="P80" s="546"/>
      <c r="Q80" s="632"/>
      <c r="R80" s="566"/>
      <c r="S80" s="49"/>
      <c r="T80" s="49"/>
      <c r="U80" s="49"/>
      <c r="V80" s="49"/>
      <c r="W80" s="49"/>
      <c r="X80" s="49"/>
      <c r="Y80" s="49"/>
      <c r="Z80" s="49"/>
      <c r="AA80" s="49"/>
      <c r="AB80" s="49"/>
      <c r="AC80" s="49"/>
      <c r="AD80" s="91"/>
      <c r="AE80" s="91"/>
      <c r="AF80" s="91"/>
      <c r="AG80" s="91"/>
    </row>
    <row r="81" spans="1:33">
      <c r="A81" s="534"/>
      <c r="B81" s="534">
        <v>79</v>
      </c>
      <c r="C81" s="534">
        <v>522605</v>
      </c>
      <c r="D81" s="534">
        <v>8172713</v>
      </c>
      <c r="E81" s="50" t="s">
        <v>1259</v>
      </c>
      <c r="F81" s="534">
        <v>49</v>
      </c>
      <c r="G81" s="49" t="s">
        <v>1260</v>
      </c>
      <c r="H81" s="49" t="s">
        <v>1039</v>
      </c>
      <c r="I81" s="534" t="s">
        <v>1261</v>
      </c>
      <c r="J81" s="49" t="s">
        <v>162</v>
      </c>
      <c r="K81" s="544">
        <v>46057</v>
      </c>
      <c r="L81" s="49" t="s">
        <v>1262</v>
      </c>
      <c r="M81" s="534" t="s">
        <v>1102</v>
      </c>
      <c r="N81" s="49" t="s">
        <v>1249</v>
      </c>
      <c r="O81" s="53">
        <v>46065</v>
      </c>
      <c r="P81" s="566" t="s">
        <v>1023</v>
      </c>
      <c r="Q81" s="471" t="s">
        <v>358</v>
      </c>
      <c r="R81" s="566"/>
      <c r="S81" s="49"/>
      <c r="T81" s="49"/>
      <c r="U81" s="49"/>
      <c r="V81" s="49"/>
      <c r="W81" s="49"/>
      <c r="X81" s="49"/>
      <c r="Y81" s="49"/>
      <c r="Z81" s="49"/>
      <c r="AA81" s="49"/>
      <c r="AB81" s="49"/>
      <c r="AC81" s="49"/>
      <c r="AD81" s="91"/>
      <c r="AE81" s="91"/>
      <c r="AF81" s="91"/>
      <c r="AG81" s="91"/>
    </row>
    <row r="82" spans="1:33">
      <c r="A82" s="539"/>
      <c r="B82" s="534">
        <v>80</v>
      </c>
      <c r="C82" s="565">
        <v>522606</v>
      </c>
      <c r="D82" s="539">
        <v>16011932</v>
      </c>
      <c r="E82" s="48" t="s">
        <v>1263</v>
      </c>
      <c r="F82" s="565">
        <v>63</v>
      </c>
      <c r="G82" s="54" t="s">
        <v>1264</v>
      </c>
      <c r="H82" s="54" t="s">
        <v>461</v>
      </c>
      <c r="I82" s="539" t="s">
        <v>1265</v>
      </c>
      <c r="J82" s="54" t="s">
        <v>162</v>
      </c>
      <c r="K82" s="544">
        <v>46057</v>
      </c>
      <c r="L82" s="54" t="s">
        <v>1266</v>
      </c>
      <c r="M82" s="534" t="s">
        <v>1102</v>
      </c>
      <c r="N82" s="49" t="s">
        <v>317</v>
      </c>
      <c r="O82" s="53">
        <v>46065</v>
      </c>
      <c r="P82" s="566" t="s">
        <v>1023</v>
      </c>
      <c r="Q82" s="471" t="s">
        <v>358</v>
      </c>
      <c r="R82" s="539"/>
      <c r="S82" s="54"/>
      <c r="T82" s="54"/>
      <c r="U82" s="54"/>
      <c r="V82" s="54"/>
      <c r="W82" s="54"/>
      <c r="X82" s="54"/>
      <c r="Y82" s="54"/>
      <c r="Z82" s="54"/>
      <c r="AA82" s="54"/>
      <c r="AB82" s="54"/>
      <c r="AC82" s="54"/>
      <c r="AD82" s="91"/>
      <c r="AE82" s="91"/>
      <c r="AF82" s="91"/>
      <c r="AG82" s="91"/>
    </row>
    <row r="83" spans="1:33">
      <c r="A83" s="534"/>
      <c r="B83" s="534">
        <v>81</v>
      </c>
      <c r="C83" s="534">
        <v>522604</v>
      </c>
      <c r="D83" s="534">
        <v>16020955</v>
      </c>
      <c r="E83" s="50" t="s">
        <v>1267</v>
      </c>
      <c r="F83" s="534">
        <v>48</v>
      </c>
      <c r="G83" s="49" t="s">
        <v>1268</v>
      </c>
      <c r="H83" s="49" t="s">
        <v>271</v>
      </c>
      <c r="I83" s="534" t="s">
        <v>1269</v>
      </c>
      <c r="J83" s="49" t="s">
        <v>164</v>
      </c>
      <c r="K83" s="544">
        <v>46057</v>
      </c>
      <c r="L83" s="49" t="s">
        <v>1270</v>
      </c>
      <c r="M83" s="555" t="s">
        <v>230</v>
      </c>
      <c r="N83" s="49" t="s">
        <v>317</v>
      </c>
      <c r="O83" s="53">
        <v>46065</v>
      </c>
      <c r="P83" s="539" t="s">
        <v>512</v>
      </c>
      <c r="Q83" s="471" t="s">
        <v>358</v>
      </c>
      <c r="R83" s="566"/>
      <c r="S83" s="49"/>
      <c r="T83" s="49"/>
      <c r="U83" s="49"/>
      <c r="V83" s="49"/>
      <c r="W83" s="49"/>
      <c r="X83" s="49"/>
      <c r="Y83" s="49"/>
      <c r="Z83" s="49"/>
      <c r="AA83" s="49"/>
      <c r="AB83" s="49"/>
      <c r="AC83" s="49"/>
      <c r="AD83" s="91"/>
      <c r="AE83" s="91"/>
      <c r="AF83" s="91"/>
      <c r="AG83" s="91"/>
    </row>
    <row r="84" spans="1:33">
      <c r="A84" s="534"/>
      <c r="B84" s="534">
        <v>82</v>
      </c>
      <c r="C84" s="534">
        <v>247076</v>
      </c>
      <c r="D84" s="534">
        <v>15615769</v>
      </c>
      <c r="E84" s="50" t="s">
        <v>1271</v>
      </c>
      <c r="F84" s="534">
        <v>59</v>
      </c>
      <c r="G84" s="49" t="s">
        <v>1272</v>
      </c>
      <c r="H84" s="49" t="s">
        <v>1273</v>
      </c>
      <c r="I84" s="534">
        <v>961837202</v>
      </c>
      <c r="J84" s="49" t="s">
        <v>1274</v>
      </c>
      <c r="K84" s="544">
        <v>46057</v>
      </c>
      <c r="L84" s="49" t="s">
        <v>1275</v>
      </c>
      <c r="M84" s="555" t="s">
        <v>230</v>
      </c>
      <c r="N84" s="49" t="s">
        <v>317</v>
      </c>
      <c r="O84" s="437">
        <v>46065</v>
      </c>
      <c r="P84" s="539" t="s">
        <v>292</v>
      </c>
      <c r="Q84" s="803" t="s">
        <v>385</v>
      </c>
      <c r="R84" s="566"/>
      <c r="S84" s="49"/>
      <c r="T84" s="49"/>
      <c r="U84" s="49"/>
      <c r="V84" s="49"/>
      <c r="W84" s="49"/>
      <c r="X84" s="49"/>
      <c r="Y84" s="49"/>
      <c r="Z84" s="49"/>
      <c r="AA84" s="49"/>
      <c r="AB84" s="49"/>
      <c r="AC84" s="49"/>
      <c r="AD84" s="91"/>
      <c r="AE84" s="91"/>
      <c r="AF84" s="91"/>
      <c r="AG84" s="91"/>
    </row>
    <row r="85" spans="1:33">
      <c r="A85" s="534"/>
      <c r="B85" s="534">
        <v>83</v>
      </c>
      <c r="C85" s="534">
        <v>522607</v>
      </c>
      <c r="D85" s="534">
        <v>44365096</v>
      </c>
      <c r="E85" s="50" t="s">
        <v>1276</v>
      </c>
      <c r="F85" s="534">
        <v>42</v>
      </c>
      <c r="G85" s="49" t="s">
        <v>1277</v>
      </c>
      <c r="H85" s="49" t="s">
        <v>1039</v>
      </c>
      <c r="I85" s="534" t="s">
        <v>1278</v>
      </c>
      <c r="J85" s="49" t="s">
        <v>162</v>
      </c>
      <c r="K85" s="544">
        <v>46057</v>
      </c>
      <c r="L85" s="49" t="s">
        <v>1279</v>
      </c>
      <c r="M85" s="555" t="s">
        <v>230</v>
      </c>
      <c r="N85" s="49" t="s">
        <v>317</v>
      </c>
      <c r="O85" s="53">
        <v>46065</v>
      </c>
      <c r="P85" s="566" t="s">
        <v>1023</v>
      </c>
      <c r="Q85" s="471" t="s">
        <v>358</v>
      </c>
      <c r="R85" s="566"/>
      <c r="S85" s="49"/>
      <c r="T85" s="49"/>
      <c r="U85" s="49"/>
      <c r="V85" s="49"/>
      <c r="W85" s="49"/>
      <c r="X85" s="49"/>
      <c r="Y85" s="49"/>
      <c r="Z85" s="49"/>
      <c r="AA85" s="49"/>
      <c r="AB85" s="49"/>
      <c r="AC85" s="49"/>
      <c r="AD85" s="91"/>
      <c r="AE85" s="91"/>
      <c r="AF85" s="91"/>
      <c r="AG85" s="91"/>
    </row>
    <row r="86" spans="1:33">
      <c r="A86" s="534"/>
      <c r="B86" s="534">
        <v>84</v>
      </c>
      <c r="C86" s="534">
        <v>455842</v>
      </c>
      <c r="D86" s="534">
        <v>9271125</v>
      </c>
      <c r="E86" s="50" t="s">
        <v>1280</v>
      </c>
      <c r="F86" s="534">
        <v>68</v>
      </c>
      <c r="G86" s="49" t="s">
        <v>1281</v>
      </c>
      <c r="H86" s="49" t="s">
        <v>271</v>
      </c>
      <c r="I86" s="534" t="s">
        <v>1282</v>
      </c>
      <c r="J86" s="49" t="s">
        <v>164</v>
      </c>
      <c r="K86" s="544">
        <v>46057</v>
      </c>
      <c r="L86" s="49" t="s">
        <v>1283</v>
      </c>
      <c r="M86" s="534" t="s">
        <v>1102</v>
      </c>
      <c r="N86" s="49" t="s">
        <v>241</v>
      </c>
      <c r="O86" s="53">
        <v>46065</v>
      </c>
      <c r="P86" s="539" t="s">
        <v>512</v>
      </c>
      <c r="Q86" s="471" t="s">
        <v>358</v>
      </c>
      <c r="R86" s="566"/>
      <c r="S86" s="49"/>
      <c r="T86" s="49"/>
      <c r="U86" s="49"/>
      <c r="V86" s="49"/>
      <c r="W86" s="49"/>
      <c r="X86" s="49"/>
      <c r="Y86" s="49"/>
      <c r="Z86" s="49"/>
      <c r="AA86" s="49"/>
      <c r="AB86" s="49"/>
      <c r="AC86" s="49"/>
      <c r="AD86" s="91"/>
      <c r="AE86" s="91"/>
      <c r="AF86" s="91"/>
      <c r="AG86" s="91"/>
    </row>
    <row r="87" spans="1:33">
      <c r="A87" s="540" t="s">
        <v>513</v>
      </c>
      <c r="B87" s="534">
        <v>85</v>
      </c>
      <c r="C87" s="534">
        <v>233619</v>
      </c>
      <c r="D87" s="534">
        <v>42960167</v>
      </c>
      <c r="E87" s="50" t="s">
        <v>1284</v>
      </c>
      <c r="F87" s="534">
        <v>40</v>
      </c>
      <c r="G87" s="49" t="s">
        <v>1285</v>
      </c>
      <c r="H87" s="49" t="s">
        <v>237</v>
      </c>
      <c r="I87" s="534" t="s">
        <v>1286</v>
      </c>
      <c r="J87" s="49" t="s">
        <v>238</v>
      </c>
      <c r="K87" s="544">
        <v>46057</v>
      </c>
      <c r="L87" s="49" t="s">
        <v>376</v>
      </c>
      <c r="M87" s="555" t="s">
        <v>230</v>
      </c>
      <c r="N87" s="49" t="s">
        <v>317</v>
      </c>
      <c r="O87" s="437">
        <v>46065</v>
      </c>
      <c r="P87" s="539" t="s">
        <v>292</v>
      </c>
      <c r="Q87" s="634"/>
      <c r="R87" s="566" t="s">
        <v>1287</v>
      </c>
      <c r="S87" s="49"/>
      <c r="T87" s="49"/>
      <c r="U87" s="49"/>
      <c r="V87" s="49"/>
      <c r="W87" s="49"/>
      <c r="X87" s="49"/>
      <c r="Y87" s="49"/>
      <c r="Z87" s="49"/>
      <c r="AA87" s="49"/>
      <c r="AB87" s="49"/>
      <c r="AC87" s="49"/>
      <c r="AD87" s="91"/>
      <c r="AE87" s="91"/>
      <c r="AF87" s="91"/>
      <c r="AG87" s="91"/>
    </row>
    <row r="88" spans="1:33">
      <c r="A88" s="541"/>
      <c r="B88" s="534">
        <v>86</v>
      </c>
      <c r="C88" s="534">
        <v>367552</v>
      </c>
      <c r="D88" s="534">
        <v>48124381</v>
      </c>
      <c r="E88" s="50" t="s">
        <v>1288</v>
      </c>
      <c r="F88" s="534">
        <v>41</v>
      </c>
      <c r="G88" s="49" t="s">
        <v>1289</v>
      </c>
      <c r="H88" s="49" t="s">
        <v>246</v>
      </c>
      <c r="I88" s="534" t="s">
        <v>1290</v>
      </c>
      <c r="J88" s="49" t="s">
        <v>579</v>
      </c>
      <c r="K88" s="544">
        <v>46057</v>
      </c>
      <c r="L88" s="49" t="s">
        <v>1291</v>
      </c>
      <c r="M88" s="555" t="s">
        <v>230</v>
      </c>
      <c r="N88" s="49" t="s">
        <v>317</v>
      </c>
      <c r="O88" s="437">
        <v>46065</v>
      </c>
      <c r="P88" s="539" t="s">
        <v>292</v>
      </c>
      <c r="Q88" s="807">
        <v>46082</v>
      </c>
      <c r="R88" s="566" t="s">
        <v>318</v>
      </c>
      <c r="S88" s="49"/>
      <c r="T88" s="49"/>
      <c r="U88" s="49"/>
      <c r="V88" s="49"/>
      <c r="W88" s="49"/>
      <c r="X88" s="49"/>
      <c r="Y88" s="49"/>
      <c r="Z88" s="49"/>
      <c r="AA88" s="49"/>
      <c r="AB88" s="49"/>
      <c r="AC88" s="49"/>
      <c r="AD88" s="91"/>
      <c r="AE88" s="91"/>
      <c r="AF88" s="91"/>
      <c r="AG88" s="91"/>
    </row>
    <row r="89" spans="1:33">
      <c r="A89" s="534"/>
      <c r="B89" s="534">
        <v>87</v>
      </c>
      <c r="C89" s="534">
        <v>379301</v>
      </c>
      <c r="D89" s="534">
        <v>16010408</v>
      </c>
      <c r="E89" s="50" t="s">
        <v>1292</v>
      </c>
      <c r="F89" s="534">
        <v>51</v>
      </c>
      <c r="G89" s="49" t="s">
        <v>1293</v>
      </c>
      <c r="H89" s="49" t="s">
        <v>246</v>
      </c>
      <c r="I89" s="534" t="s">
        <v>1294</v>
      </c>
      <c r="J89" s="49" t="s">
        <v>579</v>
      </c>
      <c r="K89" s="544">
        <v>46057</v>
      </c>
      <c r="L89" s="49" t="s">
        <v>1295</v>
      </c>
      <c r="M89" s="534" t="s">
        <v>1102</v>
      </c>
      <c r="N89" s="49" t="s">
        <v>1249</v>
      </c>
      <c r="O89" s="437">
        <v>46065</v>
      </c>
      <c r="P89" s="539" t="s">
        <v>292</v>
      </c>
      <c r="Q89" s="647" t="s">
        <v>710</v>
      </c>
      <c r="R89" s="566"/>
      <c r="S89" s="49"/>
      <c r="T89" s="49"/>
      <c r="U89" s="49"/>
      <c r="V89" s="49"/>
      <c r="W89" s="49"/>
      <c r="X89" s="49"/>
      <c r="Y89" s="49"/>
      <c r="Z89" s="49"/>
      <c r="AA89" s="49"/>
      <c r="AB89" s="49"/>
      <c r="AC89" s="49"/>
      <c r="AD89" s="91"/>
      <c r="AE89" s="91"/>
      <c r="AF89" s="91"/>
      <c r="AG89" s="91"/>
    </row>
    <row r="90" spans="1:33">
      <c r="A90" s="539"/>
      <c r="B90" s="534">
        <v>88</v>
      </c>
      <c r="C90" s="565">
        <v>52218</v>
      </c>
      <c r="D90" s="539">
        <v>15750911</v>
      </c>
      <c r="E90" s="48" t="s">
        <v>1296</v>
      </c>
      <c r="F90" s="565">
        <v>51</v>
      </c>
      <c r="G90" s="54" t="s">
        <v>1297</v>
      </c>
      <c r="H90" s="54" t="s">
        <v>461</v>
      </c>
      <c r="I90" s="539">
        <v>966416659</v>
      </c>
      <c r="J90" s="54" t="s">
        <v>162</v>
      </c>
      <c r="K90" s="544">
        <v>46057</v>
      </c>
      <c r="L90" s="54" t="s">
        <v>1298</v>
      </c>
      <c r="M90" s="555" t="s">
        <v>230</v>
      </c>
      <c r="N90" s="54" t="s">
        <v>1299</v>
      </c>
      <c r="O90" s="53">
        <v>46066</v>
      </c>
      <c r="P90" s="566" t="s">
        <v>1023</v>
      </c>
      <c r="Q90" s="471" t="s">
        <v>358</v>
      </c>
      <c r="R90" s="539"/>
      <c r="S90" s="54"/>
      <c r="T90" s="54"/>
      <c r="U90" s="54"/>
      <c r="V90" s="54"/>
      <c r="W90" s="54"/>
      <c r="X90" s="54"/>
      <c r="Y90" s="54"/>
      <c r="Z90" s="54"/>
      <c r="AA90" s="54"/>
      <c r="AB90" s="54"/>
      <c r="AC90" s="54"/>
      <c r="AD90" s="91"/>
      <c r="AE90" s="91"/>
      <c r="AF90" s="91"/>
      <c r="AG90" s="91"/>
    </row>
    <row r="91" spans="1:33">
      <c r="A91" s="541"/>
      <c r="B91" s="534">
        <v>89</v>
      </c>
      <c r="C91" s="534">
        <v>333321</v>
      </c>
      <c r="D91" s="534">
        <v>32298817</v>
      </c>
      <c r="E91" s="50" t="s">
        <v>1300</v>
      </c>
      <c r="F91" s="534">
        <v>54</v>
      </c>
      <c r="G91" s="49" t="s">
        <v>1301</v>
      </c>
      <c r="H91" s="49" t="s">
        <v>246</v>
      </c>
      <c r="I91" s="534" t="s">
        <v>1302</v>
      </c>
      <c r="J91" s="49" t="s">
        <v>579</v>
      </c>
      <c r="K91" s="544">
        <v>46057</v>
      </c>
      <c r="L91" s="49" t="s">
        <v>1303</v>
      </c>
      <c r="M91" s="555" t="s">
        <v>230</v>
      </c>
      <c r="N91" s="49" t="s">
        <v>241</v>
      </c>
      <c r="O91" s="437">
        <v>46065</v>
      </c>
      <c r="P91" s="539" t="s">
        <v>292</v>
      </c>
      <c r="Q91" s="807">
        <v>46082</v>
      </c>
      <c r="R91" s="566" t="s">
        <v>242</v>
      </c>
      <c r="S91" s="49"/>
      <c r="T91" s="49"/>
      <c r="U91" s="49"/>
      <c r="V91" s="49"/>
      <c r="W91" s="49"/>
      <c r="X91" s="49"/>
      <c r="Y91" s="49"/>
      <c r="Z91" s="49"/>
      <c r="AA91" s="49"/>
      <c r="AB91" s="49"/>
      <c r="AC91" s="49"/>
      <c r="AD91" s="91"/>
      <c r="AE91" s="91"/>
      <c r="AF91" s="91"/>
      <c r="AG91" s="91"/>
    </row>
    <row r="92" spans="1:33" ht="30" customHeight="1">
      <c r="A92" s="539"/>
      <c r="B92" s="534">
        <v>90</v>
      </c>
      <c r="C92" s="565">
        <v>208252</v>
      </c>
      <c r="D92" s="539">
        <v>15644748</v>
      </c>
      <c r="E92" s="48" t="s">
        <v>1304</v>
      </c>
      <c r="F92" s="565">
        <v>64</v>
      </c>
      <c r="G92" s="54" t="s">
        <v>1305</v>
      </c>
      <c r="H92" s="54" t="s">
        <v>246</v>
      </c>
      <c r="I92" s="539">
        <v>900234597</v>
      </c>
      <c r="J92" s="54" t="s">
        <v>343</v>
      </c>
      <c r="K92" s="544">
        <v>46057</v>
      </c>
      <c r="L92" s="54" t="s">
        <v>1163</v>
      </c>
      <c r="M92" s="555" t="s">
        <v>230</v>
      </c>
      <c r="N92" s="54" t="s">
        <v>1306</v>
      </c>
      <c r="O92" s="437">
        <v>46065</v>
      </c>
      <c r="P92" s="539" t="s">
        <v>292</v>
      </c>
      <c r="Q92" s="803" t="s">
        <v>334</v>
      </c>
      <c r="R92" s="539"/>
      <c r="S92" s="54"/>
      <c r="T92" s="54"/>
      <c r="U92" s="54"/>
      <c r="V92" s="54"/>
      <c r="W92" s="54"/>
      <c r="X92" s="54"/>
      <c r="Y92" s="54"/>
      <c r="Z92" s="54"/>
      <c r="AA92" s="54"/>
      <c r="AB92" s="54"/>
      <c r="AC92" s="54"/>
      <c r="AD92" s="91"/>
      <c r="AE92" s="91"/>
      <c r="AF92" s="91"/>
      <c r="AG92" s="91"/>
    </row>
    <row r="93" spans="1:33">
      <c r="A93" s="539"/>
      <c r="B93" s="534">
        <v>91</v>
      </c>
      <c r="C93" s="565">
        <v>522623</v>
      </c>
      <c r="D93" s="539">
        <v>16022997</v>
      </c>
      <c r="E93" s="430" t="s">
        <v>1307</v>
      </c>
      <c r="F93" s="539">
        <v>47</v>
      </c>
      <c r="G93" s="54" t="s">
        <v>1308</v>
      </c>
      <c r="H93" s="54" t="s">
        <v>1039</v>
      </c>
      <c r="I93" s="565">
        <v>945013642</v>
      </c>
      <c r="J93" s="54" t="s">
        <v>162</v>
      </c>
      <c r="K93" s="544">
        <v>46057</v>
      </c>
      <c r="L93" s="54" t="s">
        <v>1309</v>
      </c>
      <c r="M93" s="555" t="s">
        <v>230</v>
      </c>
      <c r="N93" s="54" t="s">
        <v>241</v>
      </c>
      <c r="O93" s="53">
        <v>46065</v>
      </c>
      <c r="P93" s="566" t="s">
        <v>1023</v>
      </c>
      <c r="Q93" s="471" t="s">
        <v>358</v>
      </c>
      <c r="R93" s="539"/>
      <c r="S93" s="54"/>
      <c r="T93" s="54"/>
      <c r="U93" s="54"/>
      <c r="V93" s="54"/>
      <c r="W93" s="54"/>
      <c r="X93" s="54"/>
      <c r="Y93" s="54"/>
      <c r="Z93" s="54"/>
      <c r="AA93" s="54"/>
      <c r="AB93" s="54"/>
      <c r="AC93" s="54"/>
      <c r="AD93" s="91"/>
      <c r="AE93" s="91"/>
      <c r="AF93" s="91"/>
      <c r="AG93" s="91"/>
    </row>
    <row r="94" spans="1:33">
      <c r="A94" s="539"/>
      <c r="B94" s="534">
        <v>92</v>
      </c>
      <c r="C94" s="565">
        <v>522621</v>
      </c>
      <c r="D94" s="539">
        <v>15765740</v>
      </c>
      <c r="E94" s="48" t="s">
        <v>1310</v>
      </c>
      <c r="F94" s="565">
        <v>47</v>
      </c>
      <c r="G94" s="54" t="s">
        <v>1311</v>
      </c>
      <c r="H94" s="54" t="s">
        <v>278</v>
      </c>
      <c r="I94" s="539">
        <v>922243322</v>
      </c>
      <c r="J94" s="54" t="s">
        <v>1312</v>
      </c>
      <c r="K94" s="544">
        <v>46057</v>
      </c>
      <c r="L94" s="54" t="s">
        <v>1313</v>
      </c>
      <c r="M94" s="555" t="s">
        <v>260</v>
      </c>
      <c r="N94" s="54" t="s">
        <v>241</v>
      </c>
      <c r="O94" s="437">
        <v>46065</v>
      </c>
      <c r="P94" s="539" t="s">
        <v>292</v>
      </c>
      <c r="Q94" s="807">
        <v>46082</v>
      </c>
      <c r="R94" s="539" t="s">
        <v>242</v>
      </c>
      <c r="S94" s="54"/>
      <c r="T94" s="54"/>
      <c r="U94" s="54"/>
      <c r="V94" s="54"/>
      <c r="W94" s="54"/>
      <c r="X94" s="54"/>
      <c r="Y94" s="54"/>
      <c r="Z94" s="54"/>
      <c r="AA94" s="54"/>
      <c r="AB94" s="54"/>
      <c r="AC94" s="54"/>
      <c r="AD94" s="91"/>
      <c r="AE94" s="91"/>
      <c r="AF94" s="91"/>
      <c r="AG94" s="91"/>
    </row>
    <row r="95" spans="1:33">
      <c r="A95" s="539"/>
      <c r="B95" s="534">
        <v>93</v>
      </c>
      <c r="C95" s="565">
        <v>188585</v>
      </c>
      <c r="D95" s="539">
        <v>15760864</v>
      </c>
      <c r="E95" s="48" t="s">
        <v>1314</v>
      </c>
      <c r="F95" s="565">
        <v>48</v>
      </c>
      <c r="G95" s="54" t="s">
        <v>1315</v>
      </c>
      <c r="H95" s="54" t="s">
        <v>278</v>
      </c>
      <c r="I95" s="539">
        <v>956355596</v>
      </c>
      <c r="J95" s="54" t="s">
        <v>1312</v>
      </c>
      <c r="K95" s="549">
        <v>46057</v>
      </c>
      <c r="L95" s="54" t="s">
        <v>913</v>
      </c>
      <c r="M95" s="555" t="s">
        <v>230</v>
      </c>
      <c r="N95" s="54" t="s">
        <v>1316</v>
      </c>
      <c r="O95" s="437">
        <v>46065</v>
      </c>
      <c r="P95" s="539" t="s">
        <v>292</v>
      </c>
      <c r="Q95" s="802">
        <v>46082</v>
      </c>
      <c r="R95" s="539" t="s">
        <v>242</v>
      </c>
      <c r="S95" s="54"/>
      <c r="T95" s="54"/>
      <c r="U95" s="54"/>
      <c r="V95" s="54"/>
      <c r="W95" s="54"/>
      <c r="X95" s="54"/>
      <c r="Y95" s="54"/>
      <c r="Z95" s="54"/>
      <c r="AA95" s="54"/>
      <c r="AB95" s="54"/>
      <c r="AC95" s="54"/>
      <c r="AD95" s="91"/>
      <c r="AE95" s="91"/>
      <c r="AF95" s="91"/>
      <c r="AG95" s="91"/>
    </row>
    <row r="96" spans="1:33">
      <c r="A96" s="539"/>
      <c r="B96" s="534">
        <v>94</v>
      </c>
      <c r="C96" s="565">
        <v>319664</v>
      </c>
      <c r="D96" s="539" t="s">
        <v>1317</v>
      </c>
      <c r="E96" s="48" t="s">
        <v>1318</v>
      </c>
      <c r="F96" s="565">
        <v>56</v>
      </c>
      <c r="G96" s="54" t="s">
        <v>1319</v>
      </c>
      <c r="H96" s="54" t="s">
        <v>301</v>
      </c>
      <c r="I96" s="539" t="s">
        <v>1320</v>
      </c>
      <c r="J96" s="54" t="s">
        <v>380</v>
      </c>
      <c r="K96" s="544">
        <v>46057</v>
      </c>
      <c r="L96" s="54" t="s">
        <v>1321</v>
      </c>
      <c r="M96" s="534" t="s">
        <v>1102</v>
      </c>
      <c r="N96" s="54" t="s">
        <v>317</v>
      </c>
      <c r="O96" s="437">
        <v>46065</v>
      </c>
      <c r="P96" s="539" t="s">
        <v>292</v>
      </c>
      <c r="Q96" s="811" t="s">
        <v>339</v>
      </c>
      <c r="R96" s="539"/>
      <c r="S96" s="54"/>
      <c r="T96" s="54"/>
      <c r="U96" s="54"/>
      <c r="V96" s="54"/>
      <c r="W96" s="54"/>
      <c r="X96" s="54"/>
      <c r="Y96" s="54"/>
      <c r="Z96" s="54"/>
      <c r="AA96" s="54"/>
      <c r="AB96" s="54"/>
      <c r="AC96" s="54"/>
      <c r="AD96" s="91"/>
      <c r="AE96" s="91"/>
      <c r="AF96" s="91"/>
      <c r="AG96" s="91"/>
    </row>
    <row r="97" spans="1:33">
      <c r="A97" s="539"/>
      <c r="B97" s="534">
        <v>95</v>
      </c>
      <c r="C97" s="565">
        <v>522624</v>
      </c>
      <c r="D97" s="539">
        <v>16013560</v>
      </c>
      <c r="E97" s="48" t="s">
        <v>1322</v>
      </c>
      <c r="F97" s="565">
        <v>49</v>
      </c>
      <c r="G97" s="54" t="s">
        <v>1323</v>
      </c>
      <c r="H97" s="54" t="s">
        <v>461</v>
      </c>
      <c r="I97" s="539">
        <v>986738946</v>
      </c>
      <c r="J97" s="54" t="s">
        <v>162</v>
      </c>
      <c r="K97" s="544">
        <v>46057</v>
      </c>
      <c r="L97" s="54" t="s">
        <v>1324</v>
      </c>
      <c r="M97" s="534" t="s">
        <v>1102</v>
      </c>
      <c r="N97" s="49" t="s">
        <v>1087</v>
      </c>
      <c r="O97" s="53">
        <v>46065</v>
      </c>
      <c r="P97" s="566" t="s">
        <v>1023</v>
      </c>
      <c r="Q97" s="471" t="s">
        <v>358</v>
      </c>
      <c r="R97" s="539"/>
      <c r="S97" s="54"/>
      <c r="T97" s="54"/>
      <c r="U97" s="54"/>
      <c r="V97" s="54"/>
      <c r="W97" s="54"/>
      <c r="X97" s="54"/>
      <c r="Y97" s="54"/>
      <c r="Z97" s="54"/>
      <c r="AA97" s="54"/>
      <c r="AB97" s="54"/>
      <c r="AC97" s="54"/>
      <c r="AD97" s="91"/>
      <c r="AE97" s="91"/>
      <c r="AF97" s="91"/>
      <c r="AG97" s="91"/>
    </row>
    <row r="98" spans="1:33">
      <c r="A98" s="534"/>
      <c r="B98" s="534">
        <v>96</v>
      </c>
      <c r="C98" s="534">
        <v>522626</v>
      </c>
      <c r="D98" s="534" t="s">
        <v>1325</v>
      </c>
      <c r="E98" s="50" t="s">
        <v>1326</v>
      </c>
      <c r="F98" s="534">
        <v>54</v>
      </c>
      <c r="G98" s="49" t="s">
        <v>1327</v>
      </c>
      <c r="H98" s="49" t="s">
        <v>461</v>
      </c>
      <c r="I98" s="534" t="s">
        <v>1328</v>
      </c>
      <c r="J98" s="49" t="s">
        <v>162</v>
      </c>
      <c r="K98" s="544">
        <v>46057</v>
      </c>
      <c r="L98" s="49" t="s">
        <v>1329</v>
      </c>
      <c r="M98" s="534" t="s">
        <v>260</v>
      </c>
      <c r="N98" s="49" t="s">
        <v>1087</v>
      </c>
      <c r="O98" s="53">
        <v>46066</v>
      </c>
      <c r="P98" s="546" t="s">
        <v>1330</v>
      </c>
      <c r="Q98" s="471" t="s">
        <v>358</v>
      </c>
      <c r="R98" s="566"/>
      <c r="S98" s="49"/>
      <c r="T98" s="49"/>
      <c r="U98" s="49"/>
      <c r="V98" s="49"/>
      <c r="W98" s="49"/>
      <c r="X98" s="49"/>
      <c r="Y98" s="49"/>
      <c r="Z98" s="49"/>
      <c r="AA98" s="49"/>
      <c r="AB98" s="49"/>
      <c r="AC98" s="49"/>
      <c r="AD98" s="91"/>
      <c r="AE98" s="91"/>
      <c r="AF98" s="91"/>
      <c r="AG98" s="91"/>
    </row>
    <row r="99" spans="1:33">
      <c r="A99" s="539"/>
      <c r="B99" s="534">
        <v>97</v>
      </c>
      <c r="C99" s="565">
        <v>522627</v>
      </c>
      <c r="D99" s="539">
        <v>15998498</v>
      </c>
      <c r="E99" s="48" t="s">
        <v>1331</v>
      </c>
      <c r="F99" s="565">
        <v>58</v>
      </c>
      <c r="G99" s="54" t="s">
        <v>1332</v>
      </c>
      <c r="H99" s="54" t="s">
        <v>461</v>
      </c>
      <c r="I99" s="539">
        <v>993715358</v>
      </c>
      <c r="J99" s="54" t="s">
        <v>162</v>
      </c>
      <c r="K99" s="544">
        <v>46057</v>
      </c>
      <c r="L99" s="54" t="s">
        <v>1333</v>
      </c>
      <c r="M99" s="534" t="s">
        <v>1102</v>
      </c>
      <c r="N99" s="54" t="s">
        <v>1334</v>
      </c>
      <c r="O99" s="53">
        <v>46066</v>
      </c>
      <c r="P99" s="566" t="s">
        <v>1023</v>
      </c>
      <c r="Q99" s="471" t="s">
        <v>358</v>
      </c>
      <c r="R99" s="539"/>
      <c r="S99" s="54"/>
      <c r="T99" s="54"/>
      <c r="U99" s="54"/>
      <c r="V99" s="54"/>
      <c r="W99" s="54"/>
      <c r="X99" s="54"/>
      <c r="Y99" s="54"/>
      <c r="Z99" s="54"/>
      <c r="AA99" s="54"/>
      <c r="AB99" s="54"/>
      <c r="AC99" s="54"/>
      <c r="AD99" s="91"/>
      <c r="AE99" s="91"/>
      <c r="AF99" s="91"/>
      <c r="AG99" s="91"/>
    </row>
    <row r="100" spans="1:33">
      <c r="A100" s="534"/>
      <c r="B100" s="534">
        <v>98</v>
      </c>
      <c r="C100" s="534">
        <v>193925</v>
      </c>
      <c r="D100" s="534">
        <v>31771721</v>
      </c>
      <c r="E100" s="50" t="s">
        <v>1335</v>
      </c>
      <c r="F100" s="534">
        <v>53</v>
      </c>
      <c r="G100" s="49" t="s">
        <v>1336</v>
      </c>
      <c r="H100" s="49" t="s">
        <v>326</v>
      </c>
      <c r="I100" s="534">
        <v>919159307</v>
      </c>
      <c r="J100" s="49" t="s">
        <v>238</v>
      </c>
      <c r="K100" s="549">
        <v>46057</v>
      </c>
      <c r="L100" s="49" t="s">
        <v>1178</v>
      </c>
      <c r="M100" s="534" t="s">
        <v>260</v>
      </c>
      <c r="N100" s="49" t="s">
        <v>241</v>
      </c>
      <c r="O100" s="53">
        <v>46066</v>
      </c>
      <c r="P100" s="546"/>
      <c r="Q100" s="635"/>
      <c r="R100" s="566"/>
      <c r="S100" s="49"/>
      <c r="T100" s="49"/>
      <c r="U100" s="49"/>
      <c r="V100" s="49"/>
      <c r="W100" s="49"/>
      <c r="X100" s="49"/>
      <c r="Y100" s="49"/>
      <c r="Z100" s="49"/>
      <c r="AA100" s="49"/>
      <c r="AB100" s="49"/>
      <c r="AC100" s="49"/>
      <c r="AD100" s="91"/>
      <c r="AE100" s="91"/>
      <c r="AF100" s="91"/>
      <c r="AG100" s="91"/>
    </row>
    <row r="101" spans="1:33">
      <c r="A101" s="534"/>
      <c r="B101" s="534">
        <v>99</v>
      </c>
      <c r="C101" s="534">
        <v>522628</v>
      </c>
      <c r="D101" s="534">
        <v>16019869</v>
      </c>
      <c r="E101" s="50" t="s">
        <v>1337</v>
      </c>
      <c r="F101" s="534">
        <v>49</v>
      </c>
      <c r="G101" s="49" t="s">
        <v>1338</v>
      </c>
      <c r="H101" s="49" t="s">
        <v>271</v>
      </c>
      <c r="I101" s="534">
        <v>921609624</v>
      </c>
      <c r="J101" s="49" t="s">
        <v>164</v>
      </c>
      <c r="K101" s="549">
        <v>46057</v>
      </c>
      <c r="L101" s="49" t="s">
        <v>1303</v>
      </c>
      <c r="M101" s="555" t="s">
        <v>230</v>
      </c>
      <c r="N101" s="49" t="s">
        <v>241</v>
      </c>
      <c r="O101" s="53">
        <v>46066</v>
      </c>
      <c r="P101" s="539" t="s">
        <v>512</v>
      </c>
      <c r="Q101" s="471" t="s">
        <v>358</v>
      </c>
      <c r="R101" s="566"/>
      <c r="S101" s="49"/>
      <c r="T101" s="49"/>
      <c r="U101" s="49"/>
      <c r="V101" s="49"/>
      <c r="W101" s="49"/>
      <c r="X101" s="49"/>
      <c r="Y101" s="49"/>
      <c r="Z101" s="49"/>
      <c r="AA101" s="49"/>
      <c r="AB101" s="49"/>
      <c r="AC101" s="49"/>
      <c r="AD101" s="91"/>
      <c r="AE101" s="91"/>
      <c r="AF101" s="91"/>
      <c r="AG101" s="91"/>
    </row>
    <row r="102" spans="1:33">
      <c r="A102" s="539"/>
      <c r="B102" s="534">
        <v>100</v>
      </c>
      <c r="C102" s="565">
        <v>522629</v>
      </c>
      <c r="D102" s="539">
        <v>16019911</v>
      </c>
      <c r="E102" s="48" t="s">
        <v>1339</v>
      </c>
      <c r="F102" s="565">
        <v>48</v>
      </c>
      <c r="G102" s="54" t="s">
        <v>1340</v>
      </c>
      <c r="H102" s="54" t="s">
        <v>461</v>
      </c>
      <c r="I102" s="539">
        <v>979050401</v>
      </c>
      <c r="J102" s="54" t="s">
        <v>162</v>
      </c>
      <c r="K102" s="544">
        <v>46057</v>
      </c>
      <c r="L102" s="54" t="s">
        <v>1143</v>
      </c>
      <c r="M102" s="534" t="s">
        <v>260</v>
      </c>
      <c r="N102" s="54" t="s">
        <v>241</v>
      </c>
      <c r="O102" s="53">
        <v>46066</v>
      </c>
      <c r="P102" s="546" t="s">
        <v>1330</v>
      </c>
      <c r="Q102" s="471" t="s">
        <v>358</v>
      </c>
      <c r="R102" s="539"/>
      <c r="S102" s="54"/>
      <c r="T102" s="54"/>
      <c r="U102" s="54"/>
      <c r="V102" s="54"/>
      <c r="W102" s="54"/>
      <c r="X102" s="54"/>
      <c r="Y102" s="54"/>
      <c r="Z102" s="54"/>
      <c r="AA102" s="54"/>
      <c r="AB102" s="54"/>
      <c r="AC102" s="54"/>
      <c r="AD102" s="91"/>
      <c r="AE102" s="91"/>
      <c r="AF102" s="91"/>
      <c r="AG102" s="91"/>
    </row>
    <row r="103" spans="1:33" ht="24.75">
      <c r="A103" s="542">
        <v>46058</v>
      </c>
      <c r="B103" s="534">
        <v>101</v>
      </c>
      <c r="C103" s="565">
        <v>88903</v>
      </c>
      <c r="D103" s="565">
        <v>25793480</v>
      </c>
      <c r="E103" s="430" t="s">
        <v>1341</v>
      </c>
      <c r="F103" s="565">
        <v>50</v>
      </c>
      <c r="G103" s="54" t="s">
        <v>1342</v>
      </c>
      <c r="H103" s="54" t="s">
        <v>222</v>
      </c>
      <c r="I103" s="565" t="s">
        <v>1343</v>
      </c>
      <c r="J103" s="54" t="s">
        <v>238</v>
      </c>
      <c r="K103" s="594">
        <v>46058</v>
      </c>
      <c r="L103" s="54" t="s">
        <v>1298</v>
      </c>
      <c r="M103" s="555" t="s">
        <v>230</v>
      </c>
      <c r="N103" s="54" t="s">
        <v>1344</v>
      </c>
      <c r="O103" s="53">
        <v>46066</v>
      </c>
      <c r="P103" s="539"/>
      <c r="Q103" s="632"/>
      <c r="R103" s="539"/>
      <c r="S103" s="54"/>
      <c r="T103" s="54"/>
      <c r="U103" s="54"/>
      <c r="V103" s="54"/>
      <c r="W103" s="54"/>
      <c r="X103" s="54"/>
      <c r="Y103" s="54"/>
      <c r="Z103" s="54"/>
      <c r="AA103" s="54"/>
      <c r="AB103" s="54"/>
      <c r="AC103" s="54"/>
      <c r="AD103" s="91"/>
      <c r="AE103" s="91"/>
      <c r="AF103" s="91"/>
      <c r="AG103" s="91"/>
    </row>
    <row r="104" spans="1:33">
      <c r="A104" s="539"/>
      <c r="B104" s="534">
        <v>102</v>
      </c>
      <c r="C104" s="565">
        <v>163901</v>
      </c>
      <c r="D104" s="565">
        <v>7962819</v>
      </c>
      <c r="E104" s="430" t="s">
        <v>1345</v>
      </c>
      <c r="F104" s="565">
        <v>60</v>
      </c>
      <c r="G104" s="54" t="s">
        <v>1346</v>
      </c>
      <c r="H104" s="54" t="s">
        <v>301</v>
      </c>
      <c r="I104" s="565">
        <v>925235520</v>
      </c>
      <c r="J104" s="54" t="s">
        <v>302</v>
      </c>
      <c r="K104" s="594">
        <v>46058</v>
      </c>
      <c r="L104" s="54" t="s">
        <v>584</v>
      </c>
      <c r="M104" s="534" t="s">
        <v>260</v>
      </c>
      <c r="N104" s="54" t="s">
        <v>241</v>
      </c>
      <c r="O104" s="437">
        <v>46065</v>
      </c>
      <c r="P104" s="539" t="s">
        <v>292</v>
      </c>
      <c r="Q104" s="815">
        <v>46082</v>
      </c>
      <c r="R104" s="539" t="s">
        <v>242</v>
      </c>
      <c r="S104" s="54"/>
      <c r="T104" s="54"/>
      <c r="U104" s="54"/>
      <c r="V104" s="54"/>
      <c r="W104" s="54"/>
      <c r="X104" s="54"/>
      <c r="Y104" s="54"/>
      <c r="Z104" s="54"/>
      <c r="AA104" s="54"/>
      <c r="AB104" s="54"/>
      <c r="AC104" s="54"/>
      <c r="AD104" s="91"/>
      <c r="AE104" s="91"/>
      <c r="AF104" s="91"/>
      <c r="AG104" s="91"/>
    </row>
    <row r="105" spans="1:33">
      <c r="A105" s="539"/>
      <c r="B105" s="534">
        <v>103</v>
      </c>
      <c r="C105" s="565">
        <v>1669289</v>
      </c>
      <c r="D105" s="565">
        <v>15743634</v>
      </c>
      <c r="E105" s="430" t="s">
        <v>1347</v>
      </c>
      <c r="F105" s="565">
        <v>64</v>
      </c>
      <c r="G105" s="54" t="s">
        <v>1348</v>
      </c>
      <c r="H105" s="54" t="s">
        <v>301</v>
      </c>
      <c r="I105" s="565">
        <v>920640026</v>
      </c>
      <c r="J105" s="54" t="s">
        <v>302</v>
      </c>
      <c r="K105" s="594">
        <v>46058</v>
      </c>
      <c r="L105" s="54" t="s">
        <v>376</v>
      </c>
      <c r="M105" s="555" t="s">
        <v>230</v>
      </c>
      <c r="N105" s="54" t="s">
        <v>1199</v>
      </c>
      <c r="O105" s="437">
        <v>46065</v>
      </c>
      <c r="P105" s="539" t="s">
        <v>292</v>
      </c>
      <c r="Q105" s="811" t="s">
        <v>339</v>
      </c>
      <c r="R105" s="539"/>
      <c r="S105" s="54"/>
      <c r="T105" s="54"/>
      <c r="U105" s="54"/>
      <c r="V105" s="54"/>
      <c r="W105" s="54"/>
      <c r="X105" s="54"/>
      <c r="Y105" s="54"/>
      <c r="Z105" s="54"/>
      <c r="AA105" s="54"/>
      <c r="AB105" s="54"/>
      <c r="AC105" s="54"/>
      <c r="AD105" s="91"/>
      <c r="AE105" s="91"/>
      <c r="AF105" s="91"/>
      <c r="AG105" s="91"/>
    </row>
    <row r="106" spans="1:33">
      <c r="A106" s="543"/>
      <c r="B106" s="534">
        <v>104</v>
      </c>
      <c r="C106" s="565">
        <v>305601</v>
      </c>
      <c r="D106" s="565">
        <v>23100169</v>
      </c>
      <c r="E106" s="430" t="s">
        <v>1349</v>
      </c>
      <c r="F106" s="565">
        <v>47</v>
      </c>
      <c r="G106" s="54" t="s">
        <v>1350</v>
      </c>
      <c r="H106" s="54" t="s">
        <v>301</v>
      </c>
      <c r="I106" s="565">
        <v>943438544</v>
      </c>
      <c r="J106" s="54" t="s">
        <v>302</v>
      </c>
      <c r="K106" s="594">
        <v>46058</v>
      </c>
      <c r="L106" s="54" t="s">
        <v>1098</v>
      </c>
      <c r="M106" s="555" t="s">
        <v>230</v>
      </c>
      <c r="N106" s="54" t="s">
        <v>1199</v>
      </c>
      <c r="O106" s="437">
        <v>46065</v>
      </c>
      <c r="P106" s="539" t="s">
        <v>292</v>
      </c>
      <c r="Q106" s="811" t="s">
        <v>339</v>
      </c>
      <c r="R106" s="539"/>
      <c r="S106" s="54"/>
      <c r="T106" s="54"/>
      <c r="U106" s="54"/>
      <c r="V106" s="54"/>
      <c r="W106" s="54"/>
      <c r="X106" s="54"/>
      <c r="Y106" s="54"/>
      <c r="Z106" s="54"/>
      <c r="AA106" s="54"/>
      <c r="AB106" s="54"/>
      <c r="AC106" s="54"/>
      <c r="AD106" s="91"/>
      <c r="AE106" s="91"/>
      <c r="AF106" s="91"/>
      <c r="AG106" s="91"/>
    </row>
    <row r="107" spans="1:33">
      <c r="A107" s="534"/>
      <c r="B107" s="534">
        <v>105</v>
      </c>
      <c r="C107" s="534">
        <v>236666</v>
      </c>
      <c r="D107" s="534">
        <v>41983542</v>
      </c>
      <c r="E107" s="50" t="s">
        <v>1351</v>
      </c>
      <c r="F107" s="534">
        <v>42</v>
      </c>
      <c r="G107" s="49" t="s">
        <v>1352</v>
      </c>
      <c r="H107" s="49" t="s">
        <v>222</v>
      </c>
      <c r="I107" s="534" t="s">
        <v>1353</v>
      </c>
      <c r="J107" s="49" t="s">
        <v>238</v>
      </c>
      <c r="K107" s="594">
        <v>46058</v>
      </c>
      <c r="L107" s="54" t="s">
        <v>1354</v>
      </c>
      <c r="M107" s="534" t="s">
        <v>260</v>
      </c>
      <c r="N107" s="54" t="s">
        <v>241</v>
      </c>
      <c r="O107" s="53">
        <v>46066</v>
      </c>
      <c r="P107" s="546"/>
      <c r="Q107" s="632"/>
      <c r="R107" s="566"/>
      <c r="S107" s="49"/>
      <c r="T107" s="49"/>
      <c r="U107" s="49"/>
      <c r="V107" s="49"/>
      <c r="W107" s="49"/>
      <c r="X107" s="49"/>
      <c r="Y107" s="49"/>
      <c r="Z107" s="49"/>
      <c r="AA107" s="49"/>
      <c r="AB107" s="49"/>
      <c r="AC107" s="49"/>
      <c r="AD107" s="91"/>
      <c r="AE107" s="91"/>
      <c r="AF107" s="91"/>
      <c r="AG107" s="91"/>
    </row>
    <row r="108" spans="1:33" ht="24.75">
      <c r="A108" s="539"/>
      <c r="B108" s="534">
        <v>106</v>
      </c>
      <c r="C108" s="534">
        <v>209253</v>
      </c>
      <c r="D108" s="534">
        <v>15731671</v>
      </c>
      <c r="E108" s="430" t="s">
        <v>1355</v>
      </c>
      <c r="F108" s="565">
        <v>53</v>
      </c>
      <c r="G108" s="54" t="s">
        <v>1356</v>
      </c>
      <c r="H108" s="54" t="s">
        <v>301</v>
      </c>
      <c r="I108" s="565">
        <v>949370424</v>
      </c>
      <c r="J108" s="54" t="s">
        <v>302</v>
      </c>
      <c r="K108" s="594">
        <v>46058</v>
      </c>
      <c r="L108" s="54" t="s">
        <v>1357</v>
      </c>
      <c r="M108" s="534" t="s">
        <v>1102</v>
      </c>
      <c r="N108" s="54" t="s">
        <v>1358</v>
      </c>
      <c r="O108" s="437">
        <v>46065</v>
      </c>
      <c r="P108" s="539" t="s">
        <v>292</v>
      </c>
      <c r="Q108" s="647" t="s">
        <v>377</v>
      </c>
      <c r="R108" s="539"/>
      <c r="S108" s="54"/>
      <c r="T108" s="54"/>
      <c r="U108" s="54"/>
      <c r="V108" s="54"/>
      <c r="W108" s="54"/>
      <c r="X108" s="54"/>
      <c r="Y108" s="54"/>
      <c r="Z108" s="54"/>
      <c r="AA108" s="54"/>
      <c r="AB108" s="54"/>
      <c r="AC108" s="54"/>
      <c r="AD108" s="91"/>
      <c r="AE108" s="91"/>
      <c r="AF108" s="91"/>
      <c r="AG108" s="91"/>
    </row>
    <row r="109" spans="1:33">
      <c r="A109" s="539"/>
      <c r="B109" s="534">
        <v>107</v>
      </c>
      <c r="C109" s="565">
        <v>8820</v>
      </c>
      <c r="D109" s="539">
        <v>15700385</v>
      </c>
      <c r="E109" s="50" t="s">
        <v>1359</v>
      </c>
      <c r="F109" s="565">
        <v>56</v>
      </c>
      <c r="G109" s="54" t="s">
        <v>1360</v>
      </c>
      <c r="H109" s="54" t="s">
        <v>237</v>
      </c>
      <c r="I109" s="539">
        <v>934735517</v>
      </c>
      <c r="J109" s="54" t="s">
        <v>238</v>
      </c>
      <c r="K109" s="594">
        <v>46058</v>
      </c>
      <c r="L109" s="54" t="s">
        <v>1163</v>
      </c>
      <c r="M109" s="555" t="s">
        <v>230</v>
      </c>
      <c r="N109" s="54" t="s">
        <v>1199</v>
      </c>
      <c r="O109" s="53">
        <v>46066</v>
      </c>
      <c r="P109" s="539"/>
      <c r="Q109" s="632"/>
      <c r="R109" s="539"/>
      <c r="S109" s="54"/>
      <c r="T109" s="54"/>
      <c r="U109" s="54"/>
      <c r="V109" s="54"/>
      <c r="W109" s="54"/>
      <c r="X109" s="54"/>
      <c r="Y109" s="54"/>
      <c r="Z109" s="54"/>
      <c r="AA109" s="54"/>
      <c r="AB109" s="54"/>
      <c r="AC109" s="54"/>
      <c r="AD109" s="91"/>
      <c r="AE109" s="91"/>
      <c r="AF109" s="91"/>
      <c r="AG109" s="91"/>
    </row>
    <row r="110" spans="1:33">
      <c r="A110" s="539"/>
      <c r="B110" s="534">
        <v>108</v>
      </c>
      <c r="C110" s="565">
        <v>400021</v>
      </c>
      <c r="D110" s="539">
        <v>10788167</v>
      </c>
      <c r="E110" s="430" t="s">
        <v>1361</v>
      </c>
      <c r="F110" s="565">
        <v>48</v>
      </c>
      <c r="G110" s="54" t="s">
        <v>1362</v>
      </c>
      <c r="H110" s="54" t="s">
        <v>1363</v>
      </c>
      <c r="I110" s="565">
        <v>991378266</v>
      </c>
      <c r="J110" s="54" t="s">
        <v>1364</v>
      </c>
      <c r="K110" s="594">
        <v>46058</v>
      </c>
      <c r="L110" s="54" t="s">
        <v>1365</v>
      </c>
      <c r="M110" s="555" t="s">
        <v>230</v>
      </c>
      <c r="N110" s="54" t="s">
        <v>1344</v>
      </c>
      <c r="O110" s="437">
        <v>46065</v>
      </c>
      <c r="P110" s="539" t="s">
        <v>1366</v>
      </c>
      <c r="Q110" s="809" t="s">
        <v>334</v>
      </c>
      <c r="R110" s="539"/>
      <c r="S110" s="54"/>
      <c r="T110" s="54"/>
      <c r="U110" s="54"/>
      <c r="V110" s="54"/>
      <c r="W110" s="54"/>
      <c r="X110" s="54"/>
      <c r="Y110" s="54"/>
      <c r="Z110" s="54"/>
      <c r="AA110" s="54"/>
      <c r="AB110" s="54"/>
      <c r="AC110" s="54"/>
      <c r="AD110" s="91"/>
      <c r="AE110" s="91"/>
      <c r="AF110" s="91"/>
      <c r="AG110" s="91"/>
    </row>
    <row r="111" spans="1:33" ht="24.75">
      <c r="A111" s="544"/>
      <c r="B111" s="534">
        <v>109</v>
      </c>
      <c r="C111" s="564">
        <v>112197</v>
      </c>
      <c r="D111" s="564">
        <v>41604987</v>
      </c>
      <c r="E111" s="430" t="s">
        <v>1367</v>
      </c>
      <c r="F111" s="564">
        <v>43</v>
      </c>
      <c r="G111" s="430" t="s">
        <v>1368</v>
      </c>
      <c r="H111" s="430" t="s">
        <v>278</v>
      </c>
      <c r="I111" s="564" t="s">
        <v>1369</v>
      </c>
      <c r="J111" s="49" t="s">
        <v>1012</v>
      </c>
      <c r="K111" s="594">
        <v>46058</v>
      </c>
      <c r="L111" s="48" t="s">
        <v>1370</v>
      </c>
      <c r="M111" s="555" t="s">
        <v>230</v>
      </c>
      <c r="N111" s="48" t="s">
        <v>1371</v>
      </c>
      <c r="O111" s="437">
        <v>46065</v>
      </c>
      <c r="P111" s="539" t="s">
        <v>292</v>
      </c>
      <c r="Q111" s="825">
        <v>46082</v>
      </c>
      <c r="R111" s="566" t="s">
        <v>318</v>
      </c>
      <c r="S111" s="48"/>
      <c r="T111" s="48"/>
      <c r="U111" s="48"/>
      <c r="V111" s="48"/>
      <c r="W111" s="48"/>
      <c r="X111" s="48"/>
      <c r="Y111" s="48"/>
      <c r="Z111" s="48"/>
      <c r="AA111" s="48"/>
      <c r="AB111" s="48"/>
      <c r="AC111" s="48"/>
      <c r="AD111" s="91"/>
      <c r="AE111" s="91"/>
      <c r="AF111" s="91"/>
      <c r="AG111" s="91"/>
    </row>
    <row r="112" spans="1:33">
      <c r="A112" s="534"/>
      <c r="B112" s="534">
        <v>110</v>
      </c>
      <c r="C112" s="534">
        <v>247684</v>
      </c>
      <c r="D112" s="534">
        <v>15862953</v>
      </c>
      <c r="E112" s="50" t="s">
        <v>1372</v>
      </c>
      <c r="F112" s="534">
        <v>48</v>
      </c>
      <c r="G112" s="49" t="s">
        <v>1373</v>
      </c>
      <c r="H112" s="49" t="s">
        <v>278</v>
      </c>
      <c r="I112" s="534" t="s">
        <v>1374</v>
      </c>
      <c r="J112" s="49" t="s">
        <v>238</v>
      </c>
      <c r="K112" s="594">
        <v>46058</v>
      </c>
      <c r="L112" s="49" t="s">
        <v>584</v>
      </c>
      <c r="M112" s="555" t="s">
        <v>230</v>
      </c>
      <c r="N112" s="48" t="s">
        <v>1244</v>
      </c>
      <c r="O112" s="53">
        <v>46066</v>
      </c>
      <c r="P112" s="546"/>
      <c r="Q112" s="632"/>
      <c r="R112" s="566"/>
      <c r="S112" s="49"/>
      <c r="T112" s="49"/>
      <c r="U112" s="49"/>
      <c r="V112" s="49"/>
      <c r="W112" s="49"/>
      <c r="X112" s="49"/>
      <c r="Y112" s="49"/>
      <c r="Z112" s="49"/>
      <c r="AA112" s="49"/>
      <c r="AB112" s="49"/>
      <c r="AC112" s="49"/>
      <c r="AD112" s="91"/>
      <c r="AE112" s="91"/>
      <c r="AF112" s="91"/>
      <c r="AG112" s="91"/>
    </row>
    <row r="113" spans="1:33">
      <c r="A113" s="534"/>
      <c r="B113" s="534">
        <v>111</v>
      </c>
      <c r="C113" s="534">
        <v>319037</v>
      </c>
      <c r="D113" s="534">
        <v>43442166</v>
      </c>
      <c r="E113" s="50" t="s">
        <v>1375</v>
      </c>
      <c r="F113" s="534">
        <v>40</v>
      </c>
      <c r="G113" s="49" t="s">
        <v>1376</v>
      </c>
      <c r="H113" s="49" t="s">
        <v>246</v>
      </c>
      <c r="I113" s="534">
        <v>914783848</v>
      </c>
      <c r="J113" s="49" t="s">
        <v>238</v>
      </c>
      <c r="K113" s="594">
        <v>46058</v>
      </c>
      <c r="L113" s="49" t="s">
        <v>1298</v>
      </c>
      <c r="M113" s="555" t="s">
        <v>230</v>
      </c>
      <c r="N113" s="48" t="s">
        <v>1244</v>
      </c>
      <c r="O113" s="53">
        <v>46066</v>
      </c>
      <c r="P113" s="546"/>
      <c r="Q113" s="632"/>
      <c r="R113" s="566"/>
      <c r="S113" s="49"/>
      <c r="T113" s="49"/>
      <c r="U113" s="49"/>
      <c r="V113" s="49"/>
      <c r="W113" s="49"/>
      <c r="X113" s="49"/>
      <c r="Y113" s="49"/>
      <c r="Z113" s="49"/>
      <c r="AA113" s="49"/>
      <c r="AB113" s="49"/>
      <c r="AC113" s="49"/>
      <c r="AD113" s="91"/>
      <c r="AE113" s="91"/>
      <c r="AF113" s="91"/>
      <c r="AG113" s="91"/>
    </row>
    <row r="114" spans="1:33" ht="24.75">
      <c r="A114" s="539"/>
      <c r="B114" s="534">
        <v>112</v>
      </c>
      <c r="C114" s="565">
        <v>472842</v>
      </c>
      <c r="D114" s="565">
        <v>42329112</v>
      </c>
      <c r="E114" s="430" t="s">
        <v>1377</v>
      </c>
      <c r="F114" s="565">
        <v>41</v>
      </c>
      <c r="G114" s="54" t="s">
        <v>1378</v>
      </c>
      <c r="H114" s="54" t="s">
        <v>278</v>
      </c>
      <c r="I114" s="534" t="s">
        <v>1379</v>
      </c>
      <c r="J114" s="54" t="s">
        <v>238</v>
      </c>
      <c r="K114" s="594">
        <v>46058</v>
      </c>
      <c r="L114" s="54" t="s">
        <v>584</v>
      </c>
      <c r="M114" s="534" t="s">
        <v>230</v>
      </c>
      <c r="N114" s="49" t="s">
        <v>241</v>
      </c>
      <c r="O114" s="53">
        <v>46066</v>
      </c>
      <c r="P114" s="539"/>
      <c r="Q114" s="632"/>
      <c r="R114" s="539"/>
      <c r="S114" s="54"/>
      <c r="T114" s="54"/>
      <c r="U114" s="54"/>
      <c r="V114" s="54"/>
      <c r="W114" s="54"/>
      <c r="X114" s="54"/>
      <c r="Y114" s="54"/>
      <c r="Z114" s="54"/>
      <c r="AA114" s="54"/>
      <c r="AB114" s="54"/>
      <c r="AC114" s="54"/>
      <c r="AD114" s="91"/>
      <c r="AE114" s="91"/>
      <c r="AF114" s="91"/>
      <c r="AG114" s="91"/>
    </row>
    <row r="115" spans="1:33">
      <c r="A115" s="534"/>
      <c r="B115" s="534">
        <v>113</v>
      </c>
      <c r="C115" s="534">
        <v>84967</v>
      </c>
      <c r="D115" s="534">
        <v>43562629</v>
      </c>
      <c r="E115" s="50" t="s">
        <v>1380</v>
      </c>
      <c r="F115" s="534">
        <v>47</v>
      </c>
      <c r="G115" s="49" t="s">
        <v>1381</v>
      </c>
      <c r="H115" s="49" t="s">
        <v>222</v>
      </c>
      <c r="I115" s="534">
        <v>912525710</v>
      </c>
      <c r="J115" s="49" t="s">
        <v>238</v>
      </c>
      <c r="K115" s="594">
        <v>46058</v>
      </c>
      <c r="L115" s="49" t="s">
        <v>1382</v>
      </c>
      <c r="M115" s="534" t="s">
        <v>260</v>
      </c>
      <c r="N115" s="49" t="s">
        <v>241</v>
      </c>
      <c r="O115" s="53">
        <v>46066</v>
      </c>
      <c r="P115" s="597"/>
      <c r="Q115" s="597">
        <v>46073</v>
      </c>
      <c r="R115" s="566" t="s">
        <v>242</v>
      </c>
      <c r="S115" s="49"/>
      <c r="T115" s="49"/>
      <c r="U115" s="49"/>
      <c r="V115" s="49"/>
      <c r="W115" s="49"/>
      <c r="X115" s="49"/>
      <c r="Y115" s="49"/>
      <c r="Z115" s="49"/>
      <c r="AA115" s="49"/>
      <c r="AB115" s="49"/>
      <c r="AC115" s="49"/>
      <c r="AD115" s="91"/>
      <c r="AE115" s="91"/>
      <c r="AF115" s="91"/>
      <c r="AG115" s="91"/>
    </row>
    <row r="116" spans="1:33">
      <c r="A116" s="539"/>
      <c r="B116" s="534">
        <v>114</v>
      </c>
      <c r="C116" s="565">
        <v>133218</v>
      </c>
      <c r="D116" s="565">
        <v>15695866</v>
      </c>
      <c r="E116" s="430" t="s">
        <v>1383</v>
      </c>
      <c r="F116" s="565">
        <v>63</v>
      </c>
      <c r="G116" s="54" t="s">
        <v>1384</v>
      </c>
      <c r="H116" s="54" t="s">
        <v>246</v>
      </c>
      <c r="I116" s="534">
        <v>941196107</v>
      </c>
      <c r="J116" s="54" t="s">
        <v>380</v>
      </c>
      <c r="K116" s="594">
        <v>46058</v>
      </c>
      <c r="L116" s="54" t="s">
        <v>584</v>
      </c>
      <c r="M116" s="534" t="s">
        <v>230</v>
      </c>
      <c r="N116" s="49" t="s">
        <v>241</v>
      </c>
      <c r="O116" s="437">
        <v>46070</v>
      </c>
      <c r="P116" s="539" t="s">
        <v>1385</v>
      </c>
      <c r="Q116" s="811" t="s">
        <v>339</v>
      </c>
      <c r="R116" s="539"/>
      <c r="S116" s="54"/>
      <c r="T116" s="54"/>
      <c r="U116" s="54"/>
      <c r="V116" s="54"/>
      <c r="W116" s="54"/>
      <c r="X116" s="54"/>
      <c r="Y116" s="54"/>
      <c r="Z116" s="54"/>
      <c r="AA116" s="54"/>
      <c r="AB116" s="54"/>
      <c r="AC116" s="54"/>
      <c r="AD116" s="91"/>
      <c r="AE116" s="91"/>
      <c r="AF116" s="91"/>
      <c r="AG116" s="91"/>
    </row>
    <row r="117" spans="1:33">
      <c r="A117" s="539"/>
      <c r="B117" s="534">
        <v>115</v>
      </c>
      <c r="C117" s="565">
        <v>522644</v>
      </c>
      <c r="D117" s="565">
        <v>22894388</v>
      </c>
      <c r="E117" s="430" t="s">
        <v>1386</v>
      </c>
      <c r="F117" s="565">
        <v>49</v>
      </c>
      <c r="G117" s="54" t="s">
        <v>1387</v>
      </c>
      <c r="H117" s="54" t="s">
        <v>326</v>
      </c>
      <c r="I117" s="565">
        <v>900920744</v>
      </c>
      <c r="J117" s="54" t="s">
        <v>827</v>
      </c>
      <c r="K117" s="594">
        <v>46058</v>
      </c>
      <c r="L117" s="54" t="s">
        <v>1388</v>
      </c>
      <c r="M117" s="534" t="s">
        <v>1102</v>
      </c>
      <c r="N117" s="54" t="s">
        <v>1389</v>
      </c>
      <c r="O117" s="437">
        <v>46065</v>
      </c>
      <c r="P117" s="539" t="s">
        <v>292</v>
      </c>
      <c r="Q117" s="802">
        <v>46082</v>
      </c>
      <c r="R117" s="539" t="s">
        <v>242</v>
      </c>
      <c r="S117" s="54"/>
      <c r="T117" s="54"/>
      <c r="U117" s="54"/>
      <c r="V117" s="54"/>
      <c r="W117" s="54"/>
      <c r="X117" s="54"/>
      <c r="Y117" s="54"/>
      <c r="Z117" s="54"/>
      <c r="AA117" s="54"/>
      <c r="AB117" s="54"/>
      <c r="AC117" s="54"/>
      <c r="AD117" s="91"/>
      <c r="AE117" s="91"/>
      <c r="AF117" s="91"/>
      <c r="AG117" s="91"/>
    </row>
    <row r="118" spans="1:33">
      <c r="A118" s="539"/>
      <c r="B118" s="534">
        <v>116</v>
      </c>
      <c r="C118" s="539">
        <v>182043</v>
      </c>
      <c r="D118" s="539">
        <v>40448852</v>
      </c>
      <c r="E118" s="48" t="s">
        <v>1390</v>
      </c>
      <c r="F118" s="539">
        <v>45</v>
      </c>
      <c r="G118" s="54" t="s">
        <v>1391</v>
      </c>
      <c r="H118" s="54" t="s">
        <v>237</v>
      </c>
      <c r="I118" s="539" t="s">
        <v>1392</v>
      </c>
      <c r="J118" s="54" t="s">
        <v>238</v>
      </c>
      <c r="K118" s="543">
        <v>46056</v>
      </c>
      <c r="L118" s="54" t="s">
        <v>1393</v>
      </c>
      <c r="M118" s="534" t="s">
        <v>260</v>
      </c>
      <c r="N118" s="54" t="s">
        <v>241</v>
      </c>
      <c r="O118" s="53">
        <v>46066</v>
      </c>
      <c r="P118" s="539"/>
      <c r="Q118" s="539" t="s">
        <v>996</v>
      </c>
      <c r="R118" s="539"/>
      <c r="S118" s="54"/>
      <c r="T118" s="54"/>
      <c r="U118" s="54"/>
      <c r="V118" s="54"/>
      <c r="W118" s="54"/>
      <c r="X118" s="54"/>
      <c r="Y118" s="54"/>
      <c r="Z118" s="54"/>
      <c r="AA118" s="54"/>
      <c r="AB118" s="54"/>
      <c r="AC118" s="54"/>
      <c r="AD118" s="91"/>
      <c r="AE118" s="91"/>
      <c r="AF118" s="91"/>
      <c r="AG118" s="91"/>
    </row>
    <row r="119" spans="1:33">
      <c r="A119" s="539"/>
      <c r="B119" s="534">
        <v>117</v>
      </c>
      <c r="C119" s="565">
        <v>269305</v>
      </c>
      <c r="D119" s="565">
        <v>42061633</v>
      </c>
      <c r="E119" s="430" t="s">
        <v>1394</v>
      </c>
      <c r="F119" s="565">
        <v>42</v>
      </c>
      <c r="G119" s="54" t="s">
        <v>1395</v>
      </c>
      <c r="H119" s="54" t="s">
        <v>301</v>
      </c>
      <c r="I119" s="565">
        <v>968712505</v>
      </c>
      <c r="J119" s="54" t="s">
        <v>302</v>
      </c>
      <c r="K119" s="594">
        <v>46058</v>
      </c>
      <c r="L119" s="54" t="s">
        <v>916</v>
      </c>
      <c r="M119" s="555" t="s">
        <v>230</v>
      </c>
      <c r="N119" s="54"/>
      <c r="O119" s="437">
        <v>46065</v>
      </c>
      <c r="P119" s="539" t="s">
        <v>292</v>
      </c>
      <c r="Q119" s="803" t="s">
        <v>334</v>
      </c>
      <c r="R119" s="539"/>
      <c r="S119" s="54"/>
      <c r="T119" s="54"/>
      <c r="U119" s="54"/>
      <c r="V119" s="54"/>
      <c r="W119" s="54"/>
      <c r="X119" s="54"/>
      <c r="Y119" s="54"/>
      <c r="Z119" s="54"/>
      <c r="AA119" s="54"/>
      <c r="AB119" s="54"/>
      <c r="AC119" s="54"/>
      <c r="AD119" s="91"/>
      <c r="AE119" s="91"/>
      <c r="AF119" s="91"/>
      <c r="AG119" s="91"/>
    </row>
    <row r="120" spans="1:33">
      <c r="A120" s="539"/>
      <c r="B120" s="534">
        <v>118</v>
      </c>
      <c r="C120" s="565">
        <v>169126</v>
      </c>
      <c r="D120" s="565">
        <v>4203164</v>
      </c>
      <c r="E120" s="430" t="s">
        <v>1396</v>
      </c>
      <c r="F120" s="565">
        <v>62</v>
      </c>
      <c r="G120" s="54" t="s">
        <v>1397</v>
      </c>
      <c r="H120" s="54" t="s">
        <v>1398</v>
      </c>
      <c r="I120" s="534">
        <v>917414257</v>
      </c>
      <c r="J120" s="54" t="s">
        <v>1312</v>
      </c>
      <c r="K120" s="594">
        <v>46058</v>
      </c>
      <c r="L120" s="54" t="s">
        <v>1399</v>
      </c>
      <c r="M120" s="534" t="s">
        <v>1102</v>
      </c>
      <c r="N120" s="54" t="s">
        <v>1199</v>
      </c>
      <c r="O120" s="437">
        <v>46065</v>
      </c>
      <c r="P120" s="539" t="s">
        <v>292</v>
      </c>
      <c r="Q120" s="802">
        <v>46082</v>
      </c>
      <c r="R120" s="539" t="s">
        <v>318</v>
      </c>
      <c r="S120" s="54"/>
      <c r="T120" s="54"/>
      <c r="U120" s="54"/>
      <c r="V120" s="54"/>
      <c r="W120" s="54"/>
      <c r="X120" s="54"/>
      <c r="Y120" s="54"/>
      <c r="Z120" s="54"/>
      <c r="AA120" s="54"/>
      <c r="AB120" s="54"/>
      <c r="AC120" s="54"/>
      <c r="AD120" s="91"/>
      <c r="AE120" s="91"/>
      <c r="AF120" s="91"/>
      <c r="AG120" s="91"/>
    </row>
    <row r="121" spans="1:33">
      <c r="A121" s="534"/>
      <c r="B121" s="534">
        <v>119</v>
      </c>
      <c r="C121" s="534">
        <v>101448</v>
      </c>
      <c r="D121" s="534">
        <v>15604507</v>
      </c>
      <c r="E121" s="50" t="s">
        <v>1400</v>
      </c>
      <c r="F121" s="534">
        <v>61</v>
      </c>
      <c r="G121" s="49" t="s">
        <v>1401</v>
      </c>
      <c r="H121" s="49" t="s">
        <v>278</v>
      </c>
      <c r="I121" s="534" t="s">
        <v>1402</v>
      </c>
      <c r="J121" s="49" t="s">
        <v>238</v>
      </c>
      <c r="K121" s="594">
        <v>46058</v>
      </c>
      <c r="L121" s="49" t="s">
        <v>1403</v>
      </c>
      <c r="M121" s="534" t="s">
        <v>260</v>
      </c>
      <c r="N121" s="49" t="s">
        <v>1404</v>
      </c>
      <c r="O121" s="53">
        <v>46066</v>
      </c>
      <c r="P121" s="546"/>
      <c r="Q121" s="632"/>
      <c r="R121" s="566"/>
      <c r="S121" s="49"/>
      <c r="T121" s="49"/>
      <c r="U121" s="49"/>
      <c r="V121" s="49"/>
      <c r="W121" s="49"/>
      <c r="X121" s="49"/>
      <c r="Y121" s="49"/>
      <c r="Z121" s="49"/>
      <c r="AA121" s="49"/>
      <c r="AB121" s="49"/>
      <c r="AC121" s="49"/>
      <c r="AD121" s="91"/>
      <c r="AE121" s="91"/>
      <c r="AF121" s="91"/>
      <c r="AG121" s="91"/>
    </row>
    <row r="122" spans="1:33">
      <c r="A122" s="545"/>
      <c r="B122" s="534">
        <v>120</v>
      </c>
      <c r="C122" s="545">
        <v>123047</v>
      </c>
      <c r="D122" s="545">
        <v>42577830</v>
      </c>
      <c r="E122" s="57" t="s">
        <v>1405</v>
      </c>
      <c r="F122" s="545">
        <v>41</v>
      </c>
      <c r="G122" s="56" t="s">
        <v>1406</v>
      </c>
      <c r="H122" s="56" t="s">
        <v>278</v>
      </c>
      <c r="I122" s="545" t="s">
        <v>1407</v>
      </c>
      <c r="J122" s="56" t="s">
        <v>238</v>
      </c>
      <c r="K122" s="595">
        <v>46058</v>
      </c>
      <c r="L122" s="56" t="s">
        <v>1408</v>
      </c>
      <c r="M122" s="545" t="s">
        <v>260</v>
      </c>
      <c r="N122" s="56" t="s">
        <v>1409</v>
      </c>
      <c r="O122" s="440">
        <v>46065</v>
      </c>
      <c r="P122" s="545" t="s">
        <v>292</v>
      </c>
      <c r="Q122" s="634"/>
      <c r="R122" s="642" t="s">
        <v>1410</v>
      </c>
      <c r="S122" s="56"/>
      <c r="T122" s="56"/>
      <c r="U122" s="56"/>
      <c r="V122" s="56"/>
      <c r="W122" s="56"/>
      <c r="X122" s="56"/>
      <c r="Y122" s="56"/>
      <c r="Z122" s="56"/>
      <c r="AA122" s="56"/>
      <c r="AB122" s="56"/>
      <c r="AC122" s="56"/>
      <c r="AD122" s="91"/>
      <c r="AE122" s="91"/>
      <c r="AF122" s="91"/>
      <c r="AG122" s="91"/>
    </row>
    <row r="123" spans="1:33">
      <c r="A123" s="539"/>
      <c r="B123" s="534">
        <v>121</v>
      </c>
      <c r="C123" s="565">
        <v>227512</v>
      </c>
      <c r="D123" s="539">
        <v>40920512</v>
      </c>
      <c r="E123" s="48" t="s">
        <v>1411</v>
      </c>
      <c r="F123" s="565">
        <v>44</v>
      </c>
      <c r="G123" s="54" t="s">
        <v>1412</v>
      </c>
      <c r="H123" s="54" t="s">
        <v>222</v>
      </c>
      <c r="I123" s="539">
        <v>955757845</v>
      </c>
      <c r="J123" s="54" t="s">
        <v>238</v>
      </c>
      <c r="K123" s="594">
        <v>46058</v>
      </c>
      <c r="L123" s="54" t="s">
        <v>1156</v>
      </c>
      <c r="M123" s="534" t="s">
        <v>260</v>
      </c>
      <c r="N123" s="49" t="s">
        <v>1413</v>
      </c>
      <c r="O123" s="53">
        <v>46066</v>
      </c>
      <c r="P123" s="539"/>
      <c r="Q123" s="632"/>
      <c r="R123" s="539"/>
      <c r="S123" s="54"/>
      <c r="T123" s="54"/>
      <c r="U123" s="54"/>
      <c r="V123" s="54"/>
      <c r="W123" s="54"/>
      <c r="X123" s="54"/>
      <c r="Y123" s="54"/>
      <c r="Z123" s="54"/>
      <c r="AA123" s="54"/>
      <c r="AB123" s="54"/>
      <c r="AC123" s="54"/>
      <c r="AD123" s="91"/>
      <c r="AE123" s="91"/>
      <c r="AF123" s="91"/>
      <c r="AG123" s="91"/>
    </row>
    <row r="124" spans="1:33">
      <c r="A124" s="539" t="s">
        <v>513</v>
      </c>
      <c r="B124" s="534">
        <v>122</v>
      </c>
      <c r="C124" s="565">
        <v>184408</v>
      </c>
      <c r="D124" s="565">
        <v>80671606</v>
      </c>
      <c r="E124" s="430" t="s">
        <v>1414</v>
      </c>
      <c r="F124" s="565">
        <v>53</v>
      </c>
      <c r="G124" s="54" t="s">
        <v>1415</v>
      </c>
      <c r="H124" s="54" t="s">
        <v>326</v>
      </c>
      <c r="I124" s="565">
        <v>914656534</v>
      </c>
      <c r="J124" s="54" t="s">
        <v>375</v>
      </c>
      <c r="K124" s="594">
        <v>46058</v>
      </c>
      <c r="L124" s="54" t="s">
        <v>1416</v>
      </c>
      <c r="M124" s="534" t="s">
        <v>260</v>
      </c>
      <c r="N124" s="49" t="s">
        <v>1413</v>
      </c>
      <c r="O124" s="437">
        <v>46065</v>
      </c>
      <c r="P124" s="539" t="s">
        <v>292</v>
      </c>
      <c r="Q124" s="803" t="s">
        <v>334</v>
      </c>
      <c r="R124" s="539"/>
      <c r="S124" s="54"/>
      <c r="T124" s="54"/>
      <c r="U124" s="54"/>
      <c r="V124" s="54"/>
      <c r="W124" s="54"/>
      <c r="X124" s="54"/>
      <c r="Y124" s="54"/>
      <c r="Z124" s="54"/>
      <c r="AA124" s="54"/>
      <c r="AB124" s="54"/>
      <c r="AC124" s="54"/>
      <c r="AD124" s="91"/>
      <c r="AE124" s="91"/>
      <c r="AF124" s="91"/>
      <c r="AG124" s="91"/>
    </row>
    <row r="125" spans="1:33">
      <c r="A125" s="534" t="s">
        <v>1417</v>
      </c>
      <c r="B125" s="534">
        <v>123</v>
      </c>
      <c r="C125" s="534">
        <v>215590</v>
      </c>
      <c r="D125" s="534">
        <v>15204670</v>
      </c>
      <c r="E125" s="50" t="s">
        <v>1418</v>
      </c>
      <c r="F125" s="534">
        <v>60</v>
      </c>
      <c r="G125" s="49" t="s">
        <v>1419</v>
      </c>
      <c r="H125" s="49" t="s">
        <v>1420</v>
      </c>
      <c r="I125" s="534">
        <v>915029227</v>
      </c>
      <c r="J125" s="49" t="s">
        <v>1421</v>
      </c>
      <c r="K125" s="594">
        <v>46058</v>
      </c>
      <c r="L125" s="49" t="s">
        <v>1422</v>
      </c>
      <c r="M125" s="534" t="s">
        <v>1102</v>
      </c>
      <c r="N125" s="49" t="s">
        <v>317</v>
      </c>
      <c r="O125" s="437">
        <v>46090</v>
      </c>
      <c r="P125" s="539" t="s">
        <v>1423</v>
      </c>
      <c r="Q125" s="802">
        <v>46082</v>
      </c>
      <c r="R125" s="566" t="s">
        <v>318</v>
      </c>
      <c r="S125" s="49"/>
      <c r="T125" s="49"/>
      <c r="U125" s="49"/>
      <c r="V125" s="49"/>
      <c r="W125" s="49"/>
      <c r="X125" s="49"/>
      <c r="Y125" s="49"/>
      <c r="Z125" s="49"/>
      <c r="AA125" s="49"/>
      <c r="AB125" s="49"/>
      <c r="AC125" s="49"/>
      <c r="AD125" s="91"/>
      <c r="AE125" s="91"/>
      <c r="AF125" s="91"/>
      <c r="AG125" s="91"/>
    </row>
    <row r="126" spans="1:33">
      <c r="A126" s="534"/>
      <c r="B126" s="534">
        <v>124</v>
      </c>
      <c r="C126" s="534">
        <v>218885</v>
      </c>
      <c r="D126" s="534">
        <v>15762766</v>
      </c>
      <c r="E126" s="50" t="s">
        <v>1424</v>
      </c>
      <c r="F126" s="534">
        <v>47</v>
      </c>
      <c r="G126" s="49" t="s">
        <v>1425</v>
      </c>
      <c r="H126" s="49" t="s">
        <v>1426</v>
      </c>
      <c r="I126" s="534">
        <v>991266866</v>
      </c>
      <c r="J126" s="49" t="s">
        <v>707</v>
      </c>
      <c r="K126" s="594">
        <v>46058</v>
      </c>
      <c r="L126" s="49" t="s">
        <v>916</v>
      </c>
      <c r="M126" s="555" t="s">
        <v>230</v>
      </c>
      <c r="N126" s="49" t="s">
        <v>1199</v>
      </c>
      <c r="O126" s="437">
        <v>46065</v>
      </c>
      <c r="P126" s="539" t="s">
        <v>292</v>
      </c>
      <c r="Q126" s="809" t="s">
        <v>334</v>
      </c>
      <c r="R126" s="566"/>
      <c r="S126" s="49"/>
      <c r="T126" s="49"/>
      <c r="U126" s="49"/>
      <c r="V126" s="49"/>
      <c r="W126" s="49"/>
      <c r="X126" s="49"/>
      <c r="Y126" s="49"/>
      <c r="Z126" s="49"/>
      <c r="AA126" s="49"/>
      <c r="AB126" s="49"/>
      <c r="AC126" s="49"/>
      <c r="AD126" s="91"/>
      <c r="AE126" s="91"/>
      <c r="AF126" s="91"/>
      <c r="AG126" s="91"/>
    </row>
    <row r="127" spans="1:33">
      <c r="A127" s="534"/>
      <c r="B127" s="534">
        <v>125</v>
      </c>
      <c r="C127" s="534">
        <v>115864</v>
      </c>
      <c r="D127" s="534">
        <v>40933633</v>
      </c>
      <c r="E127" s="50" t="s">
        <v>1427</v>
      </c>
      <c r="F127" s="534">
        <v>44</v>
      </c>
      <c r="G127" s="49" t="s">
        <v>1428</v>
      </c>
      <c r="H127" s="49" t="s">
        <v>326</v>
      </c>
      <c r="I127" s="534">
        <v>957622830</v>
      </c>
      <c r="J127" s="49" t="s">
        <v>827</v>
      </c>
      <c r="K127" s="594">
        <v>46058</v>
      </c>
      <c r="L127" s="49" t="s">
        <v>1429</v>
      </c>
      <c r="M127" s="534" t="s">
        <v>260</v>
      </c>
      <c r="N127" s="49" t="s">
        <v>1413</v>
      </c>
      <c r="O127" s="437">
        <v>46065</v>
      </c>
      <c r="P127" s="539" t="s">
        <v>292</v>
      </c>
      <c r="Q127" s="803" t="s">
        <v>334</v>
      </c>
      <c r="R127" s="566"/>
      <c r="S127" s="49"/>
      <c r="T127" s="49"/>
      <c r="U127" s="49"/>
      <c r="V127" s="49"/>
      <c r="W127" s="49"/>
      <c r="X127" s="49"/>
      <c r="Y127" s="49"/>
      <c r="Z127" s="49"/>
      <c r="AA127" s="49"/>
      <c r="AB127" s="49"/>
      <c r="AC127" s="49"/>
      <c r="AD127" s="91"/>
      <c r="AE127" s="91"/>
      <c r="AF127" s="91"/>
      <c r="AG127" s="91"/>
    </row>
    <row r="128" spans="1:33">
      <c r="A128" s="534"/>
      <c r="B128" s="534">
        <v>126</v>
      </c>
      <c r="C128" s="534">
        <v>257866</v>
      </c>
      <c r="D128" s="534">
        <v>15762729</v>
      </c>
      <c r="E128" s="50" t="s">
        <v>1430</v>
      </c>
      <c r="F128" s="534">
        <v>47</v>
      </c>
      <c r="G128" s="49" t="s">
        <v>1431</v>
      </c>
      <c r="H128" s="49" t="s">
        <v>278</v>
      </c>
      <c r="I128" s="534">
        <v>983324225</v>
      </c>
      <c r="J128" s="49" t="s">
        <v>238</v>
      </c>
      <c r="K128" s="594">
        <v>46058</v>
      </c>
      <c r="L128" s="49" t="s">
        <v>1432</v>
      </c>
      <c r="M128" s="534" t="s">
        <v>260</v>
      </c>
      <c r="N128" s="49" t="s">
        <v>1413</v>
      </c>
      <c r="O128" s="53">
        <v>46066</v>
      </c>
      <c r="P128" s="546"/>
      <c r="Q128" s="632"/>
      <c r="R128" s="566"/>
      <c r="S128" s="49"/>
      <c r="T128" s="49"/>
      <c r="U128" s="49"/>
      <c r="V128" s="49"/>
      <c r="W128" s="49"/>
      <c r="X128" s="49"/>
      <c r="Y128" s="49"/>
      <c r="Z128" s="49"/>
      <c r="AA128" s="49"/>
      <c r="AB128" s="49"/>
      <c r="AC128" s="49"/>
      <c r="AD128" s="91"/>
      <c r="AE128" s="91"/>
      <c r="AF128" s="91"/>
      <c r="AG128" s="91"/>
    </row>
    <row r="129" spans="1:33">
      <c r="A129" s="534"/>
      <c r="B129" s="534">
        <v>127</v>
      </c>
      <c r="C129" s="534">
        <v>310778</v>
      </c>
      <c r="D129" s="534">
        <v>15747042</v>
      </c>
      <c r="E129" s="50" t="s">
        <v>1433</v>
      </c>
      <c r="F129" s="534">
        <v>54</v>
      </c>
      <c r="G129" s="49" t="s">
        <v>1434</v>
      </c>
      <c r="H129" s="49" t="s">
        <v>278</v>
      </c>
      <c r="I129" s="534">
        <v>986827440</v>
      </c>
      <c r="J129" s="49" t="s">
        <v>238</v>
      </c>
      <c r="K129" s="594">
        <v>46058</v>
      </c>
      <c r="L129" s="49" t="s">
        <v>376</v>
      </c>
      <c r="M129" s="555" t="s">
        <v>230</v>
      </c>
      <c r="N129" s="49" t="s">
        <v>1199</v>
      </c>
      <c r="O129" s="53">
        <v>46069</v>
      </c>
      <c r="P129" s="546"/>
      <c r="Q129" s="634"/>
      <c r="R129" s="566"/>
      <c r="S129" s="49"/>
      <c r="T129" s="49"/>
      <c r="U129" s="49"/>
      <c r="V129" s="49"/>
      <c r="W129" s="49"/>
      <c r="X129" s="49"/>
      <c r="Y129" s="49"/>
      <c r="Z129" s="49"/>
      <c r="AA129" s="49"/>
      <c r="AB129" s="49"/>
      <c r="AC129" s="49"/>
      <c r="AD129" s="91"/>
      <c r="AE129" s="91"/>
      <c r="AF129" s="91"/>
      <c r="AG129" s="91"/>
    </row>
    <row r="130" spans="1:33">
      <c r="A130" s="534"/>
      <c r="B130" s="534">
        <v>128</v>
      </c>
      <c r="C130" s="534">
        <v>32472</v>
      </c>
      <c r="D130" s="534">
        <v>15729565</v>
      </c>
      <c r="E130" s="50" t="s">
        <v>1435</v>
      </c>
      <c r="F130" s="534">
        <v>52</v>
      </c>
      <c r="G130" s="49" t="s">
        <v>1436</v>
      </c>
      <c r="H130" s="49" t="s">
        <v>1437</v>
      </c>
      <c r="I130" s="534">
        <v>923035689</v>
      </c>
      <c r="J130" s="49" t="s">
        <v>238</v>
      </c>
      <c r="K130" s="594">
        <v>46058</v>
      </c>
      <c r="L130" s="49" t="s">
        <v>376</v>
      </c>
      <c r="M130" s="555" t="s">
        <v>230</v>
      </c>
      <c r="N130" s="49" t="s">
        <v>1199</v>
      </c>
      <c r="O130" s="53">
        <v>46069</v>
      </c>
      <c r="P130" s="546"/>
      <c r="Q130" s="546" t="s">
        <v>1438</v>
      </c>
      <c r="R130" s="566"/>
      <c r="S130" s="49"/>
      <c r="T130" s="49"/>
      <c r="U130" s="49"/>
      <c r="V130" s="49"/>
      <c r="W130" s="49"/>
      <c r="X130" s="49"/>
      <c r="Y130" s="49"/>
      <c r="Z130" s="49"/>
      <c r="AA130" s="49"/>
      <c r="AB130" s="49"/>
      <c r="AC130" s="49"/>
      <c r="AD130" s="91"/>
      <c r="AE130" s="91"/>
      <c r="AF130" s="91"/>
      <c r="AG130" s="91"/>
    </row>
    <row r="131" spans="1:33">
      <c r="A131" s="534"/>
      <c r="B131" s="534">
        <v>129</v>
      </c>
      <c r="C131" s="534">
        <v>172792</v>
      </c>
      <c r="D131" s="534">
        <v>15744021</v>
      </c>
      <c r="E131" s="50" t="s">
        <v>1439</v>
      </c>
      <c r="F131" s="534">
        <v>50</v>
      </c>
      <c r="G131" s="49" t="s">
        <v>1440</v>
      </c>
      <c r="H131" s="49" t="s">
        <v>301</v>
      </c>
      <c r="I131" s="534">
        <v>930950782</v>
      </c>
      <c r="J131" s="49" t="s">
        <v>380</v>
      </c>
      <c r="K131" s="594">
        <v>46058</v>
      </c>
      <c r="L131" s="49" t="s">
        <v>916</v>
      </c>
      <c r="M131" s="555" t="s">
        <v>230</v>
      </c>
      <c r="N131" s="49"/>
      <c r="O131" s="437">
        <v>46065</v>
      </c>
      <c r="P131" s="539" t="s">
        <v>292</v>
      </c>
      <c r="Q131" s="811" t="s">
        <v>339</v>
      </c>
      <c r="R131" s="566"/>
      <c r="S131" s="49"/>
      <c r="T131" s="49"/>
      <c r="U131" s="49"/>
      <c r="V131" s="49"/>
      <c r="W131" s="49"/>
      <c r="X131" s="49"/>
      <c r="Y131" s="49"/>
      <c r="Z131" s="49"/>
      <c r="AA131" s="49"/>
      <c r="AB131" s="49"/>
      <c r="AC131" s="49"/>
      <c r="AD131" s="91"/>
      <c r="AE131" s="91"/>
      <c r="AF131" s="91"/>
      <c r="AG131" s="91"/>
    </row>
    <row r="132" spans="1:33">
      <c r="A132" s="536"/>
      <c r="B132" s="534">
        <v>130</v>
      </c>
      <c r="C132" s="536">
        <v>126725</v>
      </c>
      <c r="D132" s="536">
        <v>15685947</v>
      </c>
      <c r="E132" s="212" t="s">
        <v>1441</v>
      </c>
      <c r="F132" s="536">
        <v>63</v>
      </c>
      <c r="G132" s="59" t="s">
        <v>1442</v>
      </c>
      <c r="H132" s="59" t="s">
        <v>237</v>
      </c>
      <c r="I132" s="536">
        <v>955765562</v>
      </c>
      <c r="J132" s="59" t="s">
        <v>238</v>
      </c>
      <c r="K132" s="596">
        <v>46058</v>
      </c>
      <c r="L132" s="59" t="s">
        <v>1443</v>
      </c>
      <c r="M132" s="536" t="s">
        <v>323</v>
      </c>
      <c r="N132" s="59" t="s">
        <v>1344</v>
      </c>
      <c r="O132" s="438">
        <v>46069</v>
      </c>
      <c r="P132" s="612"/>
      <c r="Q132" s="632"/>
      <c r="R132" s="612"/>
      <c r="S132" s="59"/>
      <c r="T132" s="59"/>
      <c r="U132" s="59"/>
      <c r="V132" s="59"/>
      <c r="W132" s="59"/>
      <c r="X132" s="59"/>
      <c r="Y132" s="59"/>
      <c r="Z132" s="59"/>
      <c r="AA132" s="59"/>
      <c r="AB132" s="59"/>
      <c r="AC132" s="59"/>
      <c r="AD132" s="91"/>
      <c r="AE132" s="91"/>
      <c r="AF132" s="91"/>
      <c r="AG132" s="91"/>
    </row>
    <row r="133" spans="1:33">
      <c r="A133" s="534"/>
      <c r="B133" s="534">
        <v>131</v>
      </c>
      <c r="C133" s="534">
        <v>128854</v>
      </c>
      <c r="D133" s="534">
        <v>42846234</v>
      </c>
      <c r="E133" s="50" t="s">
        <v>1444</v>
      </c>
      <c r="F133" s="534">
        <v>40</v>
      </c>
      <c r="G133" s="49" t="s">
        <v>1442</v>
      </c>
      <c r="H133" s="49" t="s">
        <v>237</v>
      </c>
      <c r="I133" s="534">
        <v>974636999</v>
      </c>
      <c r="J133" s="49" t="s">
        <v>238</v>
      </c>
      <c r="K133" s="594">
        <v>46058</v>
      </c>
      <c r="L133" s="49" t="s">
        <v>1083</v>
      </c>
      <c r="M133" s="534" t="s">
        <v>260</v>
      </c>
      <c r="N133" s="49" t="s">
        <v>1413</v>
      </c>
      <c r="O133" s="53">
        <v>46069</v>
      </c>
      <c r="P133" s="546"/>
      <c r="Q133" s="632"/>
      <c r="R133" s="566"/>
      <c r="S133" s="49"/>
      <c r="T133" s="49"/>
      <c r="U133" s="49"/>
      <c r="V133" s="49"/>
      <c r="W133" s="49"/>
      <c r="X133" s="49"/>
      <c r="Y133" s="49"/>
      <c r="Z133" s="49"/>
      <c r="AA133" s="49"/>
      <c r="AB133" s="49"/>
      <c r="AC133" s="49"/>
      <c r="AD133" s="91"/>
      <c r="AE133" s="91"/>
      <c r="AF133" s="91"/>
      <c r="AG133" s="91"/>
    </row>
    <row r="134" spans="1:33">
      <c r="A134" s="534"/>
      <c r="B134" s="534">
        <v>132</v>
      </c>
      <c r="C134" s="534">
        <v>186114</v>
      </c>
      <c r="D134" s="534">
        <v>15657291</v>
      </c>
      <c r="E134" s="50" t="s">
        <v>1445</v>
      </c>
      <c r="F134" s="534">
        <v>63</v>
      </c>
      <c r="G134" s="49" t="s">
        <v>1446</v>
      </c>
      <c r="H134" s="49" t="s">
        <v>1217</v>
      </c>
      <c r="I134" s="534">
        <v>951239408</v>
      </c>
      <c r="J134" s="49" t="s">
        <v>238</v>
      </c>
      <c r="K134" s="594">
        <v>46058</v>
      </c>
      <c r="L134" s="49" t="s">
        <v>1163</v>
      </c>
      <c r="M134" s="555" t="s">
        <v>230</v>
      </c>
      <c r="N134" s="49" t="s">
        <v>1344</v>
      </c>
      <c r="O134" s="53">
        <v>46069</v>
      </c>
      <c r="P134" s="546"/>
      <c r="Q134" s="634"/>
      <c r="R134" s="566"/>
      <c r="S134" s="49"/>
      <c r="T134" s="49"/>
      <c r="U134" s="49"/>
      <c r="V134" s="49"/>
      <c r="W134" s="49"/>
      <c r="X134" s="49"/>
      <c r="Y134" s="49"/>
      <c r="Z134" s="49"/>
      <c r="AA134" s="49"/>
      <c r="AB134" s="49"/>
      <c r="AC134" s="49"/>
      <c r="AD134" s="91"/>
      <c r="AE134" s="91"/>
      <c r="AF134" s="91"/>
      <c r="AG134" s="91"/>
    </row>
    <row r="135" spans="1:33">
      <c r="A135" s="533">
        <v>46059</v>
      </c>
      <c r="B135" s="534">
        <v>133</v>
      </c>
      <c r="C135" s="534">
        <v>522686</v>
      </c>
      <c r="D135" s="534">
        <v>15974810</v>
      </c>
      <c r="E135" s="50" t="s">
        <v>1447</v>
      </c>
      <c r="F135" s="534">
        <v>55</v>
      </c>
      <c r="G135" s="49" t="s">
        <v>1448</v>
      </c>
      <c r="H135" s="49" t="s">
        <v>911</v>
      </c>
      <c r="I135" s="534">
        <v>996531831</v>
      </c>
      <c r="J135" s="49" t="s">
        <v>238</v>
      </c>
      <c r="K135" s="535">
        <v>46059</v>
      </c>
      <c r="L135" s="49" t="s">
        <v>1449</v>
      </c>
      <c r="M135" s="555" t="s">
        <v>230</v>
      </c>
      <c r="N135" s="49" t="s">
        <v>1344</v>
      </c>
      <c r="O135" s="53">
        <v>46069</v>
      </c>
      <c r="P135" s="546"/>
      <c r="Q135" s="634"/>
      <c r="R135" s="566"/>
      <c r="S135" s="49"/>
      <c r="T135" s="49"/>
      <c r="U135" s="49"/>
      <c r="V135" s="49"/>
      <c r="W135" s="49"/>
      <c r="X135" s="49"/>
      <c r="Y135" s="49"/>
      <c r="Z135" s="49"/>
      <c r="AA135" s="49"/>
      <c r="AB135" s="49"/>
      <c r="AC135" s="49"/>
      <c r="AD135" s="91"/>
      <c r="AE135" s="91"/>
      <c r="AF135" s="91"/>
      <c r="AG135" s="91"/>
    </row>
    <row r="136" spans="1:33">
      <c r="A136" s="534"/>
      <c r="B136" s="534">
        <v>134</v>
      </c>
      <c r="C136" s="534">
        <v>159328</v>
      </c>
      <c r="D136" s="534">
        <v>15723020</v>
      </c>
      <c r="E136" s="50" t="s">
        <v>1450</v>
      </c>
      <c r="F136" s="534">
        <v>55</v>
      </c>
      <c r="G136" s="49" t="s">
        <v>1451</v>
      </c>
      <c r="H136" s="49" t="s">
        <v>301</v>
      </c>
      <c r="I136" s="534">
        <v>980845569</v>
      </c>
      <c r="J136" s="49" t="s">
        <v>380</v>
      </c>
      <c r="K136" s="535">
        <v>46059</v>
      </c>
      <c r="L136" s="49" t="s">
        <v>1083</v>
      </c>
      <c r="M136" s="534" t="s">
        <v>260</v>
      </c>
      <c r="N136" s="49" t="s">
        <v>1413</v>
      </c>
      <c r="O136" s="437">
        <v>46070</v>
      </c>
      <c r="P136" s="539" t="s">
        <v>1385</v>
      </c>
      <c r="Q136" s="803" t="s">
        <v>334</v>
      </c>
      <c r="R136" s="566"/>
      <c r="S136" s="49"/>
      <c r="T136" s="49"/>
      <c r="U136" s="49"/>
      <c r="V136" s="49"/>
      <c r="W136" s="49"/>
      <c r="X136" s="49"/>
      <c r="Y136" s="49"/>
      <c r="Z136" s="49"/>
      <c r="AA136" s="49"/>
      <c r="AB136" s="49"/>
      <c r="AC136" s="49"/>
      <c r="AD136" s="91"/>
      <c r="AE136" s="91"/>
      <c r="AF136" s="91"/>
      <c r="AG136" s="91"/>
    </row>
    <row r="137" spans="1:33">
      <c r="A137" s="534"/>
      <c r="B137" s="534">
        <v>135</v>
      </c>
      <c r="C137" s="534">
        <v>84861</v>
      </c>
      <c r="D137" s="534">
        <v>15720192</v>
      </c>
      <c r="E137" s="50" t="s">
        <v>1452</v>
      </c>
      <c r="F137" s="534">
        <v>57</v>
      </c>
      <c r="G137" s="49" t="s">
        <v>1453</v>
      </c>
      <c r="H137" s="49" t="s">
        <v>326</v>
      </c>
      <c r="I137" s="534">
        <v>998223906</v>
      </c>
      <c r="J137" s="49" t="s">
        <v>375</v>
      </c>
      <c r="K137" s="535">
        <v>46059</v>
      </c>
      <c r="L137" s="49" t="s">
        <v>683</v>
      </c>
      <c r="M137" s="555" t="s">
        <v>1102</v>
      </c>
      <c r="N137" s="49" t="s">
        <v>1199</v>
      </c>
      <c r="O137" s="437">
        <v>46066</v>
      </c>
      <c r="P137" s="546" t="s">
        <v>1454</v>
      </c>
      <c r="Q137" s="892" t="s">
        <v>1455</v>
      </c>
      <c r="R137" s="566"/>
      <c r="S137" s="49"/>
      <c r="T137" s="49"/>
      <c r="U137" s="49"/>
      <c r="V137" s="49"/>
      <c r="W137" s="49"/>
      <c r="X137" s="49"/>
      <c r="Y137" s="49"/>
      <c r="Z137" s="49"/>
      <c r="AA137" s="49"/>
      <c r="AB137" s="49"/>
      <c r="AC137" s="49"/>
      <c r="AD137" s="91"/>
      <c r="AE137" s="91"/>
      <c r="AF137" s="91"/>
      <c r="AG137" s="91"/>
    </row>
    <row r="138" spans="1:33">
      <c r="A138" s="534"/>
      <c r="B138" s="534">
        <v>136</v>
      </c>
      <c r="C138" s="534">
        <v>131769</v>
      </c>
      <c r="D138" s="534">
        <v>15729972</v>
      </c>
      <c r="E138" s="50" t="s">
        <v>1456</v>
      </c>
      <c r="F138" s="534">
        <v>57</v>
      </c>
      <c r="G138" s="49" t="s">
        <v>1457</v>
      </c>
      <c r="H138" s="49" t="s">
        <v>301</v>
      </c>
      <c r="I138" s="534">
        <v>941586772</v>
      </c>
      <c r="J138" s="49" t="s">
        <v>238</v>
      </c>
      <c r="K138" s="535">
        <v>46059</v>
      </c>
      <c r="L138" s="49" t="s">
        <v>1458</v>
      </c>
      <c r="M138" s="555" t="s">
        <v>230</v>
      </c>
      <c r="N138" s="49" t="s">
        <v>1459</v>
      </c>
      <c r="O138" s="53">
        <v>46069</v>
      </c>
      <c r="P138" s="546"/>
      <c r="Q138" s="632"/>
      <c r="R138" s="566"/>
      <c r="S138" s="49"/>
      <c r="T138" s="49"/>
      <c r="U138" s="49"/>
      <c r="V138" s="49"/>
      <c r="W138" s="49"/>
      <c r="X138" s="49"/>
      <c r="Y138" s="49"/>
      <c r="Z138" s="49"/>
      <c r="AA138" s="49"/>
      <c r="AB138" s="49"/>
      <c r="AC138" s="49"/>
      <c r="AD138" s="91"/>
      <c r="AE138" s="91"/>
      <c r="AF138" s="91"/>
      <c r="AG138" s="91"/>
    </row>
    <row r="139" spans="1:33">
      <c r="A139" s="534"/>
      <c r="B139" s="534">
        <v>137</v>
      </c>
      <c r="C139" s="534">
        <v>522690</v>
      </c>
      <c r="D139" s="534">
        <v>20595951</v>
      </c>
      <c r="E139" s="50" t="s">
        <v>1460</v>
      </c>
      <c r="F139" s="534">
        <v>47</v>
      </c>
      <c r="G139" s="49" t="s">
        <v>1461</v>
      </c>
      <c r="H139" s="49" t="s">
        <v>911</v>
      </c>
      <c r="I139" s="534">
        <v>921344937</v>
      </c>
      <c r="J139" s="49" t="s">
        <v>238</v>
      </c>
      <c r="K139" s="535">
        <v>46059</v>
      </c>
      <c r="L139" s="49" t="s">
        <v>458</v>
      </c>
      <c r="M139" s="534" t="s">
        <v>260</v>
      </c>
      <c r="N139" s="49" t="s">
        <v>241</v>
      </c>
      <c r="O139" s="53">
        <v>46069</v>
      </c>
      <c r="P139" s="546"/>
      <c r="Q139" s="632"/>
      <c r="R139" s="566"/>
      <c r="S139" s="49"/>
      <c r="T139" s="49"/>
      <c r="U139" s="49"/>
      <c r="V139" s="49"/>
      <c r="W139" s="49"/>
      <c r="X139" s="49"/>
      <c r="Y139" s="49"/>
      <c r="Z139" s="49"/>
      <c r="AA139" s="49"/>
      <c r="AB139" s="49"/>
      <c r="AC139" s="49"/>
      <c r="AD139" s="91"/>
      <c r="AE139" s="91"/>
      <c r="AF139" s="91"/>
      <c r="AG139" s="91"/>
    </row>
    <row r="140" spans="1:33">
      <c r="A140" s="534"/>
      <c r="B140" s="534">
        <v>138</v>
      </c>
      <c r="C140" s="534">
        <v>35345</v>
      </c>
      <c r="D140" s="534">
        <v>15714525</v>
      </c>
      <c r="E140" s="50" t="s">
        <v>1462</v>
      </c>
      <c r="F140" s="534">
        <v>59</v>
      </c>
      <c r="G140" s="49" t="s">
        <v>1463</v>
      </c>
      <c r="H140" s="49" t="s">
        <v>301</v>
      </c>
      <c r="I140" s="534">
        <v>939583219</v>
      </c>
      <c r="J140" s="49" t="s">
        <v>375</v>
      </c>
      <c r="K140" s="535">
        <v>46059</v>
      </c>
      <c r="L140" s="49" t="s">
        <v>1464</v>
      </c>
      <c r="M140" s="534" t="s">
        <v>260</v>
      </c>
      <c r="N140" s="49" t="s">
        <v>241</v>
      </c>
      <c r="O140" s="437">
        <v>46066</v>
      </c>
      <c r="P140" s="546" t="s">
        <v>1454</v>
      </c>
      <c r="Q140" s="803" t="s">
        <v>334</v>
      </c>
      <c r="R140" s="566"/>
      <c r="S140" s="49"/>
      <c r="T140" s="49"/>
      <c r="U140" s="49"/>
      <c r="V140" s="49"/>
      <c r="W140" s="49"/>
      <c r="X140" s="49"/>
      <c r="Y140" s="49"/>
      <c r="Z140" s="49"/>
      <c r="AA140" s="49"/>
      <c r="AB140" s="49"/>
      <c r="AC140" s="49"/>
      <c r="AD140" s="91"/>
      <c r="AE140" s="91"/>
      <c r="AF140" s="91"/>
      <c r="AG140" s="91"/>
    </row>
    <row r="141" spans="1:33">
      <c r="A141" s="534"/>
      <c r="B141" s="534">
        <v>139</v>
      </c>
      <c r="C141" s="534">
        <v>74838</v>
      </c>
      <c r="D141" s="534">
        <v>15612894</v>
      </c>
      <c r="E141" s="50" t="s">
        <v>1465</v>
      </c>
      <c r="F141" s="534">
        <v>65</v>
      </c>
      <c r="G141" s="49" t="s">
        <v>1466</v>
      </c>
      <c r="H141" s="49" t="s">
        <v>278</v>
      </c>
      <c r="I141" s="534">
        <v>974664756</v>
      </c>
      <c r="J141" s="49" t="s">
        <v>238</v>
      </c>
      <c r="K141" s="535">
        <v>46060</v>
      </c>
      <c r="L141" s="49" t="s">
        <v>683</v>
      </c>
      <c r="M141" s="555" t="s">
        <v>1102</v>
      </c>
      <c r="N141" s="49" t="s">
        <v>1199</v>
      </c>
      <c r="O141" s="53">
        <v>46069</v>
      </c>
      <c r="P141" s="546"/>
      <c r="Q141" s="632"/>
      <c r="R141" s="566"/>
      <c r="S141" s="49"/>
      <c r="T141" s="49"/>
      <c r="U141" s="49"/>
      <c r="V141" s="49"/>
      <c r="W141" s="49"/>
      <c r="X141" s="49"/>
      <c r="Y141" s="49"/>
      <c r="Z141" s="49"/>
      <c r="AA141" s="49"/>
      <c r="AB141" s="49"/>
      <c r="AC141" s="49"/>
      <c r="AD141" s="91"/>
      <c r="AE141" s="91"/>
      <c r="AF141" s="91"/>
      <c r="AG141" s="91"/>
    </row>
    <row r="142" spans="1:33">
      <c r="A142" s="534"/>
      <c r="B142" s="534">
        <v>140</v>
      </c>
      <c r="C142" s="534">
        <v>203206</v>
      </c>
      <c r="D142" s="534">
        <v>41599825</v>
      </c>
      <c r="E142" s="50" t="s">
        <v>1467</v>
      </c>
      <c r="F142" s="534">
        <v>43</v>
      </c>
      <c r="G142" s="49" t="s">
        <v>1468</v>
      </c>
      <c r="H142" s="49" t="s">
        <v>278</v>
      </c>
      <c r="I142" s="534">
        <v>934498978</v>
      </c>
      <c r="J142" s="49" t="s">
        <v>238</v>
      </c>
      <c r="K142" s="535">
        <v>46061</v>
      </c>
      <c r="L142" s="49" t="s">
        <v>1469</v>
      </c>
      <c r="M142" s="534" t="s">
        <v>260</v>
      </c>
      <c r="N142" s="49" t="s">
        <v>241</v>
      </c>
      <c r="O142" s="53">
        <v>46069</v>
      </c>
      <c r="P142" s="546"/>
      <c r="Q142" s="632"/>
      <c r="R142" s="566"/>
      <c r="S142" s="49"/>
      <c r="T142" s="49"/>
      <c r="U142" s="49"/>
      <c r="V142" s="49"/>
      <c r="W142" s="49"/>
      <c r="X142" s="49"/>
      <c r="Y142" s="49"/>
      <c r="Z142" s="49"/>
      <c r="AA142" s="49"/>
      <c r="AB142" s="49"/>
      <c r="AC142" s="49"/>
      <c r="AD142" s="91"/>
      <c r="AE142" s="91"/>
      <c r="AF142" s="91"/>
      <c r="AG142" s="91"/>
    </row>
    <row r="143" spans="1:33">
      <c r="A143" s="534"/>
      <c r="B143" s="534">
        <v>141</v>
      </c>
      <c r="C143" s="534">
        <v>309599</v>
      </c>
      <c r="D143" s="534">
        <v>40430421</v>
      </c>
      <c r="E143" s="50" t="s">
        <v>1470</v>
      </c>
      <c r="F143" s="534">
        <v>46</v>
      </c>
      <c r="G143" s="49" t="s">
        <v>1471</v>
      </c>
      <c r="H143" s="49" t="s">
        <v>432</v>
      </c>
      <c r="I143" s="534">
        <v>977576946</v>
      </c>
      <c r="J143" s="49" t="s">
        <v>223</v>
      </c>
      <c r="K143" s="535">
        <v>46062</v>
      </c>
      <c r="L143" s="49" t="s">
        <v>1472</v>
      </c>
      <c r="M143" s="534" t="s">
        <v>260</v>
      </c>
      <c r="N143" s="49" t="s">
        <v>241</v>
      </c>
      <c r="O143" s="437">
        <v>46083</v>
      </c>
      <c r="P143" s="539" t="s">
        <v>292</v>
      </c>
      <c r="Q143" s="802">
        <v>46082</v>
      </c>
      <c r="R143" s="806" t="s">
        <v>228</v>
      </c>
      <c r="S143" s="49"/>
      <c r="T143" s="49"/>
      <c r="U143" s="49"/>
      <c r="V143" s="49"/>
      <c r="W143" s="49"/>
      <c r="X143" s="49"/>
      <c r="Y143" s="49"/>
      <c r="Z143" s="49"/>
      <c r="AA143" s="49"/>
      <c r="AB143" s="49"/>
      <c r="AC143" s="49"/>
      <c r="AD143" s="91"/>
      <c r="AE143" s="91"/>
      <c r="AF143" s="91"/>
      <c r="AG143" s="91"/>
    </row>
    <row r="144" spans="1:33">
      <c r="A144" s="534"/>
      <c r="B144" s="534">
        <v>142</v>
      </c>
      <c r="C144" s="534">
        <v>40047</v>
      </c>
      <c r="D144" s="534">
        <v>15640697</v>
      </c>
      <c r="E144" s="50" t="s">
        <v>1473</v>
      </c>
      <c r="F144" s="534">
        <v>56</v>
      </c>
      <c r="G144" s="49" t="s">
        <v>1474</v>
      </c>
      <c r="H144" s="49" t="s">
        <v>432</v>
      </c>
      <c r="I144" s="534">
        <v>995052793</v>
      </c>
      <c r="J144" s="49" t="s">
        <v>223</v>
      </c>
      <c r="K144" s="535">
        <v>46059</v>
      </c>
      <c r="L144" s="49" t="s">
        <v>683</v>
      </c>
      <c r="M144" s="555" t="s">
        <v>1102</v>
      </c>
      <c r="N144" s="49" t="s">
        <v>1475</v>
      </c>
      <c r="O144" s="437">
        <v>46083</v>
      </c>
      <c r="P144" s="539" t="s">
        <v>292</v>
      </c>
      <c r="Q144" s="802">
        <v>46082</v>
      </c>
      <c r="R144" s="534" t="s">
        <v>242</v>
      </c>
      <c r="S144" s="49"/>
      <c r="T144" s="49"/>
      <c r="U144" s="49"/>
      <c r="V144" s="49"/>
      <c r="W144" s="49"/>
      <c r="X144" s="49"/>
      <c r="Y144" s="49"/>
      <c r="Z144" s="49"/>
      <c r="AA144" s="49"/>
      <c r="AB144" s="49"/>
      <c r="AC144" s="49"/>
      <c r="AD144" s="91"/>
      <c r="AE144" s="91"/>
      <c r="AF144" s="91"/>
      <c r="AG144" s="91"/>
    </row>
    <row r="145" spans="1:33">
      <c r="A145" s="534"/>
      <c r="B145" s="534">
        <v>143</v>
      </c>
      <c r="C145" s="534">
        <v>236964</v>
      </c>
      <c r="D145" s="534">
        <v>42367665</v>
      </c>
      <c r="E145" s="50" t="s">
        <v>1476</v>
      </c>
      <c r="F145" s="534">
        <v>41</v>
      </c>
      <c r="G145" s="49" t="s">
        <v>1477</v>
      </c>
      <c r="H145" s="49" t="s">
        <v>288</v>
      </c>
      <c r="I145" s="534">
        <v>994324470</v>
      </c>
      <c r="J145" s="49" t="s">
        <v>1105</v>
      </c>
      <c r="K145" s="535">
        <v>46059</v>
      </c>
      <c r="L145" s="49" t="s">
        <v>458</v>
      </c>
      <c r="M145" s="534" t="s">
        <v>260</v>
      </c>
      <c r="N145" s="49" t="s">
        <v>241</v>
      </c>
      <c r="O145" s="437">
        <v>46090</v>
      </c>
      <c r="P145" s="546" t="s">
        <v>1478</v>
      </c>
      <c r="Q145" s="803" t="s">
        <v>334</v>
      </c>
      <c r="R145" s="534" t="s">
        <v>242</v>
      </c>
      <c r="S145" s="49"/>
      <c r="T145" s="49"/>
      <c r="U145" s="49"/>
      <c r="V145" s="49"/>
      <c r="W145" s="49"/>
      <c r="X145" s="49"/>
      <c r="Y145" s="49"/>
      <c r="Z145" s="49"/>
      <c r="AA145" s="49"/>
      <c r="AB145" s="49"/>
      <c r="AC145" s="49"/>
      <c r="AD145" s="91"/>
      <c r="AE145" s="91"/>
      <c r="AF145" s="91"/>
      <c r="AG145" s="91"/>
    </row>
    <row r="146" spans="1:33">
      <c r="A146" s="545"/>
      <c r="B146" s="534">
        <v>144</v>
      </c>
      <c r="C146" s="545">
        <v>253906</v>
      </c>
      <c r="D146" s="545">
        <v>45413607</v>
      </c>
      <c r="E146" s="57" t="s">
        <v>235</v>
      </c>
      <c r="F146" s="545">
        <v>42</v>
      </c>
      <c r="G146" s="56" t="s">
        <v>236</v>
      </c>
      <c r="H146" s="56" t="s">
        <v>237</v>
      </c>
      <c r="I146" s="545">
        <v>967847685</v>
      </c>
      <c r="J146" s="56" t="s">
        <v>238</v>
      </c>
      <c r="K146" s="592">
        <v>46059</v>
      </c>
      <c r="L146" s="56" t="s">
        <v>239</v>
      </c>
      <c r="M146" s="545" t="s">
        <v>240</v>
      </c>
      <c r="N146" s="56" t="s">
        <v>241</v>
      </c>
      <c r="O146" s="439">
        <v>46069</v>
      </c>
      <c r="P146" s="614"/>
      <c r="Q146" s="614" t="s">
        <v>1479</v>
      </c>
      <c r="R146" s="614"/>
      <c r="S146" s="56"/>
      <c r="T146" s="56"/>
      <c r="U146" s="56"/>
      <c r="V146" s="56"/>
      <c r="W146" s="56"/>
      <c r="X146" s="56"/>
      <c r="Y146" s="56"/>
      <c r="Z146" s="56"/>
      <c r="AA146" s="56"/>
      <c r="AB146" s="56"/>
      <c r="AC146" s="56"/>
      <c r="AD146" s="91"/>
      <c r="AE146" s="91"/>
      <c r="AF146" s="91"/>
      <c r="AG146" s="91"/>
    </row>
    <row r="147" spans="1:33">
      <c r="A147" s="534"/>
      <c r="B147" s="534">
        <v>145</v>
      </c>
      <c r="C147" s="534">
        <v>174726</v>
      </c>
      <c r="D147" s="534">
        <v>15736141</v>
      </c>
      <c r="E147" s="50" t="s">
        <v>1480</v>
      </c>
      <c r="F147" s="534">
        <v>51</v>
      </c>
      <c r="G147" s="49" t="s">
        <v>1481</v>
      </c>
      <c r="H147" s="49" t="s">
        <v>1482</v>
      </c>
      <c r="I147" s="534">
        <v>961416337</v>
      </c>
      <c r="J147" s="49" t="s">
        <v>1483</v>
      </c>
      <c r="K147" s="535">
        <v>46059</v>
      </c>
      <c r="L147" s="49" t="s">
        <v>1484</v>
      </c>
      <c r="M147" s="555" t="s">
        <v>230</v>
      </c>
      <c r="N147" s="49" t="s">
        <v>241</v>
      </c>
      <c r="O147" s="437">
        <v>46084</v>
      </c>
      <c r="P147" s="546" t="s">
        <v>292</v>
      </c>
      <c r="Q147" s="814">
        <v>46082</v>
      </c>
      <c r="R147" s="566" t="s">
        <v>242</v>
      </c>
      <c r="S147" s="49"/>
      <c r="T147" s="49"/>
      <c r="U147" s="49"/>
      <c r="V147" s="49"/>
      <c r="W147" s="49"/>
      <c r="X147" s="49"/>
      <c r="Y147" s="49"/>
      <c r="Z147" s="49"/>
      <c r="AA147" s="49"/>
      <c r="AB147" s="49"/>
      <c r="AC147" s="49"/>
      <c r="AD147" s="91"/>
      <c r="AE147" s="91"/>
      <c r="AF147" s="91"/>
      <c r="AG147" s="91"/>
    </row>
    <row r="148" spans="1:33">
      <c r="A148" s="534"/>
      <c r="B148" s="534">
        <v>146</v>
      </c>
      <c r="C148" s="534">
        <v>224090</v>
      </c>
      <c r="D148" s="541">
        <v>42652947</v>
      </c>
      <c r="E148" s="50" t="s">
        <v>1485</v>
      </c>
      <c r="F148" s="534">
        <v>45</v>
      </c>
      <c r="G148" s="49" t="s">
        <v>1486</v>
      </c>
      <c r="H148" s="49" t="s">
        <v>301</v>
      </c>
      <c r="I148" s="534">
        <v>922795886</v>
      </c>
      <c r="J148" s="49" t="s">
        <v>238</v>
      </c>
      <c r="K148" s="535">
        <v>46059</v>
      </c>
      <c r="L148" s="49" t="s">
        <v>1109</v>
      </c>
      <c r="M148" s="534" t="s">
        <v>260</v>
      </c>
      <c r="N148" s="49" t="s">
        <v>241</v>
      </c>
      <c r="O148" s="53">
        <v>46069</v>
      </c>
      <c r="P148" s="546"/>
      <c r="Q148" s="632"/>
      <c r="R148" s="566"/>
      <c r="S148" s="49"/>
      <c r="T148" s="49"/>
      <c r="U148" s="49"/>
      <c r="V148" s="49"/>
      <c r="W148" s="49"/>
      <c r="X148" s="49"/>
      <c r="Y148" s="49"/>
      <c r="Z148" s="49"/>
      <c r="AA148" s="49"/>
      <c r="AB148" s="49"/>
      <c r="AC148" s="49"/>
      <c r="AD148" s="91"/>
      <c r="AE148" s="91"/>
      <c r="AF148" s="91"/>
      <c r="AG148" s="91"/>
    </row>
    <row r="149" spans="1:33">
      <c r="A149" s="544" t="s">
        <v>513</v>
      </c>
      <c r="B149" s="534">
        <v>147</v>
      </c>
      <c r="C149" s="564">
        <v>238547</v>
      </c>
      <c r="D149" s="564">
        <v>41107684</v>
      </c>
      <c r="E149" s="430" t="s">
        <v>1487</v>
      </c>
      <c r="F149" s="564">
        <v>43</v>
      </c>
      <c r="G149" s="430" t="s">
        <v>1488</v>
      </c>
      <c r="H149" s="430" t="s">
        <v>1489</v>
      </c>
      <c r="I149" s="564">
        <v>990634434</v>
      </c>
      <c r="J149" s="430" t="s">
        <v>328</v>
      </c>
      <c r="K149" s="597">
        <v>46059</v>
      </c>
      <c r="L149" s="49" t="s">
        <v>1490</v>
      </c>
      <c r="M149" s="534" t="s">
        <v>260</v>
      </c>
      <c r="N149" s="48" t="s">
        <v>241</v>
      </c>
      <c r="O149" s="437">
        <v>46084</v>
      </c>
      <c r="P149" s="546" t="s">
        <v>292</v>
      </c>
      <c r="Q149" s="809" t="s">
        <v>334</v>
      </c>
      <c r="R149" s="566"/>
      <c r="S149" s="48"/>
      <c r="T149" s="48"/>
      <c r="U149" s="48"/>
      <c r="V149" s="48"/>
      <c r="W149" s="48"/>
      <c r="X149" s="48"/>
      <c r="Y149" s="48"/>
      <c r="Z149" s="48"/>
      <c r="AA149" s="48"/>
      <c r="AB149" s="48"/>
      <c r="AC149" s="48"/>
      <c r="AD149" s="91"/>
      <c r="AE149" s="91"/>
      <c r="AF149" s="91"/>
      <c r="AG149" s="91"/>
    </row>
    <row r="150" spans="1:33">
      <c r="A150" s="544"/>
      <c r="B150" s="534">
        <v>148</v>
      </c>
      <c r="C150" s="564">
        <v>263489</v>
      </c>
      <c r="D150" s="564">
        <v>40224464</v>
      </c>
      <c r="E150" s="581" t="s">
        <v>1491</v>
      </c>
      <c r="F150" s="564">
        <v>46</v>
      </c>
      <c r="G150" s="430" t="s">
        <v>1492</v>
      </c>
      <c r="H150" s="430" t="s">
        <v>301</v>
      </c>
      <c r="I150" s="564">
        <v>965897912</v>
      </c>
      <c r="J150" s="430" t="s">
        <v>588</v>
      </c>
      <c r="K150" s="597">
        <v>46059</v>
      </c>
      <c r="L150" s="49" t="s">
        <v>1493</v>
      </c>
      <c r="M150" s="534" t="s">
        <v>260</v>
      </c>
      <c r="N150" s="48" t="s">
        <v>1087</v>
      </c>
      <c r="O150" s="437">
        <v>46066</v>
      </c>
      <c r="P150" s="566" t="s">
        <v>1494</v>
      </c>
      <c r="Q150" s="809" t="s">
        <v>385</v>
      </c>
      <c r="R150" s="566"/>
      <c r="S150" s="48"/>
      <c r="T150" s="48"/>
      <c r="U150" s="48"/>
      <c r="V150" s="48"/>
      <c r="W150" s="48"/>
      <c r="X150" s="48"/>
      <c r="Y150" s="48"/>
      <c r="Z150" s="48"/>
      <c r="AA150" s="48"/>
      <c r="AB150" s="48"/>
      <c r="AC150" s="48"/>
      <c r="AD150" s="91"/>
      <c r="AE150" s="91"/>
      <c r="AF150" s="91"/>
      <c r="AG150" s="91"/>
    </row>
    <row r="151" spans="1:33">
      <c r="A151" s="544"/>
      <c r="B151" s="534">
        <v>149</v>
      </c>
      <c r="C151" s="564">
        <v>351358</v>
      </c>
      <c r="D151" s="564">
        <v>43172534</v>
      </c>
      <c r="E151" s="430" t="s">
        <v>1495</v>
      </c>
      <c r="F151" s="564">
        <v>41</v>
      </c>
      <c r="G151" s="430" t="s">
        <v>1496</v>
      </c>
      <c r="H151" s="430" t="s">
        <v>222</v>
      </c>
      <c r="I151" s="564">
        <v>947111084</v>
      </c>
      <c r="J151" s="430" t="s">
        <v>223</v>
      </c>
      <c r="K151" s="597">
        <v>46059</v>
      </c>
      <c r="L151" s="54" t="s">
        <v>1497</v>
      </c>
      <c r="M151" s="555" t="s">
        <v>230</v>
      </c>
      <c r="N151" s="48" t="s">
        <v>1199</v>
      </c>
      <c r="O151" s="437">
        <v>46093</v>
      </c>
      <c r="P151" s="546" t="s">
        <v>1498</v>
      </c>
      <c r="Q151" s="802">
        <v>46082</v>
      </c>
      <c r="R151" s="534" t="s">
        <v>318</v>
      </c>
      <c r="S151" s="48"/>
      <c r="T151" s="48"/>
      <c r="U151" s="48"/>
      <c r="V151" s="48"/>
      <c r="W151" s="48"/>
      <c r="X151" s="48"/>
      <c r="Y151" s="48"/>
      <c r="Z151" s="48"/>
      <c r="AA151" s="48"/>
      <c r="AB151" s="48"/>
      <c r="AC151" s="48"/>
      <c r="AD151" s="91"/>
      <c r="AE151" s="91"/>
      <c r="AF151" s="91"/>
      <c r="AG151" s="91"/>
    </row>
    <row r="152" spans="1:33">
      <c r="A152" s="546"/>
      <c r="B152" s="534">
        <v>150</v>
      </c>
      <c r="C152" s="546">
        <v>306375</v>
      </c>
      <c r="D152" s="546">
        <v>40508605</v>
      </c>
      <c r="E152" s="50" t="s">
        <v>1499</v>
      </c>
      <c r="F152" s="546">
        <v>46</v>
      </c>
      <c r="G152" s="50" t="s">
        <v>1500</v>
      </c>
      <c r="H152" s="50" t="s">
        <v>222</v>
      </c>
      <c r="I152" s="546">
        <v>942263110</v>
      </c>
      <c r="J152" s="50" t="s">
        <v>238</v>
      </c>
      <c r="K152" s="597">
        <v>46059</v>
      </c>
      <c r="L152" s="50" t="s">
        <v>458</v>
      </c>
      <c r="M152" s="534" t="s">
        <v>260</v>
      </c>
      <c r="N152" s="50" t="s">
        <v>241</v>
      </c>
      <c r="O152" s="441">
        <v>46090</v>
      </c>
      <c r="P152" s="534"/>
      <c r="Q152" s="534" t="s">
        <v>1186</v>
      </c>
      <c r="R152" s="566"/>
      <c r="S152" s="50"/>
      <c r="T152" s="50"/>
      <c r="U152" s="50"/>
      <c r="V152" s="50"/>
      <c r="W152" s="50"/>
      <c r="X152" s="50"/>
      <c r="Y152" s="50"/>
      <c r="Z152" s="50"/>
      <c r="AA152" s="50"/>
      <c r="AB152" s="50"/>
      <c r="AC152" s="50"/>
      <c r="AD152" s="91"/>
      <c r="AE152" s="91"/>
      <c r="AF152" s="91"/>
      <c r="AG152" s="91"/>
    </row>
    <row r="153" spans="1:33">
      <c r="A153" s="546"/>
      <c r="B153" s="534">
        <v>151</v>
      </c>
      <c r="C153" s="546">
        <v>137258</v>
      </c>
      <c r="D153" s="546">
        <v>15589885</v>
      </c>
      <c r="E153" s="50" t="s">
        <v>1501</v>
      </c>
      <c r="F153" s="546">
        <v>64</v>
      </c>
      <c r="G153" s="50" t="s">
        <v>1502</v>
      </c>
      <c r="H153" s="50" t="s">
        <v>222</v>
      </c>
      <c r="I153" s="546">
        <v>942263110</v>
      </c>
      <c r="J153" s="50" t="s">
        <v>588</v>
      </c>
      <c r="K153" s="597">
        <v>46059</v>
      </c>
      <c r="L153" s="49" t="s">
        <v>1503</v>
      </c>
      <c r="M153" s="534" t="s">
        <v>1102</v>
      </c>
      <c r="N153" s="50" t="s">
        <v>241</v>
      </c>
      <c r="O153" s="437">
        <v>46083</v>
      </c>
      <c r="P153" s="546" t="s">
        <v>1504</v>
      </c>
      <c r="Q153" s="813" t="s">
        <v>339</v>
      </c>
      <c r="R153" s="566"/>
      <c r="S153" s="50"/>
      <c r="T153" s="50"/>
      <c r="U153" s="50"/>
      <c r="V153" s="50"/>
      <c r="W153" s="50"/>
      <c r="X153" s="50"/>
      <c r="Y153" s="50"/>
      <c r="Z153" s="50"/>
      <c r="AA153" s="50"/>
      <c r="AB153" s="50"/>
      <c r="AC153" s="50"/>
      <c r="AD153" s="91"/>
      <c r="AE153" s="91"/>
      <c r="AF153" s="91"/>
      <c r="AG153" s="91"/>
    </row>
    <row r="154" spans="1:33">
      <c r="A154" s="546"/>
      <c r="B154" s="534">
        <v>152</v>
      </c>
      <c r="C154" s="546">
        <v>252703</v>
      </c>
      <c r="D154" s="546">
        <v>40852593</v>
      </c>
      <c r="E154" s="50" t="s">
        <v>1505</v>
      </c>
      <c r="F154" s="546">
        <v>44</v>
      </c>
      <c r="G154" s="50" t="s">
        <v>1506</v>
      </c>
      <c r="H154" s="50" t="s">
        <v>326</v>
      </c>
      <c r="I154" s="546">
        <v>944028096</v>
      </c>
      <c r="J154" s="50" t="s">
        <v>375</v>
      </c>
      <c r="K154" s="597">
        <v>46059</v>
      </c>
      <c r="L154" s="50" t="s">
        <v>620</v>
      </c>
      <c r="M154" s="534" t="s">
        <v>260</v>
      </c>
      <c r="N154" s="50" t="s">
        <v>241</v>
      </c>
      <c r="O154" s="437">
        <v>46066</v>
      </c>
      <c r="P154" s="546" t="s">
        <v>1454</v>
      </c>
      <c r="Q154" s="809" t="s">
        <v>385</v>
      </c>
      <c r="R154" s="566"/>
      <c r="S154" s="50"/>
      <c r="T154" s="50"/>
      <c r="U154" s="50"/>
      <c r="V154" s="50"/>
      <c r="W154" s="50"/>
      <c r="X154" s="50"/>
      <c r="Y154" s="50"/>
      <c r="Z154" s="50"/>
      <c r="AA154" s="50"/>
      <c r="AB154" s="50"/>
      <c r="AC154" s="50"/>
      <c r="AD154" s="91"/>
      <c r="AE154" s="91"/>
      <c r="AF154" s="91"/>
      <c r="AG154" s="91"/>
    </row>
    <row r="155" spans="1:33">
      <c r="A155" s="546"/>
      <c r="B155" s="534">
        <v>153</v>
      </c>
      <c r="C155" s="546">
        <v>23961</v>
      </c>
      <c r="D155" s="546">
        <v>15732444</v>
      </c>
      <c r="E155" s="50" t="s">
        <v>1507</v>
      </c>
      <c r="F155" s="546">
        <v>53</v>
      </c>
      <c r="G155" s="50" t="s">
        <v>1508</v>
      </c>
      <c r="H155" s="50" t="s">
        <v>278</v>
      </c>
      <c r="I155" s="546">
        <v>981579774</v>
      </c>
      <c r="J155" s="50" t="s">
        <v>238</v>
      </c>
      <c r="K155" s="597">
        <v>46059</v>
      </c>
      <c r="L155" s="50" t="s">
        <v>458</v>
      </c>
      <c r="M155" s="534" t="s">
        <v>260</v>
      </c>
      <c r="N155" s="50" t="s">
        <v>241</v>
      </c>
      <c r="O155" s="53">
        <v>46069</v>
      </c>
      <c r="P155" s="546"/>
      <c r="Q155" s="546" t="s">
        <v>1509</v>
      </c>
      <c r="R155" s="566"/>
      <c r="S155" s="50"/>
      <c r="T155" s="50"/>
      <c r="U155" s="50"/>
      <c r="V155" s="50"/>
      <c r="W155" s="50"/>
      <c r="X155" s="50"/>
      <c r="Y155" s="50"/>
      <c r="Z155" s="50"/>
      <c r="AA155" s="50"/>
      <c r="AB155" s="50"/>
      <c r="AC155" s="50"/>
      <c r="AD155" s="91"/>
      <c r="AE155" s="91"/>
      <c r="AF155" s="91"/>
      <c r="AG155" s="91"/>
    </row>
    <row r="156" spans="1:33">
      <c r="A156" s="546"/>
      <c r="B156" s="534">
        <v>154</v>
      </c>
      <c r="C156" s="546">
        <v>522707</v>
      </c>
      <c r="D156" s="546">
        <v>5339689</v>
      </c>
      <c r="E156" s="50" t="s">
        <v>1510</v>
      </c>
      <c r="F156" s="546">
        <v>55</v>
      </c>
      <c r="G156" s="50" t="s">
        <v>1511</v>
      </c>
      <c r="H156" s="50" t="s">
        <v>461</v>
      </c>
      <c r="I156" s="546">
        <v>969381649</v>
      </c>
      <c r="J156" s="50" t="s">
        <v>162</v>
      </c>
      <c r="K156" s="597">
        <v>46059</v>
      </c>
      <c r="L156" s="50" t="s">
        <v>683</v>
      </c>
      <c r="M156" s="534" t="s">
        <v>1102</v>
      </c>
      <c r="N156" s="50" t="s">
        <v>1199</v>
      </c>
      <c r="O156" s="53">
        <v>46069</v>
      </c>
      <c r="P156" s="546" t="s">
        <v>1330</v>
      </c>
      <c r="Q156" s="471" t="s">
        <v>358</v>
      </c>
      <c r="R156" s="566"/>
      <c r="S156" s="50"/>
      <c r="T156" s="50"/>
      <c r="U156" s="50"/>
      <c r="V156" s="50"/>
      <c r="W156" s="50"/>
      <c r="X156" s="50"/>
      <c r="Y156" s="50"/>
      <c r="Z156" s="50"/>
      <c r="AA156" s="50"/>
      <c r="AB156" s="50"/>
      <c r="AC156" s="50"/>
      <c r="AD156" s="91"/>
      <c r="AE156" s="91"/>
      <c r="AF156" s="91"/>
      <c r="AG156" s="91"/>
    </row>
    <row r="157" spans="1:33">
      <c r="A157" s="544"/>
      <c r="B157" s="534">
        <v>155</v>
      </c>
      <c r="C157" s="564">
        <v>413774</v>
      </c>
      <c r="D157" s="564">
        <v>10832562</v>
      </c>
      <c r="E157" s="430" t="s">
        <v>1512</v>
      </c>
      <c r="F157" s="564">
        <v>56</v>
      </c>
      <c r="G157" s="430" t="s">
        <v>1513</v>
      </c>
      <c r="H157" s="430" t="s">
        <v>461</v>
      </c>
      <c r="I157" s="564">
        <v>967264170</v>
      </c>
      <c r="J157" s="430" t="s">
        <v>162</v>
      </c>
      <c r="K157" s="544">
        <v>44718</v>
      </c>
      <c r="L157" s="49" t="s">
        <v>1514</v>
      </c>
      <c r="M157" s="534" t="s">
        <v>260</v>
      </c>
      <c r="N157" s="48" t="s">
        <v>241</v>
      </c>
      <c r="O157" s="53">
        <v>46069</v>
      </c>
      <c r="P157" s="566" t="s">
        <v>1023</v>
      </c>
      <c r="Q157" s="471" t="s">
        <v>358</v>
      </c>
      <c r="R157" s="566"/>
      <c r="S157" s="48"/>
      <c r="T157" s="48"/>
      <c r="U157" s="48"/>
      <c r="V157" s="48"/>
      <c r="W157" s="48"/>
      <c r="X157" s="48"/>
      <c r="Y157" s="48"/>
      <c r="Z157" s="48"/>
      <c r="AA157" s="48"/>
      <c r="AB157" s="48"/>
      <c r="AC157" s="48"/>
      <c r="AD157" s="91"/>
      <c r="AE157" s="91"/>
      <c r="AF157" s="91"/>
      <c r="AG157" s="91"/>
    </row>
    <row r="158" spans="1:33">
      <c r="A158" s="546"/>
      <c r="B158" s="534">
        <v>156</v>
      </c>
      <c r="C158" s="546">
        <v>242840</v>
      </c>
      <c r="D158" s="546">
        <v>41755630</v>
      </c>
      <c r="E158" s="50" t="s">
        <v>1515</v>
      </c>
      <c r="F158" s="546">
        <v>42</v>
      </c>
      <c r="G158" s="50" t="s">
        <v>1516</v>
      </c>
      <c r="H158" s="50" t="s">
        <v>278</v>
      </c>
      <c r="I158" s="546">
        <v>951347907</v>
      </c>
      <c r="J158" s="50" t="s">
        <v>238</v>
      </c>
      <c r="K158" s="544">
        <v>44718</v>
      </c>
      <c r="L158" s="50" t="s">
        <v>1517</v>
      </c>
      <c r="M158" s="534" t="s">
        <v>1102</v>
      </c>
      <c r="N158" s="50" t="s">
        <v>241</v>
      </c>
      <c r="O158" s="53">
        <v>46069</v>
      </c>
      <c r="P158" s="546"/>
      <c r="Q158" s="546" t="s">
        <v>1518</v>
      </c>
      <c r="R158" s="566"/>
      <c r="S158" s="50"/>
      <c r="T158" s="50"/>
      <c r="U158" s="50"/>
      <c r="V158" s="50"/>
      <c r="W158" s="50"/>
      <c r="X158" s="50"/>
      <c r="Y158" s="50"/>
      <c r="Z158" s="50"/>
      <c r="AA158" s="50"/>
      <c r="AB158" s="50"/>
      <c r="AC158" s="50"/>
      <c r="AD158" s="91"/>
      <c r="AE158" s="91"/>
      <c r="AF158" s="91"/>
      <c r="AG158" s="91"/>
    </row>
    <row r="159" spans="1:33">
      <c r="A159" s="546"/>
      <c r="B159" s="534">
        <v>157</v>
      </c>
      <c r="C159" s="546">
        <v>185791</v>
      </c>
      <c r="D159" s="546">
        <v>8555816</v>
      </c>
      <c r="E159" s="50" t="s">
        <v>1519</v>
      </c>
      <c r="F159" s="546">
        <v>59</v>
      </c>
      <c r="G159" s="50" t="s">
        <v>1520</v>
      </c>
      <c r="H159" s="50" t="s">
        <v>222</v>
      </c>
      <c r="I159" s="546">
        <v>996208345</v>
      </c>
      <c r="J159" s="50" t="s">
        <v>238</v>
      </c>
      <c r="K159" s="544">
        <v>44718</v>
      </c>
      <c r="L159" s="50" t="s">
        <v>1521</v>
      </c>
      <c r="M159" s="534" t="s">
        <v>1102</v>
      </c>
      <c r="N159" s="50" t="s">
        <v>241</v>
      </c>
      <c r="O159" s="53">
        <v>46069</v>
      </c>
      <c r="P159" s="546"/>
      <c r="Q159" s="634"/>
      <c r="R159" s="566"/>
      <c r="S159" s="50"/>
      <c r="T159" s="50"/>
      <c r="U159" s="50"/>
      <c r="V159" s="50"/>
      <c r="W159" s="50"/>
      <c r="X159" s="50"/>
      <c r="Y159" s="50"/>
      <c r="Z159" s="50"/>
      <c r="AA159" s="50"/>
      <c r="AB159" s="50"/>
      <c r="AC159" s="50"/>
      <c r="AD159" s="91"/>
      <c r="AE159" s="91"/>
      <c r="AF159" s="91"/>
      <c r="AG159" s="91"/>
    </row>
    <row r="160" spans="1:33">
      <c r="A160" s="546"/>
      <c r="B160" s="534">
        <v>158</v>
      </c>
      <c r="C160" s="546">
        <v>120385</v>
      </c>
      <c r="D160" s="546">
        <v>42312269</v>
      </c>
      <c r="E160" s="50" t="s">
        <v>1522</v>
      </c>
      <c r="F160" s="546">
        <v>41</v>
      </c>
      <c r="G160" s="50" t="s">
        <v>1523</v>
      </c>
      <c r="H160" s="50" t="s">
        <v>278</v>
      </c>
      <c r="I160" s="546">
        <v>991351097</v>
      </c>
      <c r="J160" s="50" t="s">
        <v>238</v>
      </c>
      <c r="K160" s="544">
        <v>44718</v>
      </c>
      <c r="L160" s="50" t="s">
        <v>458</v>
      </c>
      <c r="M160" s="534" t="s">
        <v>260</v>
      </c>
      <c r="N160" s="48" t="s">
        <v>241</v>
      </c>
      <c r="O160" s="53">
        <v>46069</v>
      </c>
      <c r="P160" s="546"/>
      <c r="Q160" s="634"/>
      <c r="R160" s="566"/>
      <c r="S160" s="50"/>
      <c r="T160" s="50"/>
      <c r="U160" s="50"/>
      <c r="V160" s="50"/>
      <c r="W160" s="50"/>
      <c r="X160" s="50"/>
      <c r="Y160" s="50"/>
      <c r="Z160" s="50"/>
      <c r="AA160" s="50"/>
      <c r="AB160" s="50"/>
      <c r="AC160" s="50"/>
      <c r="AD160" s="91"/>
      <c r="AE160" s="91"/>
      <c r="AF160" s="91"/>
      <c r="AG160" s="91"/>
    </row>
    <row r="161" spans="1:33">
      <c r="A161" s="534"/>
      <c r="B161" s="534">
        <v>159</v>
      </c>
      <c r="C161" s="534">
        <v>171864</v>
      </c>
      <c r="D161" s="534">
        <v>15732444</v>
      </c>
      <c r="E161" s="50" t="s">
        <v>1524</v>
      </c>
      <c r="F161" s="534">
        <v>53</v>
      </c>
      <c r="G161" s="49"/>
      <c r="H161" s="49"/>
      <c r="I161" s="534"/>
      <c r="J161" s="49" t="s">
        <v>185</v>
      </c>
      <c r="K161" s="533">
        <v>46059</v>
      </c>
      <c r="L161" s="49" t="s">
        <v>1040</v>
      </c>
      <c r="M161" s="555" t="s">
        <v>230</v>
      </c>
      <c r="N161" s="49" t="s">
        <v>317</v>
      </c>
      <c r="O161" s="441">
        <v>46084</v>
      </c>
      <c r="P161" s="546"/>
      <c r="Q161" s="471" t="s">
        <v>358</v>
      </c>
      <c r="R161" s="566"/>
      <c r="S161" s="49"/>
      <c r="T161" s="49"/>
      <c r="U161" s="49"/>
      <c r="V161" s="49"/>
      <c r="W161" s="49"/>
      <c r="X161" s="49"/>
      <c r="Y161" s="49"/>
      <c r="Z161" s="49"/>
      <c r="AA161" s="49"/>
      <c r="AB161" s="49"/>
      <c r="AC161" s="49"/>
      <c r="AD161" s="91"/>
      <c r="AE161" s="91"/>
      <c r="AF161" s="91"/>
      <c r="AG161" s="91"/>
    </row>
    <row r="162" spans="1:33">
      <c r="A162" s="533">
        <v>46060</v>
      </c>
      <c r="B162" s="534">
        <v>160</v>
      </c>
      <c r="C162" s="534">
        <v>245062</v>
      </c>
      <c r="D162" s="534">
        <v>32286721</v>
      </c>
      <c r="E162" s="50" t="s">
        <v>1525</v>
      </c>
      <c r="F162" s="534">
        <v>67</v>
      </c>
      <c r="G162" s="49" t="s">
        <v>1526</v>
      </c>
      <c r="H162" s="49" t="s">
        <v>326</v>
      </c>
      <c r="I162" s="534">
        <v>912180787</v>
      </c>
      <c r="J162" s="49" t="s">
        <v>1527</v>
      </c>
      <c r="K162" s="597">
        <v>46060</v>
      </c>
      <c r="L162" s="49" t="s">
        <v>1528</v>
      </c>
      <c r="M162" s="534" t="s">
        <v>1102</v>
      </c>
      <c r="N162" s="50" t="s">
        <v>317</v>
      </c>
      <c r="O162" s="437">
        <v>46094</v>
      </c>
      <c r="P162" s="539" t="s">
        <v>1529</v>
      </c>
      <c r="Q162" s="802">
        <v>46082</v>
      </c>
      <c r="R162" s="566" t="s">
        <v>318</v>
      </c>
      <c r="S162" s="49"/>
      <c r="T162" s="49"/>
      <c r="U162" s="49"/>
      <c r="V162" s="49"/>
      <c r="W162" s="49"/>
      <c r="X162" s="49"/>
      <c r="Y162" s="49"/>
      <c r="Z162" s="49"/>
      <c r="AA162" s="49"/>
      <c r="AB162" s="49"/>
      <c r="AC162" s="49"/>
      <c r="AD162" s="91"/>
      <c r="AE162" s="91"/>
      <c r="AF162" s="91"/>
      <c r="AG162" s="91"/>
    </row>
    <row r="163" spans="1:33">
      <c r="A163" s="534"/>
      <c r="B163" s="534">
        <v>161</v>
      </c>
      <c r="C163" s="534">
        <v>38955</v>
      </c>
      <c r="D163" s="534">
        <v>15595341</v>
      </c>
      <c r="E163" s="50" t="s">
        <v>1530</v>
      </c>
      <c r="F163" s="534">
        <v>65</v>
      </c>
      <c r="G163" s="49" t="s">
        <v>1531</v>
      </c>
      <c r="H163" s="49" t="s">
        <v>222</v>
      </c>
      <c r="I163" s="534">
        <v>947988955</v>
      </c>
      <c r="J163" s="49" t="s">
        <v>223</v>
      </c>
      <c r="K163" s="533">
        <v>46060</v>
      </c>
      <c r="L163" s="49" t="s">
        <v>1040</v>
      </c>
      <c r="M163" s="555" t="s">
        <v>230</v>
      </c>
      <c r="N163" s="49" t="s">
        <v>317</v>
      </c>
      <c r="O163" s="437">
        <v>46071</v>
      </c>
      <c r="P163" s="539" t="s">
        <v>292</v>
      </c>
      <c r="Q163" s="802">
        <v>46082</v>
      </c>
      <c r="R163" s="534" t="s">
        <v>318</v>
      </c>
      <c r="S163" s="49"/>
      <c r="T163" s="49"/>
      <c r="U163" s="49"/>
      <c r="V163" s="49"/>
      <c r="W163" s="49"/>
      <c r="X163" s="49"/>
      <c r="Y163" s="49"/>
      <c r="Z163" s="49"/>
      <c r="AA163" s="49"/>
      <c r="AB163" s="49"/>
      <c r="AC163" s="49"/>
      <c r="AD163" s="91"/>
      <c r="AE163" s="91"/>
      <c r="AF163" s="91"/>
      <c r="AG163" s="91"/>
    </row>
    <row r="164" spans="1:33">
      <c r="A164" s="536"/>
      <c r="B164" s="534">
        <v>162</v>
      </c>
      <c r="C164" s="536">
        <v>193487</v>
      </c>
      <c r="D164" s="536">
        <v>15640860</v>
      </c>
      <c r="E164" s="212" t="s">
        <v>1532</v>
      </c>
      <c r="F164" s="536">
        <v>55</v>
      </c>
      <c r="G164" s="59" t="s">
        <v>1533</v>
      </c>
      <c r="H164" s="59" t="s">
        <v>432</v>
      </c>
      <c r="I164" s="536">
        <v>977759558</v>
      </c>
      <c r="J164" s="59" t="s">
        <v>223</v>
      </c>
      <c r="K164" s="591">
        <v>46060</v>
      </c>
      <c r="L164" s="59" t="s">
        <v>1534</v>
      </c>
      <c r="M164" s="536" t="s">
        <v>323</v>
      </c>
      <c r="N164" s="59" t="s">
        <v>241</v>
      </c>
      <c r="O164" s="442">
        <v>46083</v>
      </c>
      <c r="P164" s="536" t="s">
        <v>292</v>
      </c>
      <c r="Q164" s="893">
        <v>46082</v>
      </c>
      <c r="R164" s="612" t="s">
        <v>242</v>
      </c>
      <c r="S164" s="59"/>
      <c r="T164" s="59"/>
      <c r="U164" s="59"/>
      <c r="V164" s="59"/>
      <c r="W164" s="59"/>
      <c r="X164" s="59"/>
      <c r="Y164" s="59"/>
      <c r="Z164" s="59"/>
      <c r="AA164" s="59"/>
      <c r="AB164" s="59"/>
      <c r="AC164" s="59"/>
      <c r="AD164" s="91"/>
      <c r="AE164" s="91"/>
      <c r="AF164" s="91"/>
      <c r="AG164" s="91"/>
    </row>
    <row r="165" spans="1:33">
      <c r="A165" s="534"/>
      <c r="B165" s="534">
        <v>163</v>
      </c>
      <c r="C165" s="534">
        <v>44446</v>
      </c>
      <c r="D165" s="534">
        <v>44647476</v>
      </c>
      <c r="E165" s="50" t="s">
        <v>1535</v>
      </c>
      <c r="F165" s="534">
        <v>66</v>
      </c>
      <c r="G165" s="49" t="s">
        <v>1536</v>
      </c>
      <c r="H165" s="49" t="s">
        <v>1537</v>
      </c>
      <c r="I165" s="534">
        <v>951797821</v>
      </c>
      <c r="J165" s="49" t="s">
        <v>238</v>
      </c>
      <c r="K165" s="535">
        <v>46060</v>
      </c>
      <c r="L165" s="49" t="s">
        <v>376</v>
      </c>
      <c r="M165" s="555" t="s">
        <v>230</v>
      </c>
      <c r="N165" s="49" t="s">
        <v>241</v>
      </c>
      <c r="O165" s="53">
        <v>46069</v>
      </c>
      <c r="P165" s="546" t="s">
        <v>1538</v>
      </c>
      <c r="Q165" s="632"/>
      <c r="R165" s="566"/>
      <c r="S165" s="49"/>
      <c r="T165" s="49"/>
      <c r="U165" s="49"/>
      <c r="V165" s="49"/>
      <c r="W165" s="49"/>
      <c r="X165" s="49"/>
      <c r="Y165" s="49"/>
      <c r="Z165" s="49"/>
      <c r="AA165" s="49"/>
      <c r="AB165" s="49"/>
      <c r="AC165" s="49"/>
      <c r="AD165" s="91"/>
      <c r="AE165" s="91"/>
      <c r="AF165" s="91"/>
      <c r="AG165" s="91"/>
    </row>
    <row r="166" spans="1:33">
      <c r="A166" s="536"/>
      <c r="B166" s="534">
        <v>164</v>
      </c>
      <c r="C166" s="536">
        <v>212797</v>
      </c>
      <c r="D166" s="536">
        <v>15733981</v>
      </c>
      <c r="E166" s="212" t="s">
        <v>1539</v>
      </c>
      <c r="F166" s="536">
        <v>53</v>
      </c>
      <c r="G166" s="59" t="s">
        <v>1540</v>
      </c>
      <c r="H166" s="59" t="s">
        <v>246</v>
      </c>
      <c r="I166" s="536">
        <v>993234662</v>
      </c>
      <c r="J166" s="59" t="s">
        <v>238</v>
      </c>
      <c r="K166" s="591">
        <v>46060</v>
      </c>
      <c r="L166" s="59" t="s">
        <v>1541</v>
      </c>
      <c r="M166" s="556" t="s">
        <v>323</v>
      </c>
      <c r="N166" s="59" t="s">
        <v>241</v>
      </c>
      <c r="O166" s="438">
        <v>46069</v>
      </c>
      <c r="P166" s="612" t="s">
        <v>1538</v>
      </c>
      <c r="Q166" s="632"/>
      <c r="R166" s="612"/>
      <c r="S166" s="59"/>
      <c r="T166" s="59"/>
      <c r="U166" s="59"/>
      <c r="V166" s="59"/>
      <c r="W166" s="59"/>
      <c r="X166" s="59"/>
      <c r="Y166" s="59"/>
      <c r="Z166" s="59"/>
      <c r="AA166" s="59"/>
      <c r="AB166" s="59"/>
      <c r="AC166" s="59"/>
      <c r="AD166" s="91"/>
      <c r="AE166" s="91"/>
      <c r="AF166" s="91"/>
      <c r="AG166" s="91"/>
    </row>
    <row r="167" spans="1:33">
      <c r="A167" s="534"/>
      <c r="B167" s="534">
        <v>165</v>
      </c>
      <c r="C167" s="534">
        <v>398471</v>
      </c>
      <c r="D167" s="534">
        <v>15730839</v>
      </c>
      <c r="E167" s="50" t="s">
        <v>1542</v>
      </c>
      <c r="F167" s="534">
        <v>56</v>
      </c>
      <c r="G167" s="49" t="s">
        <v>1536</v>
      </c>
      <c r="H167" s="49" t="s">
        <v>246</v>
      </c>
      <c r="I167" s="534">
        <v>986595612</v>
      </c>
      <c r="J167" s="49" t="s">
        <v>238</v>
      </c>
      <c r="K167" s="535">
        <v>46060</v>
      </c>
      <c r="L167" s="49" t="s">
        <v>1458</v>
      </c>
      <c r="M167" s="555" t="s">
        <v>230</v>
      </c>
      <c r="N167" s="49" t="s">
        <v>601</v>
      </c>
      <c r="O167" s="53">
        <v>46069</v>
      </c>
      <c r="P167" s="546" t="s">
        <v>1538</v>
      </c>
      <c r="Q167" s="634"/>
      <c r="R167" s="566"/>
      <c r="S167" s="49"/>
      <c r="T167" s="49"/>
      <c r="U167" s="49"/>
      <c r="V167" s="49"/>
      <c r="W167" s="49"/>
      <c r="X167" s="49"/>
      <c r="Y167" s="49"/>
      <c r="Z167" s="49"/>
      <c r="AA167" s="49"/>
      <c r="AB167" s="49"/>
      <c r="AC167" s="49"/>
      <c r="AD167" s="91"/>
      <c r="AE167" s="91"/>
      <c r="AF167" s="91"/>
      <c r="AG167" s="91"/>
    </row>
    <row r="168" spans="1:33">
      <c r="A168" s="534"/>
      <c r="B168" s="534">
        <v>166</v>
      </c>
      <c r="C168" s="534">
        <v>479758</v>
      </c>
      <c r="D168" s="534">
        <v>43829731</v>
      </c>
      <c r="E168" s="50" t="s">
        <v>1543</v>
      </c>
      <c r="F168" s="534">
        <v>48</v>
      </c>
      <c r="G168" s="49" t="s">
        <v>1544</v>
      </c>
      <c r="H168" s="49" t="s">
        <v>278</v>
      </c>
      <c r="I168" s="534">
        <v>946072818</v>
      </c>
      <c r="J168" s="49" t="s">
        <v>384</v>
      </c>
      <c r="K168" s="535">
        <v>46056</v>
      </c>
      <c r="L168" s="49" t="s">
        <v>1303</v>
      </c>
      <c r="M168" s="555" t="s">
        <v>230</v>
      </c>
      <c r="N168" s="49" t="s">
        <v>241</v>
      </c>
      <c r="O168" s="437">
        <v>46065</v>
      </c>
      <c r="P168" s="539" t="s">
        <v>292</v>
      </c>
      <c r="Q168" s="802">
        <v>46082</v>
      </c>
      <c r="R168" s="808">
        <v>46082</v>
      </c>
      <c r="S168" s="49"/>
      <c r="T168" s="49"/>
      <c r="U168" s="49"/>
      <c r="V168" s="49"/>
      <c r="W168" s="49"/>
      <c r="X168" s="49"/>
      <c r="Y168" s="49"/>
      <c r="Z168" s="49"/>
      <c r="AA168" s="49"/>
      <c r="AB168" s="49"/>
      <c r="AC168" s="49"/>
      <c r="AD168" s="91"/>
      <c r="AE168" s="91"/>
      <c r="AF168" s="91"/>
      <c r="AG168" s="91"/>
    </row>
    <row r="169" spans="1:33">
      <c r="A169" s="534"/>
      <c r="B169" s="534">
        <v>167</v>
      </c>
      <c r="C169" s="534">
        <v>300824</v>
      </c>
      <c r="D169" s="534">
        <v>80564577</v>
      </c>
      <c r="E169" s="50" t="s">
        <v>1545</v>
      </c>
      <c r="F169" s="534">
        <v>51</v>
      </c>
      <c r="G169" s="49" t="s">
        <v>1546</v>
      </c>
      <c r="H169" s="49" t="s">
        <v>301</v>
      </c>
      <c r="I169" s="534">
        <v>931212276</v>
      </c>
      <c r="J169" s="49" t="s">
        <v>302</v>
      </c>
      <c r="K169" s="533">
        <v>46060</v>
      </c>
      <c r="L169" s="49" t="s">
        <v>1547</v>
      </c>
      <c r="M169" s="534" t="s">
        <v>260</v>
      </c>
      <c r="N169" s="48" t="s">
        <v>241</v>
      </c>
      <c r="O169" s="437">
        <v>46071</v>
      </c>
      <c r="P169" s="539" t="s">
        <v>292</v>
      </c>
      <c r="Q169" s="807">
        <v>46082</v>
      </c>
      <c r="R169" s="566" t="s">
        <v>242</v>
      </c>
      <c r="S169" s="49"/>
      <c r="T169" s="49"/>
      <c r="U169" s="49"/>
      <c r="V169" s="49"/>
      <c r="W169" s="49"/>
      <c r="X169" s="49"/>
      <c r="Y169" s="49"/>
      <c r="Z169" s="49"/>
      <c r="AA169" s="49"/>
      <c r="AB169" s="49"/>
      <c r="AC169" s="49"/>
      <c r="AD169" s="91"/>
      <c r="AE169" s="91"/>
      <c r="AF169" s="91"/>
      <c r="AG169" s="91"/>
    </row>
    <row r="170" spans="1:33">
      <c r="A170" s="534"/>
      <c r="B170" s="534">
        <v>168</v>
      </c>
      <c r="C170" s="534">
        <v>335202</v>
      </c>
      <c r="D170" s="534">
        <v>40068785</v>
      </c>
      <c r="E170" s="50" t="s">
        <v>1548</v>
      </c>
      <c r="F170" s="534">
        <v>47</v>
      </c>
      <c r="G170" s="49" t="s">
        <v>1549</v>
      </c>
      <c r="H170" s="49" t="s">
        <v>278</v>
      </c>
      <c r="I170" s="534">
        <v>955161898</v>
      </c>
      <c r="J170" s="49" t="s">
        <v>238</v>
      </c>
      <c r="K170" s="535">
        <v>46060</v>
      </c>
      <c r="L170" s="49" t="s">
        <v>458</v>
      </c>
      <c r="M170" s="534" t="s">
        <v>260</v>
      </c>
      <c r="N170" s="48" t="s">
        <v>241</v>
      </c>
      <c r="O170" s="53">
        <v>46069</v>
      </c>
      <c r="P170" s="546"/>
      <c r="Q170" s="634"/>
      <c r="R170" s="566"/>
      <c r="S170" s="49"/>
      <c r="T170" s="49"/>
      <c r="U170" s="49"/>
      <c r="V170" s="49"/>
      <c r="W170" s="49"/>
      <c r="X170" s="49"/>
      <c r="Y170" s="49"/>
      <c r="Z170" s="49"/>
      <c r="AA170" s="49"/>
      <c r="AB170" s="49"/>
      <c r="AC170" s="49"/>
      <c r="AD170" s="91"/>
      <c r="AE170" s="91"/>
      <c r="AF170" s="91"/>
      <c r="AG170" s="91"/>
    </row>
    <row r="171" spans="1:33">
      <c r="A171" s="534"/>
      <c r="B171" s="534">
        <v>169</v>
      </c>
      <c r="C171" s="534">
        <v>180804</v>
      </c>
      <c r="D171" s="534">
        <v>43970052</v>
      </c>
      <c r="E171" s="50" t="s">
        <v>1550</v>
      </c>
      <c r="F171" s="534">
        <v>53</v>
      </c>
      <c r="G171" s="49" t="s">
        <v>1551</v>
      </c>
      <c r="H171" s="49" t="s">
        <v>278</v>
      </c>
      <c r="I171" s="534">
        <v>971799991</v>
      </c>
      <c r="J171" s="49" t="s">
        <v>302</v>
      </c>
      <c r="K171" s="533">
        <v>46060</v>
      </c>
      <c r="L171" s="49" t="s">
        <v>1552</v>
      </c>
      <c r="M171" s="534" t="s">
        <v>1102</v>
      </c>
      <c r="N171" s="49" t="s">
        <v>601</v>
      </c>
      <c r="O171" s="437">
        <v>46071</v>
      </c>
      <c r="P171" s="539" t="s">
        <v>292</v>
      </c>
      <c r="Q171" s="803" t="s">
        <v>385</v>
      </c>
      <c r="R171" s="566"/>
      <c r="S171" s="49"/>
      <c r="T171" s="49"/>
      <c r="U171" s="49"/>
      <c r="V171" s="49"/>
      <c r="W171" s="49"/>
      <c r="X171" s="49"/>
      <c r="Y171" s="49"/>
      <c r="Z171" s="49"/>
      <c r="AA171" s="49"/>
      <c r="AB171" s="49"/>
      <c r="AC171" s="49"/>
      <c r="AD171" s="91"/>
      <c r="AE171" s="91"/>
      <c r="AF171" s="91"/>
      <c r="AG171" s="91"/>
    </row>
    <row r="172" spans="1:33">
      <c r="A172" s="534"/>
      <c r="B172" s="534">
        <v>170</v>
      </c>
      <c r="C172" s="534">
        <v>14403</v>
      </c>
      <c r="D172" s="534">
        <v>15612334</v>
      </c>
      <c r="E172" s="50" t="s">
        <v>1553</v>
      </c>
      <c r="F172" s="534">
        <v>62</v>
      </c>
      <c r="G172" s="49" t="s">
        <v>1554</v>
      </c>
      <c r="H172" s="49" t="s">
        <v>278</v>
      </c>
      <c r="I172" s="534">
        <v>949400545</v>
      </c>
      <c r="J172" s="49" t="s">
        <v>238</v>
      </c>
      <c r="K172" s="535">
        <v>46060</v>
      </c>
      <c r="L172" s="49" t="s">
        <v>679</v>
      </c>
      <c r="M172" s="555" t="s">
        <v>230</v>
      </c>
      <c r="N172" s="49" t="s">
        <v>807</v>
      </c>
      <c r="O172" s="53">
        <v>46069</v>
      </c>
      <c r="P172" s="546"/>
      <c r="Q172" s="632"/>
      <c r="R172" s="566"/>
      <c r="S172" s="49"/>
      <c r="T172" s="49"/>
      <c r="U172" s="49"/>
      <c r="V172" s="49"/>
      <c r="W172" s="49"/>
      <c r="X172" s="49"/>
      <c r="Y172" s="49"/>
      <c r="Z172" s="49"/>
      <c r="AA172" s="49"/>
      <c r="AB172" s="49"/>
      <c r="AC172" s="49"/>
      <c r="AD172" s="91"/>
      <c r="AE172" s="91"/>
      <c r="AF172" s="91"/>
      <c r="AG172" s="91"/>
    </row>
    <row r="173" spans="1:33">
      <c r="A173" s="534"/>
      <c r="B173" s="534">
        <v>171</v>
      </c>
      <c r="C173" s="534">
        <v>83631</v>
      </c>
      <c r="D173" s="534">
        <v>6958841</v>
      </c>
      <c r="E173" s="50" t="s">
        <v>1555</v>
      </c>
      <c r="F173" s="534">
        <v>67</v>
      </c>
      <c r="G173" s="49" t="s">
        <v>1556</v>
      </c>
      <c r="H173" s="49" t="s">
        <v>278</v>
      </c>
      <c r="I173" s="534">
        <v>968674965</v>
      </c>
      <c r="J173" s="49" t="s">
        <v>384</v>
      </c>
      <c r="K173" s="533">
        <v>46060</v>
      </c>
      <c r="L173" s="49" t="s">
        <v>1557</v>
      </c>
      <c r="M173" s="555" t="s">
        <v>230</v>
      </c>
      <c r="N173" s="49" t="s">
        <v>601</v>
      </c>
      <c r="O173" s="437">
        <v>46070</v>
      </c>
      <c r="P173" s="546" t="s">
        <v>1558</v>
      </c>
      <c r="Q173" s="802">
        <v>46082</v>
      </c>
      <c r="R173" s="808">
        <v>46082</v>
      </c>
      <c r="S173" s="49"/>
      <c r="T173" s="49"/>
      <c r="U173" s="49"/>
      <c r="V173" s="49"/>
      <c r="W173" s="49"/>
      <c r="X173" s="49"/>
      <c r="Y173" s="49"/>
      <c r="Z173" s="49"/>
      <c r="AA173" s="49"/>
      <c r="AB173" s="49"/>
      <c r="AC173" s="49"/>
      <c r="AD173" s="91"/>
      <c r="AE173" s="91"/>
      <c r="AF173" s="91"/>
      <c r="AG173" s="91"/>
    </row>
    <row r="174" spans="1:33">
      <c r="A174" s="534"/>
      <c r="B174" s="534">
        <v>172</v>
      </c>
      <c r="C174" s="534">
        <v>289756</v>
      </c>
      <c r="D174" s="534">
        <v>44063142</v>
      </c>
      <c r="E174" s="50" t="s">
        <v>1559</v>
      </c>
      <c r="F174" s="534">
        <v>42</v>
      </c>
      <c r="G174" s="49" t="s">
        <v>1560</v>
      </c>
      <c r="H174" s="49" t="s">
        <v>432</v>
      </c>
      <c r="I174" s="534">
        <v>979687897</v>
      </c>
      <c r="J174" s="49" t="s">
        <v>1209</v>
      </c>
      <c r="K174" s="533">
        <v>46060</v>
      </c>
      <c r="L174" s="49" t="s">
        <v>1561</v>
      </c>
      <c r="M174" s="534" t="s">
        <v>230</v>
      </c>
      <c r="N174" s="49" t="s">
        <v>601</v>
      </c>
      <c r="O174" s="437">
        <v>46071</v>
      </c>
      <c r="P174" s="546" t="s">
        <v>1562</v>
      </c>
      <c r="Q174" s="832" t="s">
        <v>334</v>
      </c>
      <c r="R174" s="566"/>
      <c r="S174" s="49"/>
      <c r="T174" s="49"/>
      <c r="U174" s="49"/>
      <c r="V174" s="49"/>
      <c r="W174" s="49"/>
      <c r="X174" s="49"/>
      <c r="Y174" s="49"/>
      <c r="Z174" s="49"/>
      <c r="AA174" s="49"/>
      <c r="AB174" s="49"/>
      <c r="AC174" s="49"/>
      <c r="AD174" s="91"/>
      <c r="AE174" s="91"/>
      <c r="AF174" s="91"/>
      <c r="AG174" s="91"/>
    </row>
    <row r="175" spans="1:33">
      <c r="A175" s="534"/>
      <c r="B175" s="534">
        <v>173</v>
      </c>
      <c r="C175" s="534">
        <v>128355</v>
      </c>
      <c r="D175" s="534">
        <v>41134940</v>
      </c>
      <c r="E175" s="50" t="s">
        <v>1563</v>
      </c>
      <c r="F175" s="534">
        <v>45</v>
      </c>
      <c r="G175" s="49" t="s">
        <v>1564</v>
      </c>
      <c r="H175" s="49" t="s">
        <v>237</v>
      </c>
      <c r="I175" s="534">
        <v>993099996</v>
      </c>
      <c r="J175" s="49" t="s">
        <v>588</v>
      </c>
      <c r="K175" s="533">
        <v>46060</v>
      </c>
      <c r="L175" s="49" t="s">
        <v>1565</v>
      </c>
      <c r="M175" s="534" t="s">
        <v>260</v>
      </c>
      <c r="N175" s="48" t="s">
        <v>241</v>
      </c>
      <c r="O175" s="437">
        <v>46071</v>
      </c>
      <c r="P175" s="566" t="s">
        <v>292</v>
      </c>
      <c r="Q175" s="809" t="s">
        <v>334</v>
      </c>
      <c r="R175" s="566"/>
      <c r="S175" s="49"/>
      <c r="T175" s="49"/>
      <c r="U175" s="49"/>
      <c r="V175" s="49"/>
      <c r="W175" s="49"/>
      <c r="X175" s="49"/>
      <c r="Y175" s="49"/>
      <c r="Z175" s="49"/>
      <c r="AA175" s="49"/>
      <c r="AB175" s="49"/>
      <c r="AC175" s="49"/>
      <c r="AD175" s="91"/>
      <c r="AE175" s="91"/>
      <c r="AF175" s="91"/>
      <c r="AG175" s="91"/>
    </row>
    <row r="176" spans="1:33">
      <c r="A176" s="534"/>
      <c r="B176" s="534">
        <v>174</v>
      </c>
      <c r="C176" s="534">
        <v>185461</v>
      </c>
      <c r="D176" s="534">
        <v>15739029</v>
      </c>
      <c r="E176" s="50" t="s">
        <v>1566</v>
      </c>
      <c r="F176" s="534">
        <v>49</v>
      </c>
      <c r="G176" s="49" t="s">
        <v>1567</v>
      </c>
      <c r="H176" s="49" t="s">
        <v>278</v>
      </c>
      <c r="I176" s="534">
        <v>989035977</v>
      </c>
      <c r="J176" s="49" t="s">
        <v>384</v>
      </c>
      <c r="K176" s="533">
        <v>46060</v>
      </c>
      <c r="L176" s="49" t="s">
        <v>1568</v>
      </c>
      <c r="M176" s="534" t="s">
        <v>1102</v>
      </c>
      <c r="N176" s="49" t="s">
        <v>601</v>
      </c>
      <c r="O176" s="437">
        <v>46070</v>
      </c>
      <c r="P176" s="546" t="s">
        <v>1558</v>
      </c>
      <c r="Q176" s="802">
        <v>46082</v>
      </c>
      <c r="R176" s="808">
        <v>46082</v>
      </c>
      <c r="S176" s="49"/>
      <c r="T176" s="49"/>
      <c r="U176" s="49"/>
      <c r="V176" s="49"/>
      <c r="W176" s="49"/>
      <c r="X176" s="49"/>
      <c r="Y176" s="49"/>
      <c r="Z176" s="49"/>
      <c r="AA176" s="49"/>
      <c r="AB176" s="49"/>
      <c r="AC176" s="49"/>
      <c r="AD176" s="91"/>
      <c r="AE176" s="91"/>
      <c r="AF176" s="91"/>
      <c r="AG176" s="91"/>
    </row>
    <row r="177" spans="1:33">
      <c r="A177" s="533">
        <v>44966</v>
      </c>
      <c r="B177" s="534">
        <v>175</v>
      </c>
      <c r="C177" s="534">
        <v>418843</v>
      </c>
      <c r="D177" s="534">
        <v>41749650</v>
      </c>
      <c r="E177" s="50" t="s">
        <v>1569</v>
      </c>
      <c r="F177" s="534">
        <v>48</v>
      </c>
      <c r="G177" s="49" t="s">
        <v>1570</v>
      </c>
      <c r="H177" s="49" t="s">
        <v>911</v>
      </c>
      <c r="I177" s="534">
        <v>903414813</v>
      </c>
      <c r="J177" s="49" t="s">
        <v>421</v>
      </c>
      <c r="K177" s="535">
        <v>46062</v>
      </c>
      <c r="L177" s="49" t="s">
        <v>1571</v>
      </c>
      <c r="M177" s="534" t="s">
        <v>1102</v>
      </c>
      <c r="N177" s="49" t="s">
        <v>241</v>
      </c>
      <c r="O177" s="53">
        <v>46069</v>
      </c>
      <c r="P177" s="546" t="s">
        <v>512</v>
      </c>
      <c r="Q177" s="471" t="s">
        <v>358</v>
      </c>
      <c r="R177" s="566"/>
      <c r="S177" s="49"/>
      <c r="T177" s="49"/>
      <c r="U177" s="49"/>
      <c r="V177" s="49"/>
      <c r="W177" s="49"/>
      <c r="X177" s="49"/>
      <c r="Y177" s="49"/>
      <c r="Z177" s="49"/>
      <c r="AA177" s="49"/>
      <c r="AB177" s="49"/>
      <c r="AC177" s="49"/>
      <c r="AD177" s="91"/>
      <c r="AE177" s="91"/>
      <c r="AF177" s="91"/>
      <c r="AG177" s="91"/>
    </row>
    <row r="178" spans="1:33">
      <c r="A178" s="536"/>
      <c r="B178" s="534">
        <v>176</v>
      </c>
      <c r="C178" s="536">
        <v>64209</v>
      </c>
      <c r="D178" s="536">
        <v>15657033</v>
      </c>
      <c r="E178" s="212" t="s">
        <v>1572</v>
      </c>
      <c r="F178" s="536">
        <v>62</v>
      </c>
      <c r="G178" s="59" t="s">
        <v>1573</v>
      </c>
      <c r="H178" s="59" t="s">
        <v>1546</v>
      </c>
      <c r="I178" s="536">
        <v>9890725291</v>
      </c>
      <c r="J178" s="59" t="s">
        <v>302</v>
      </c>
      <c r="K178" s="591">
        <v>46062</v>
      </c>
      <c r="L178" s="59" t="s">
        <v>1574</v>
      </c>
      <c r="M178" s="536" t="s">
        <v>323</v>
      </c>
      <c r="N178" s="59" t="s">
        <v>241</v>
      </c>
      <c r="O178" s="442">
        <v>46071</v>
      </c>
      <c r="P178" s="536" t="s">
        <v>292</v>
      </c>
      <c r="Q178" s="836" t="s">
        <v>1575</v>
      </c>
      <c r="R178" s="612"/>
      <c r="S178" s="59"/>
      <c r="T178" s="59"/>
      <c r="U178" s="59"/>
      <c r="V178" s="59"/>
      <c r="W178" s="59"/>
      <c r="X178" s="59"/>
      <c r="Y178" s="59"/>
      <c r="Z178" s="59"/>
      <c r="AA178" s="59"/>
      <c r="AB178" s="59"/>
      <c r="AC178" s="59"/>
      <c r="AD178" s="91"/>
      <c r="AE178" s="91"/>
      <c r="AF178" s="91"/>
      <c r="AG178" s="91"/>
    </row>
    <row r="179" spans="1:33">
      <c r="A179" s="534"/>
      <c r="B179" s="534">
        <v>177</v>
      </c>
      <c r="C179" s="534">
        <v>279705</v>
      </c>
      <c r="D179" s="534">
        <v>15604582</v>
      </c>
      <c r="E179" s="50" t="s">
        <v>1576</v>
      </c>
      <c r="F179" s="534">
        <v>61</v>
      </c>
      <c r="G179" s="49" t="s">
        <v>1520</v>
      </c>
      <c r="H179" s="49" t="s">
        <v>278</v>
      </c>
      <c r="I179" s="534" t="s">
        <v>1577</v>
      </c>
      <c r="J179" s="49" t="s">
        <v>238</v>
      </c>
      <c r="K179" s="535">
        <v>46062</v>
      </c>
      <c r="L179" s="49" t="s">
        <v>1578</v>
      </c>
      <c r="M179" s="534" t="s">
        <v>260</v>
      </c>
      <c r="N179" s="49" t="s">
        <v>241</v>
      </c>
      <c r="O179" s="53">
        <v>46069</v>
      </c>
      <c r="P179" s="546"/>
      <c r="Q179" s="632"/>
      <c r="R179" s="566"/>
      <c r="S179" s="49"/>
      <c r="T179" s="49"/>
      <c r="U179" s="49"/>
      <c r="V179" s="49"/>
      <c r="W179" s="49"/>
      <c r="X179" s="49"/>
      <c r="Y179" s="49"/>
      <c r="Z179" s="49"/>
      <c r="AA179" s="49"/>
      <c r="AB179" s="49"/>
      <c r="AC179" s="49"/>
      <c r="AD179" s="91"/>
      <c r="AE179" s="91"/>
      <c r="AF179" s="91"/>
      <c r="AG179" s="91"/>
    </row>
    <row r="180" spans="1:33">
      <c r="A180" s="534"/>
      <c r="B180" s="534">
        <v>178</v>
      </c>
      <c r="C180" s="534">
        <v>98164</v>
      </c>
      <c r="D180" s="534">
        <v>15596190</v>
      </c>
      <c r="E180" s="50" t="s">
        <v>1579</v>
      </c>
      <c r="F180" s="534">
        <v>59</v>
      </c>
      <c r="G180" s="49" t="s">
        <v>1580</v>
      </c>
      <c r="H180" s="49" t="s">
        <v>1581</v>
      </c>
      <c r="I180" s="534">
        <v>992151523</v>
      </c>
      <c r="J180" s="49" t="s">
        <v>384</v>
      </c>
      <c r="K180" s="533">
        <v>46060</v>
      </c>
      <c r="L180" s="49" t="s">
        <v>1568</v>
      </c>
      <c r="M180" s="534" t="s">
        <v>1102</v>
      </c>
      <c r="N180" s="49" t="s">
        <v>601</v>
      </c>
      <c r="O180" s="437">
        <v>46070</v>
      </c>
      <c r="P180" s="546" t="s">
        <v>1558</v>
      </c>
      <c r="Q180" s="802">
        <v>46082</v>
      </c>
      <c r="R180" s="808">
        <v>46082</v>
      </c>
      <c r="S180" s="49"/>
      <c r="T180" s="49"/>
      <c r="U180" s="49"/>
      <c r="V180" s="49"/>
      <c r="W180" s="49"/>
      <c r="X180" s="49"/>
      <c r="Y180" s="49"/>
      <c r="Z180" s="49"/>
      <c r="AA180" s="49"/>
      <c r="AB180" s="49"/>
      <c r="AC180" s="49"/>
      <c r="AD180" s="91"/>
      <c r="AE180" s="91"/>
      <c r="AF180" s="91"/>
      <c r="AG180" s="91"/>
    </row>
    <row r="181" spans="1:33">
      <c r="A181" s="534"/>
      <c r="B181" s="534">
        <v>179</v>
      </c>
      <c r="C181" s="534">
        <v>420690</v>
      </c>
      <c r="D181" s="534">
        <v>44328135</v>
      </c>
      <c r="E181" s="50" t="s">
        <v>1582</v>
      </c>
      <c r="F181" s="534">
        <v>52</v>
      </c>
      <c r="G181" s="49" t="s">
        <v>1583</v>
      </c>
      <c r="H181" s="49" t="s">
        <v>278</v>
      </c>
      <c r="I181" s="534" t="s">
        <v>1584</v>
      </c>
      <c r="J181" s="49" t="s">
        <v>1012</v>
      </c>
      <c r="K181" s="535">
        <v>46062</v>
      </c>
      <c r="L181" s="49" t="s">
        <v>376</v>
      </c>
      <c r="M181" s="534" t="s">
        <v>230</v>
      </c>
      <c r="N181" s="49" t="s">
        <v>807</v>
      </c>
      <c r="O181" s="437">
        <v>46091</v>
      </c>
      <c r="P181" s="539" t="s">
        <v>1013</v>
      </c>
      <c r="Q181" s="825">
        <v>46082</v>
      </c>
      <c r="R181" s="566" t="s">
        <v>318</v>
      </c>
      <c r="S181" s="49"/>
      <c r="T181" s="49"/>
      <c r="U181" s="49"/>
      <c r="V181" s="49"/>
      <c r="W181" s="49"/>
      <c r="X181" s="49"/>
      <c r="Y181" s="49"/>
      <c r="Z181" s="49"/>
      <c r="AA181" s="49"/>
      <c r="AB181" s="49"/>
      <c r="AC181" s="49"/>
      <c r="AD181" s="91"/>
      <c r="AE181" s="91"/>
      <c r="AF181" s="91"/>
      <c r="AG181" s="91"/>
    </row>
    <row r="182" spans="1:33">
      <c r="A182" s="536"/>
      <c r="B182" s="534">
        <v>180</v>
      </c>
      <c r="C182" s="536">
        <v>460589</v>
      </c>
      <c r="D182" s="536">
        <v>40454211</v>
      </c>
      <c r="E182" s="212" t="s">
        <v>1585</v>
      </c>
      <c r="F182" s="536">
        <v>45</v>
      </c>
      <c r="G182" s="59" t="s">
        <v>1586</v>
      </c>
      <c r="H182" s="59" t="s">
        <v>278</v>
      </c>
      <c r="I182" s="536"/>
      <c r="J182" s="59" t="s">
        <v>384</v>
      </c>
      <c r="K182" s="591">
        <v>46062</v>
      </c>
      <c r="L182" s="59" t="s">
        <v>1587</v>
      </c>
      <c r="M182" s="536" t="s">
        <v>323</v>
      </c>
      <c r="N182" s="59" t="s">
        <v>241</v>
      </c>
      <c r="O182" s="442">
        <v>46070</v>
      </c>
      <c r="P182" s="612" t="s">
        <v>1558</v>
      </c>
      <c r="Q182" s="647" t="s">
        <v>1232</v>
      </c>
      <c r="R182" s="612"/>
      <c r="S182" s="59"/>
      <c r="T182" s="59"/>
      <c r="U182" s="59"/>
      <c r="V182" s="59"/>
      <c r="W182" s="59"/>
      <c r="X182" s="59"/>
      <c r="Y182" s="59"/>
      <c r="Z182" s="59"/>
      <c r="AA182" s="59"/>
      <c r="AB182" s="59"/>
      <c r="AC182" s="59"/>
      <c r="AD182" s="91"/>
      <c r="AE182" s="91"/>
      <c r="AF182" s="91"/>
      <c r="AG182" s="91"/>
    </row>
    <row r="183" spans="1:33">
      <c r="A183" s="534"/>
      <c r="B183" s="534">
        <v>181</v>
      </c>
      <c r="C183" s="534">
        <v>328515</v>
      </c>
      <c r="D183" s="534">
        <v>42407497</v>
      </c>
      <c r="E183" s="50" t="s">
        <v>1588</v>
      </c>
      <c r="F183" s="534">
        <v>41</v>
      </c>
      <c r="G183" s="49" t="s">
        <v>1589</v>
      </c>
      <c r="H183" s="49" t="s">
        <v>326</v>
      </c>
      <c r="I183" s="534">
        <v>949267163</v>
      </c>
      <c r="J183" s="49" t="s">
        <v>238</v>
      </c>
      <c r="K183" s="535">
        <v>46062</v>
      </c>
      <c r="L183" s="49" t="s">
        <v>1590</v>
      </c>
      <c r="M183" s="534" t="s">
        <v>1102</v>
      </c>
      <c r="N183" s="49" t="s">
        <v>241</v>
      </c>
      <c r="O183" s="53">
        <v>46069</v>
      </c>
      <c r="P183" s="546"/>
      <c r="Q183" s="546" t="s">
        <v>1591</v>
      </c>
      <c r="R183" s="566"/>
      <c r="S183" s="49"/>
      <c r="T183" s="49"/>
      <c r="U183" s="49"/>
      <c r="V183" s="49"/>
      <c r="W183" s="49"/>
      <c r="X183" s="49"/>
      <c r="Y183" s="49"/>
      <c r="Z183" s="49"/>
      <c r="AA183" s="49"/>
      <c r="AB183" s="49"/>
      <c r="AC183" s="49"/>
      <c r="AD183" s="91"/>
      <c r="AE183" s="91"/>
      <c r="AF183" s="91"/>
      <c r="AG183" s="91"/>
    </row>
    <row r="184" spans="1:33">
      <c r="A184" s="534"/>
      <c r="B184" s="534">
        <v>182</v>
      </c>
      <c r="C184" s="534">
        <v>134125</v>
      </c>
      <c r="D184" s="534">
        <v>40092399</v>
      </c>
      <c r="E184" s="50" t="s">
        <v>1592</v>
      </c>
      <c r="F184" s="534">
        <v>47</v>
      </c>
      <c r="G184" s="49" t="s">
        <v>1593</v>
      </c>
      <c r="H184" s="49" t="s">
        <v>301</v>
      </c>
      <c r="I184" s="534" t="s">
        <v>1594</v>
      </c>
      <c r="J184" s="49" t="s">
        <v>380</v>
      </c>
      <c r="K184" s="535">
        <v>46062</v>
      </c>
      <c r="L184" s="49" t="s">
        <v>388</v>
      </c>
      <c r="M184" s="555" t="s">
        <v>230</v>
      </c>
      <c r="N184" s="49" t="s">
        <v>241</v>
      </c>
      <c r="O184" s="437">
        <v>46070</v>
      </c>
      <c r="P184" s="539" t="s">
        <v>1385</v>
      </c>
      <c r="Q184" s="811" t="s">
        <v>339</v>
      </c>
      <c r="R184" s="566"/>
      <c r="S184" s="49"/>
      <c r="T184" s="49"/>
      <c r="U184" s="49"/>
      <c r="V184" s="49"/>
      <c r="W184" s="49"/>
      <c r="X184" s="49"/>
      <c r="Y184" s="49"/>
      <c r="Z184" s="49"/>
      <c r="AA184" s="49"/>
      <c r="AB184" s="49"/>
      <c r="AC184" s="49"/>
      <c r="AD184" s="91"/>
      <c r="AE184" s="91"/>
      <c r="AF184" s="91"/>
      <c r="AG184" s="91"/>
    </row>
    <row r="185" spans="1:33">
      <c r="A185" s="534"/>
      <c r="B185" s="534">
        <v>183</v>
      </c>
      <c r="C185" s="534">
        <v>156890</v>
      </c>
      <c r="D185" s="534">
        <v>15741378</v>
      </c>
      <c r="E185" s="50" t="s">
        <v>1595</v>
      </c>
      <c r="F185" s="534">
        <v>51</v>
      </c>
      <c r="G185" s="51" t="s">
        <v>1596</v>
      </c>
      <c r="H185" s="49" t="s">
        <v>278</v>
      </c>
      <c r="I185" s="534" t="s">
        <v>1597</v>
      </c>
      <c r="J185" s="49" t="s">
        <v>238</v>
      </c>
      <c r="K185" s="535">
        <v>46062</v>
      </c>
      <c r="L185" s="49" t="s">
        <v>376</v>
      </c>
      <c r="M185" s="555" t="s">
        <v>230</v>
      </c>
      <c r="N185" s="49" t="s">
        <v>807</v>
      </c>
      <c r="O185" s="53">
        <v>46069</v>
      </c>
      <c r="P185" s="546"/>
      <c r="Q185" s="546" t="s">
        <v>1479</v>
      </c>
      <c r="R185" s="566"/>
      <c r="S185" s="49"/>
      <c r="T185" s="49"/>
      <c r="U185" s="49"/>
      <c r="V185" s="49"/>
      <c r="W185" s="49"/>
      <c r="X185" s="49"/>
      <c r="Y185" s="49"/>
      <c r="Z185" s="49"/>
      <c r="AA185" s="49"/>
      <c r="AB185" s="49"/>
      <c r="AC185" s="49"/>
      <c r="AD185" s="91"/>
      <c r="AE185" s="91"/>
      <c r="AF185" s="91"/>
      <c r="AG185" s="91"/>
    </row>
    <row r="186" spans="1:33">
      <c r="A186" s="534" t="s">
        <v>1598</v>
      </c>
      <c r="B186" s="534">
        <v>184</v>
      </c>
      <c r="C186" s="534">
        <v>522767</v>
      </c>
      <c r="D186" s="534">
        <v>15754341</v>
      </c>
      <c r="E186" s="50" t="s">
        <v>1599</v>
      </c>
      <c r="F186" s="534">
        <v>50</v>
      </c>
      <c r="G186" s="49" t="s">
        <v>1600</v>
      </c>
      <c r="H186" s="49" t="s">
        <v>911</v>
      </c>
      <c r="I186" s="534">
        <v>976486147</v>
      </c>
      <c r="J186" s="49" t="s">
        <v>1601</v>
      </c>
      <c r="K186" s="535">
        <v>46062</v>
      </c>
      <c r="L186" s="49" t="s">
        <v>388</v>
      </c>
      <c r="M186" s="555" t="s">
        <v>230</v>
      </c>
      <c r="N186" s="49" t="s">
        <v>1244</v>
      </c>
      <c r="O186" s="53">
        <v>46069</v>
      </c>
      <c r="P186" s="546" t="s">
        <v>1602</v>
      </c>
      <c r="Q186" s="471" t="s">
        <v>358</v>
      </c>
      <c r="R186" s="566"/>
      <c r="S186" s="49"/>
      <c r="T186" s="49"/>
      <c r="U186" s="49"/>
      <c r="V186" s="49"/>
      <c r="W186" s="49"/>
      <c r="X186" s="49"/>
      <c r="Y186" s="49"/>
      <c r="Z186" s="49"/>
      <c r="AA186" s="49"/>
      <c r="AB186" s="49"/>
      <c r="AC186" s="49"/>
      <c r="AD186" s="91"/>
      <c r="AE186" s="91"/>
      <c r="AF186" s="91"/>
      <c r="AG186" s="91"/>
    </row>
    <row r="187" spans="1:33">
      <c r="A187" s="534"/>
      <c r="B187" s="534">
        <v>186</v>
      </c>
      <c r="C187" s="534">
        <v>126936</v>
      </c>
      <c r="D187" s="534">
        <v>15600522</v>
      </c>
      <c r="E187" s="50" t="s">
        <v>1603</v>
      </c>
      <c r="F187" s="534">
        <v>66</v>
      </c>
      <c r="G187" s="49" t="s">
        <v>1604</v>
      </c>
      <c r="H187" s="49" t="s">
        <v>278</v>
      </c>
      <c r="I187" s="534"/>
      <c r="J187" s="49" t="s">
        <v>223</v>
      </c>
      <c r="K187" s="535">
        <v>46062</v>
      </c>
      <c r="L187" s="49" t="s">
        <v>376</v>
      </c>
      <c r="M187" s="555" t="s">
        <v>230</v>
      </c>
      <c r="N187" s="49" t="s">
        <v>807</v>
      </c>
      <c r="O187" s="53" t="s">
        <v>1605</v>
      </c>
      <c r="P187" s="539" t="s">
        <v>292</v>
      </c>
      <c r="Q187" s="647" t="s">
        <v>1232</v>
      </c>
      <c r="R187" s="534" t="s">
        <v>318</v>
      </c>
      <c r="S187" s="49"/>
      <c r="T187" s="49"/>
      <c r="U187" s="49"/>
      <c r="V187" s="49"/>
      <c r="W187" s="49"/>
      <c r="X187" s="49"/>
      <c r="Y187" s="49"/>
      <c r="Z187" s="49"/>
      <c r="AA187" s="49"/>
      <c r="AB187" s="49"/>
      <c r="AC187" s="49"/>
      <c r="AD187" s="91"/>
      <c r="AE187" s="91"/>
      <c r="AF187" s="91"/>
      <c r="AG187" s="91"/>
    </row>
    <row r="188" spans="1:33">
      <c r="A188" s="534"/>
      <c r="B188" s="534">
        <v>187</v>
      </c>
      <c r="C188" s="534">
        <v>268699</v>
      </c>
      <c r="D188" s="534">
        <v>42019594</v>
      </c>
      <c r="E188" s="50" t="s">
        <v>1606</v>
      </c>
      <c r="F188" s="534">
        <v>42</v>
      </c>
      <c r="G188" s="49" t="s">
        <v>1607</v>
      </c>
      <c r="H188" s="49" t="s">
        <v>278</v>
      </c>
      <c r="I188" s="534">
        <v>989395800</v>
      </c>
      <c r="J188" s="49" t="s">
        <v>238</v>
      </c>
      <c r="K188" s="535">
        <v>46062</v>
      </c>
      <c r="L188" s="49" t="s">
        <v>1608</v>
      </c>
      <c r="M188" s="534" t="s">
        <v>260</v>
      </c>
      <c r="N188" s="49" t="s">
        <v>241</v>
      </c>
      <c r="O188" s="53">
        <v>46069</v>
      </c>
      <c r="P188" s="546"/>
      <c r="Q188" s="546" t="s">
        <v>1609</v>
      </c>
      <c r="R188" s="534" t="s">
        <v>242</v>
      </c>
      <c r="S188" s="49"/>
      <c r="T188" s="49"/>
      <c r="U188" s="49"/>
      <c r="V188" s="49"/>
      <c r="W188" s="49"/>
      <c r="X188" s="49"/>
      <c r="Y188" s="49"/>
      <c r="Z188" s="49"/>
      <c r="AA188" s="49"/>
      <c r="AB188" s="49"/>
      <c r="AC188" s="49"/>
      <c r="AD188" s="91"/>
      <c r="AE188" s="91"/>
      <c r="AF188" s="91"/>
      <c r="AG188" s="91"/>
    </row>
    <row r="189" spans="1:33">
      <c r="A189" s="534"/>
      <c r="B189" s="534">
        <v>188</v>
      </c>
      <c r="C189" s="534">
        <v>46968</v>
      </c>
      <c r="D189" s="534">
        <v>15742340</v>
      </c>
      <c r="E189" s="50" t="s">
        <v>1610</v>
      </c>
      <c r="F189" s="534">
        <v>51</v>
      </c>
      <c r="G189" s="49" t="s">
        <v>1611</v>
      </c>
      <c r="H189" s="49" t="s">
        <v>278</v>
      </c>
      <c r="I189" s="534">
        <v>951312834</v>
      </c>
      <c r="J189" s="49" t="s">
        <v>238</v>
      </c>
      <c r="K189" s="535">
        <v>46062</v>
      </c>
      <c r="L189" s="49" t="s">
        <v>376</v>
      </c>
      <c r="M189" s="555" t="s">
        <v>230</v>
      </c>
      <c r="N189" s="49" t="s">
        <v>807</v>
      </c>
      <c r="O189" s="53">
        <v>46069</v>
      </c>
      <c r="P189" s="546"/>
      <c r="Q189" s="546" t="s">
        <v>1612</v>
      </c>
      <c r="R189" s="534" t="s">
        <v>242</v>
      </c>
      <c r="S189" s="49"/>
      <c r="T189" s="49"/>
      <c r="U189" s="49"/>
      <c r="V189" s="49"/>
      <c r="W189" s="49"/>
      <c r="X189" s="49"/>
      <c r="Y189" s="49"/>
      <c r="Z189" s="49"/>
      <c r="AA189" s="49"/>
      <c r="AB189" s="49"/>
      <c r="AC189" s="49"/>
      <c r="AD189" s="91"/>
      <c r="AE189" s="91"/>
      <c r="AF189" s="91"/>
      <c r="AG189" s="91"/>
    </row>
    <row r="190" spans="1:33">
      <c r="A190" s="534"/>
      <c r="B190" s="534">
        <v>185</v>
      </c>
      <c r="C190" s="534">
        <v>268699</v>
      </c>
      <c r="D190" s="534">
        <v>42908873</v>
      </c>
      <c r="E190" s="50" t="s">
        <v>1613</v>
      </c>
      <c r="F190" s="534">
        <v>40</v>
      </c>
      <c r="G190" s="49" t="s">
        <v>1614</v>
      </c>
      <c r="H190" s="49" t="s">
        <v>278</v>
      </c>
      <c r="I190" s="534">
        <v>9572927591</v>
      </c>
      <c r="J190" s="49" t="s">
        <v>238</v>
      </c>
      <c r="K190" s="535">
        <v>46062</v>
      </c>
      <c r="L190" s="49" t="s">
        <v>376</v>
      </c>
      <c r="M190" s="555" t="s">
        <v>230</v>
      </c>
      <c r="N190" s="49" t="s">
        <v>807</v>
      </c>
      <c r="O190" s="53">
        <v>46069</v>
      </c>
      <c r="P190" s="546"/>
      <c r="Q190" s="634"/>
      <c r="R190" s="566"/>
      <c r="S190" s="49"/>
      <c r="T190" s="49"/>
      <c r="U190" s="49"/>
      <c r="V190" s="49"/>
      <c r="W190" s="49"/>
      <c r="X190" s="49"/>
      <c r="Y190" s="49"/>
      <c r="Z190" s="49"/>
      <c r="AA190" s="49"/>
      <c r="AB190" s="49"/>
      <c r="AC190" s="49"/>
      <c r="AD190" s="91"/>
      <c r="AE190" s="91"/>
      <c r="AF190" s="91"/>
      <c r="AG190" s="91"/>
    </row>
    <row r="191" spans="1:33">
      <c r="A191" s="534"/>
      <c r="B191" s="534">
        <v>189</v>
      </c>
      <c r="C191" s="534">
        <v>356256</v>
      </c>
      <c r="D191" s="534">
        <v>16737817</v>
      </c>
      <c r="E191" s="50" t="s">
        <v>1615</v>
      </c>
      <c r="F191" s="534">
        <v>50</v>
      </c>
      <c r="G191" s="49" t="s">
        <v>1616</v>
      </c>
      <c r="H191" s="49" t="s">
        <v>278</v>
      </c>
      <c r="I191" s="534">
        <v>929884191</v>
      </c>
      <c r="J191" s="49" t="s">
        <v>238</v>
      </c>
      <c r="K191" s="535">
        <v>46062</v>
      </c>
      <c r="L191" s="49" t="s">
        <v>1617</v>
      </c>
      <c r="M191" s="534" t="s">
        <v>1102</v>
      </c>
      <c r="N191" s="49" t="s">
        <v>241</v>
      </c>
      <c r="O191" s="53">
        <v>46069</v>
      </c>
      <c r="P191" s="546"/>
      <c r="Q191" s="632"/>
      <c r="R191" s="566"/>
      <c r="S191" s="49"/>
      <c r="T191" s="49"/>
      <c r="U191" s="49"/>
      <c r="V191" s="49"/>
      <c r="W191" s="49"/>
      <c r="X191" s="49"/>
      <c r="Y191" s="49"/>
      <c r="Z191" s="49"/>
      <c r="AA191" s="49"/>
      <c r="AB191" s="49"/>
      <c r="AC191" s="49"/>
      <c r="AD191" s="91"/>
      <c r="AE191" s="91"/>
      <c r="AF191" s="91"/>
      <c r="AG191" s="91"/>
    </row>
    <row r="192" spans="1:33">
      <c r="A192" s="534"/>
      <c r="B192" s="534">
        <v>190</v>
      </c>
      <c r="C192" s="534">
        <v>102127</v>
      </c>
      <c r="D192" s="534">
        <v>40906792</v>
      </c>
      <c r="E192" s="50" t="s">
        <v>1618</v>
      </c>
      <c r="F192" s="534">
        <v>43</v>
      </c>
      <c r="G192" s="49" t="s">
        <v>1619</v>
      </c>
      <c r="H192" s="49" t="s">
        <v>278</v>
      </c>
      <c r="I192" s="534">
        <v>981854470</v>
      </c>
      <c r="J192" s="54" t="s">
        <v>1620</v>
      </c>
      <c r="K192" s="535">
        <v>46062</v>
      </c>
      <c r="L192" s="49" t="s">
        <v>388</v>
      </c>
      <c r="M192" s="555" t="s">
        <v>230</v>
      </c>
      <c r="N192" s="49" t="s">
        <v>241</v>
      </c>
      <c r="O192" s="53">
        <v>46069</v>
      </c>
      <c r="P192" s="566" t="s">
        <v>1621</v>
      </c>
      <c r="Q192" s="471" t="s">
        <v>358</v>
      </c>
      <c r="R192" s="566"/>
      <c r="S192" s="49"/>
      <c r="T192" s="49"/>
      <c r="U192" s="49"/>
      <c r="V192" s="49"/>
      <c r="W192" s="49"/>
      <c r="X192" s="49"/>
      <c r="Y192" s="49"/>
      <c r="Z192" s="49"/>
      <c r="AA192" s="49"/>
      <c r="AB192" s="49"/>
      <c r="AC192" s="49"/>
      <c r="AD192" s="91"/>
      <c r="AE192" s="91"/>
      <c r="AF192" s="91"/>
      <c r="AG192" s="91"/>
    </row>
    <row r="193" spans="1:33">
      <c r="A193" s="534"/>
      <c r="B193" s="534">
        <v>191</v>
      </c>
      <c r="C193" s="534">
        <v>258875</v>
      </c>
      <c r="D193" s="534">
        <v>42407242</v>
      </c>
      <c r="E193" s="50" t="s">
        <v>1622</v>
      </c>
      <c r="F193" s="534">
        <v>41</v>
      </c>
      <c r="G193" s="49" t="s">
        <v>1623</v>
      </c>
      <c r="H193" s="49" t="s">
        <v>1398</v>
      </c>
      <c r="I193" s="534">
        <v>980997181</v>
      </c>
      <c r="J193" s="49" t="s">
        <v>1364</v>
      </c>
      <c r="K193" s="597">
        <v>46062</v>
      </c>
      <c r="L193" s="49" t="s">
        <v>1624</v>
      </c>
      <c r="M193" s="555" t="s">
        <v>230</v>
      </c>
      <c r="N193" s="49" t="s">
        <v>241</v>
      </c>
      <c r="O193" s="437">
        <v>46090</v>
      </c>
      <c r="P193" s="546" t="s">
        <v>1625</v>
      </c>
      <c r="Q193" s="809" t="s">
        <v>385</v>
      </c>
      <c r="R193" s="566"/>
      <c r="S193" s="49"/>
      <c r="T193" s="49"/>
      <c r="U193" s="49"/>
      <c r="V193" s="49"/>
      <c r="W193" s="49"/>
      <c r="X193" s="49"/>
      <c r="Y193" s="49"/>
      <c r="Z193" s="49"/>
      <c r="AA193" s="49"/>
      <c r="AB193" s="49"/>
      <c r="AC193" s="49"/>
      <c r="AD193" s="91"/>
      <c r="AE193" s="91"/>
      <c r="AF193" s="91"/>
      <c r="AG193" s="91"/>
    </row>
    <row r="194" spans="1:33">
      <c r="A194" s="534"/>
      <c r="B194" s="534">
        <v>192</v>
      </c>
      <c r="C194" s="534">
        <v>181894</v>
      </c>
      <c r="D194" s="534">
        <v>42824856</v>
      </c>
      <c r="E194" s="50" t="s">
        <v>1626</v>
      </c>
      <c r="F194" s="534">
        <v>41</v>
      </c>
      <c r="G194" s="49" t="s">
        <v>1627</v>
      </c>
      <c r="H194" s="49" t="s">
        <v>278</v>
      </c>
      <c r="I194" s="534">
        <v>991696591</v>
      </c>
      <c r="J194" s="49" t="s">
        <v>238</v>
      </c>
      <c r="K194" s="535">
        <v>46062</v>
      </c>
      <c r="L194" s="49" t="s">
        <v>376</v>
      </c>
      <c r="M194" s="555" t="s">
        <v>230</v>
      </c>
      <c r="N194" s="49" t="s">
        <v>807</v>
      </c>
      <c r="O194" s="53">
        <v>46069</v>
      </c>
      <c r="P194" s="546"/>
      <c r="Q194" s="634"/>
      <c r="R194" s="566"/>
      <c r="S194" s="49"/>
      <c r="T194" s="49"/>
      <c r="U194" s="49"/>
      <c r="V194" s="49"/>
      <c r="W194" s="49"/>
      <c r="X194" s="49"/>
      <c r="Y194" s="49"/>
      <c r="Z194" s="49"/>
      <c r="AA194" s="49"/>
      <c r="AB194" s="49"/>
      <c r="AC194" s="49"/>
      <c r="AD194" s="91"/>
      <c r="AE194" s="91"/>
      <c r="AF194" s="91"/>
      <c r="AG194" s="91"/>
    </row>
    <row r="195" spans="1:33">
      <c r="A195" s="534"/>
      <c r="B195" s="534">
        <v>193</v>
      </c>
      <c r="C195" s="534">
        <v>522777</v>
      </c>
      <c r="D195" s="534">
        <v>5403840</v>
      </c>
      <c r="E195" s="50" t="s">
        <v>1628</v>
      </c>
      <c r="F195" s="534">
        <v>49</v>
      </c>
      <c r="G195" s="49" t="s">
        <v>1629</v>
      </c>
      <c r="H195" s="49" t="s">
        <v>278</v>
      </c>
      <c r="I195" s="534">
        <v>999252062</v>
      </c>
      <c r="J195" s="49" t="s">
        <v>164</v>
      </c>
      <c r="K195" s="533">
        <v>46062</v>
      </c>
      <c r="L195" s="49" t="s">
        <v>1040</v>
      </c>
      <c r="M195" s="555" t="s">
        <v>230</v>
      </c>
      <c r="N195" s="49" t="s">
        <v>807</v>
      </c>
      <c r="O195" s="53">
        <v>46070</v>
      </c>
      <c r="P195" s="414" t="s">
        <v>1630</v>
      </c>
      <c r="Q195" s="471" t="s">
        <v>358</v>
      </c>
      <c r="R195" s="566"/>
      <c r="S195" s="49"/>
      <c r="T195" s="49"/>
      <c r="U195" s="49"/>
      <c r="V195" s="49"/>
      <c r="W195" s="49"/>
      <c r="X195" s="49"/>
      <c r="Y195" s="49"/>
      <c r="Z195" s="49"/>
      <c r="AA195" s="49"/>
      <c r="AB195" s="49"/>
      <c r="AC195" s="49"/>
      <c r="AD195" s="91"/>
      <c r="AE195" s="91"/>
      <c r="AF195" s="91"/>
      <c r="AG195" s="91"/>
    </row>
    <row r="196" spans="1:33">
      <c r="A196" s="534"/>
      <c r="B196" s="534">
        <v>194</v>
      </c>
      <c r="C196" s="534">
        <v>117257</v>
      </c>
      <c r="D196" s="534">
        <v>42485906</v>
      </c>
      <c r="E196" s="50" t="s">
        <v>1631</v>
      </c>
      <c r="F196" s="534">
        <v>42</v>
      </c>
      <c r="G196" s="49" t="s">
        <v>1632</v>
      </c>
      <c r="H196" s="49" t="s">
        <v>222</v>
      </c>
      <c r="I196" s="534">
        <v>997032328</v>
      </c>
      <c r="J196" s="49" t="s">
        <v>238</v>
      </c>
      <c r="K196" s="533">
        <v>46062</v>
      </c>
      <c r="L196" s="49" t="s">
        <v>1040</v>
      </c>
      <c r="M196" s="555" t="s">
        <v>230</v>
      </c>
      <c r="N196" s="49" t="s">
        <v>807</v>
      </c>
      <c r="O196" s="53">
        <v>46070</v>
      </c>
      <c r="P196" s="546"/>
      <c r="Q196" s="546" t="s">
        <v>1612</v>
      </c>
      <c r="R196" s="566"/>
      <c r="S196" s="49"/>
      <c r="T196" s="49"/>
      <c r="U196" s="49"/>
      <c r="V196" s="49"/>
      <c r="W196" s="49"/>
      <c r="X196" s="49"/>
      <c r="Y196" s="49"/>
      <c r="Z196" s="49"/>
      <c r="AA196" s="49"/>
      <c r="AB196" s="49"/>
      <c r="AC196" s="49"/>
      <c r="AD196" s="91"/>
      <c r="AE196" s="91"/>
      <c r="AF196" s="91"/>
      <c r="AG196" s="91"/>
    </row>
    <row r="197" spans="1:33">
      <c r="A197" s="534"/>
      <c r="B197" s="534">
        <v>195</v>
      </c>
      <c r="C197" s="534">
        <v>319818</v>
      </c>
      <c r="D197" s="534">
        <v>42489170</v>
      </c>
      <c r="E197" s="50" t="s">
        <v>1633</v>
      </c>
      <c r="F197" s="534">
        <v>41</v>
      </c>
      <c r="G197" s="49" t="s">
        <v>1634</v>
      </c>
      <c r="H197" s="49" t="s">
        <v>326</v>
      </c>
      <c r="I197" s="534">
        <v>946555213</v>
      </c>
      <c r="J197" s="49" t="s">
        <v>238</v>
      </c>
      <c r="K197" s="533">
        <v>46062</v>
      </c>
      <c r="L197" s="49" t="s">
        <v>1040</v>
      </c>
      <c r="M197" s="555" t="s">
        <v>230</v>
      </c>
      <c r="N197" s="49" t="s">
        <v>807</v>
      </c>
      <c r="O197" s="53">
        <v>46070</v>
      </c>
      <c r="P197" s="546"/>
      <c r="Q197" s="632"/>
      <c r="R197" s="566"/>
      <c r="S197" s="49"/>
      <c r="T197" s="49"/>
      <c r="U197" s="49"/>
      <c r="V197" s="49"/>
      <c r="W197" s="49"/>
      <c r="X197" s="49"/>
      <c r="Y197" s="49"/>
      <c r="Z197" s="49"/>
      <c r="AA197" s="49"/>
      <c r="AB197" s="49"/>
      <c r="AC197" s="49"/>
      <c r="AD197" s="91"/>
      <c r="AE197" s="91"/>
      <c r="AF197" s="91"/>
      <c r="AG197" s="91"/>
    </row>
    <row r="198" spans="1:33">
      <c r="A198" s="540" t="s">
        <v>513</v>
      </c>
      <c r="B198" s="534">
        <v>196</v>
      </c>
      <c r="C198" s="534">
        <v>522789</v>
      </c>
      <c r="D198" s="534">
        <v>16016476</v>
      </c>
      <c r="E198" s="50" t="s">
        <v>1635</v>
      </c>
      <c r="F198" s="534">
        <v>49</v>
      </c>
      <c r="G198" s="49" t="s">
        <v>1636</v>
      </c>
      <c r="H198" s="49" t="s">
        <v>271</v>
      </c>
      <c r="I198" s="534">
        <v>9580858991</v>
      </c>
      <c r="J198" s="49" t="s">
        <v>164</v>
      </c>
      <c r="K198" s="533">
        <v>46062</v>
      </c>
      <c r="L198" s="49" t="s">
        <v>584</v>
      </c>
      <c r="M198" s="555" t="s">
        <v>230</v>
      </c>
      <c r="N198" s="49" t="s">
        <v>241</v>
      </c>
      <c r="O198" s="53">
        <v>46070</v>
      </c>
      <c r="P198" s="414" t="s">
        <v>1630</v>
      </c>
      <c r="Q198" s="471" t="s">
        <v>358</v>
      </c>
      <c r="R198" s="566"/>
      <c r="S198" s="49"/>
      <c r="T198" s="49"/>
      <c r="U198" s="49"/>
      <c r="V198" s="49"/>
      <c r="W198" s="49"/>
      <c r="X198" s="49"/>
      <c r="Y198" s="49"/>
      <c r="Z198" s="49"/>
      <c r="AA198" s="49"/>
      <c r="AB198" s="49"/>
      <c r="AC198" s="49"/>
      <c r="AD198" s="91"/>
      <c r="AE198" s="91"/>
      <c r="AF198" s="91"/>
      <c r="AG198" s="91"/>
    </row>
    <row r="199" spans="1:33">
      <c r="A199" s="534" t="s">
        <v>1637</v>
      </c>
      <c r="B199" s="534">
        <v>197</v>
      </c>
      <c r="C199" s="534">
        <v>522792</v>
      </c>
      <c r="D199" s="534">
        <v>15991008</v>
      </c>
      <c r="E199" s="50" t="s">
        <v>1638</v>
      </c>
      <c r="F199" s="534">
        <v>54</v>
      </c>
      <c r="G199" s="49" t="s">
        <v>1639</v>
      </c>
      <c r="H199" s="49" t="s">
        <v>271</v>
      </c>
      <c r="I199" s="534">
        <v>921795392</v>
      </c>
      <c r="J199" s="49" t="s">
        <v>164</v>
      </c>
      <c r="K199" s="533">
        <v>46062</v>
      </c>
      <c r="L199" s="49" t="s">
        <v>747</v>
      </c>
      <c r="M199" s="555" t="s">
        <v>230</v>
      </c>
      <c r="N199" s="49" t="s">
        <v>317</v>
      </c>
      <c r="O199" s="53">
        <v>46070</v>
      </c>
      <c r="P199" s="414" t="s">
        <v>1630</v>
      </c>
      <c r="Q199" s="471" t="s">
        <v>358</v>
      </c>
      <c r="R199" s="566"/>
      <c r="S199" s="49"/>
      <c r="T199" s="49"/>
      <c r="U199" s="49"/>
      <c r="V199" s="49"/>
      <c r="W199" s="49"/>
      <c r="X199" s="49"/>
      <c r="Y199" s="49"/>
      <c r="Z199" s="49"/>
      <c r="AA199" s="49"/>
      <c r="AB199" s="49"/>
      <c r="AC199" s="49"/>
      <c r="AD199" s="91"/>
      <c r="AE199" s="91"/>
      <c r="AF199" s="91"/>
      <c r="AG199" s="91"/>
    </row>
    <row r="200" spans="1:33">
      <c r="A200" s="534" t="s">
        <v>1637</v>
      </c>
      <c r="B200" s="534">
        <v>198</v>
      </c>
      <c r="C200" s="534">
        <v>10058</v>
      </c>
      <c r="D200" s="534">
        <v>8685393</v>
      </c>
      <c r="E200" s="50" t="s">
        <v>1640</v>
      </c>
      <c r="F200" s="534">
        <v>57</v>
      </c>
      <c r="G200" s="49" t="s">
        <v>1641</v>
      </c>
      <c r="H200" s="49" t="s">
        <v>237</v>
      </c>
      <c r="I200" s="534">
        <v>977201489</v>
      </c>
      <c r="J200" s="49" t="s">
        <v>238</v>
      </c>
      <c r="K200" s="533">
        <v>46062</v>
      </c>
      <c r="L200" s="49" t="s">
        <v>584</v>
      </c>
      <c r="M200" s="555" t="s">
        <v>230</v>
      </c>
      <c r="N200" s="49" t="s">
        <v>241</v>
      </c>
      <c r="O200" s="53">
        <v>46070</v>
      </c>
      <c r="P200" s="546"/>
      <c r="Q200" s="635"/>
      <c r="R200" s="566"/>
      <c r="S200" s="49"/>
      <c r="T200" s="49"/>
      <c r="U200" s="49"/>
      <c r="V200" s="49"/>
      <c r="W200" s="49"/>
      <c r="X200" s="49"/>
      <c r="Y200" s="49"/>
      <c r="Z200" s="49"/>
      <c r="AA200" s="49"/>
      <c r="AB200" s="49"/>
      <c r="AC200" s="49"/>
      <c r="AD200" s="91"/>
      <c r="AE200" s="91"/>
      <c r="AF200" s="91"/>
      <c r="AG200" s="91"/>
    </row>
    <row r="201" spans="1:33">
      <c r="A201" s="534"/>
      <c r="B201" s="534">
        <v>199</v>
      </c>
      <c r="C201" s="534">
        <v>522797</v>
      </c>
      <c r="D201" s="534">
        <v>15971613</v>
      </c>
      <c r="E201" s="50" t="s">
        <v>1642</v>
      </c>
      <c r="F201" s="534">
        <v>59</v>
      </c>
      <c r="G201" s="49" t="s">
        <v>1643</v>
      </c>
      <c r="H201" s="49" t="s">
        <v>911</v>
      </c>
      <c r="I201" s="534">
        <v>978981489</v>
      </c>
      <c r="J201" s="49" t="s">
        <v>421</v>
      </c>
      <c r="K201" s="533">
        <v>46062</v>
      </c>
      <c r="L201" s="49" t="s">
        <v>1156</v>
      </c>
      <c r="M201" s="555" t="s">
        <v>260</v>
      </c>
      <c r="N201" s="49" t="s">
        <v>241</v>
      </c>
      <c r="O201" s="53">
        <v>46080</v>
      </c>
      <c r="P201" s="546" t="s">
        <v>1602</v>
      </c>
      <c r="Q201" s="471" t="s">
        <v>358</v>
      </c>
      <c r="R201" s="566"/>
      <c r="S201" s="49"/>
      <c r="T201" s="49"/>
      <c r="U201" s="49"/>
      <c r="V201" s="49"/>
      <c r="W201" s="49"/>
      <c r="X201" s="49"/>
      <c r="Y201" s="49"/>
      <c r="Z201" s="49"/>
      <c r="AA201" s="49"/>
      <c r="AB201" s="49"/>
      <c r="AC201" s="49"/>
      <c r="AD201" s="91"/>
      <c r="AE201" s="91"/>
      <c r="AF201" s="91"/>
      <c r="AG201" s="91"/>
    </row>
    <row r="202" spans="1:33">
      <c r="A202" s="534"/>
      <c r="B202" s="534">
        <v>200</v>
      </c>
      <c r="C202" s="534">
        <v>361895</v>
      </c>
      <c r="D202" s="534">
        <v>80257753</v>
      </c>
      <c r="E202" s="50" t="s">
        <v>1644</v>
      </c>
      <c r="F202" s="534">
        <v>58</v>
      </c>
      <c r="G202" s="49" t="s">
        <v>1645</v>
      </c>
      <c r="H202" s="49" t="s">
        <v>278</v>
      </c>
      <c r="I202" s="534" t="s">
        <v>1646</v>
      </c>
      <c r="J202" s="49" t="s">
        <v>384</v>
      </c>
      <c r="K202" s="535">
        <v>46062</v>
      </c>
      <c r="L202" s="49" t="s">
        <v>516</v>
      </c>
      <c r="M202" s="534" t="s">
        <v>1102</v>
      </c>
      <c r="N202" s="49" t="s">
        <v>317</v>
      </c>
      <c r="O202" s="437">
        <v>46070</v>
      </c>
      <c r="P202" s="546" t="s">
        <v>1558</v>
      </c>
      <c r="Q202" s="802">
        <v>46082</v>
      </c>
      <c r="R202" s="808" t="s">
        <v>318</v>
      </c>
      <c r="S202" s="49"/>
      <c r="T202" s="49"/>
      <c r="U202" s="49"/>
      <c r="V202" s="49"/>
      <c r="W202" s="49"/>
      <c r="X202" s="49"/>
      <c r="Y202" s="49"/>
      <c r="Z202" s="49"/>
      <c r="AA202" s="49"/>
      <c r="AB202" s="49"/>
      <c r="AC202" s="49"/>
      <c r="AD202" s="91"/>
      <c r="AE202" s="91"/>
      <c r="AF202" s="91"/>
      <c r="AG202" s="91"/>
    </row>
    <row r="203" spans="1:33">
      <c r="A203" s="534"/>
      <c r="B203" s="534">
        <v>201</v>
      </c>
      <c r="C203" s="534">
        <v>303142</v>
      </c>
      <c r="D203" s="534">
        <v>22888068</v>
      </c>
      <c r="E203" s="50" t="s">
        <v>1647</v>
      </c>
      <c r="F203" s="534">
        <v>51</v>
      </c>
      <c r="G203" s="49" t="s">
        <v>1648</v>
      </c>
      <c r="H203" s="49" t="s">
        <v>326</v>
      </c>
      <c r="I203" s="534" t="s">
        <v>1649</v>
      </c>
      <c r="J203" s="49" t="s">
        <v>375</v>
      </c>
      <c r="K203" s="535">
        <v>46062</v>
      </c>
      <c r="L203" s="49" t="s">
        <v>1650</v>
      </c>
      <c r="M203" s="555" t="s">
        <v>312</v>
      </c>
      <c r="N203" s="49" t="s">
        <v>241</v>
      </c>
      <c r="O203" s="437">
        <v>46071</v>
      </c>
      <c r="P203" s="546" t="s">
        <v>292</v>
      </c>
      <c r="Q203" s="647" t="s">
        <v>1651</v>
      </c>
      <c r="R203" s="566"/>
      <c r="S203" s="49"/>
      <c r="T203" s="49"/>
      <c r="U203" s="49"/>
      <c r="V203" s="49"/>
      <c r="W203" s="49"/>
      <c r="X203" s="49"/>
      <c r="Y203" s="49"/>
      <c r="Z203" s="49"/>
      <c r="AA203" s="49"/>
      <c r="AB203" s="49"/>
      <c r="AC203" s="49"/>
      <c r="AD203" s="91"/>
      <c r="AE203" s="91"/>
      <c r="AF203" s="91"/>
      <c r="AG203" s="91"/>
    </row>
    <row r="204" spans="1:33">
      <c r="A204" s="534"/>
      <c r="B204" s="534">
        <v>202</v>
      </c>
      <c r="C204" s="534">
        <v>464675</v>
      </c>
      <c r="D204" s="534">
        <v>15746050</v>
      </c>
      <c r="E204" s="50" t="s">
        <v>1652</v>
      </c>
      <c r="F204" s="534">
        <v>53</v>
      </c>
      <c r="G204" s="49" t="s">
        <v>1653</v>
      </c>
      <c r="H204" s="49" t="s">
        <v>271</v>
      </c>
      <c r="I204" s="534">
        <v>946450856</v>
      </c>
      <c r="J204" s="49" t="s">
        <v>164</v>
      </c>
      <c r="K204" s="535">
        <v>46062</v>
      </c>
      <c r="L204" s="49" t="s">
        <v>584</v>
      </c>
      <c r="M204" s="555" t="s">
        <v>260</v>
      </c>
      <c r="N204" s="49" t="s">
        <v>241</v>
      </c>
      <c r="O204" s="53">
        <v>46070</v>
      </c>
      <c r="P204" s="414" t="s">
        <v>1630</v>
      </c>
      <c r="Q204" s="471" t="s">
        <v>358</v>
      </c>
      <c r="R204" s="566"/>
      <c r="S204" s="49"/>
      <c r="T204" s="49"/>
      <c r="U204" s="49"/>
      <c r="V204" s="49"/>
      <c r="W204" s="49"/>
      <c r="X204" s="49"/>
      <c r="Y204" s="49"/>
      <c r="Z204" s="49"/>
      <c r="AA204" s="49"/>
      <c r="AB204" s="49"/>
      <c r="AC204" s="49"/>
      <c r="AD204" s="91"/>
      <c r="AE204" s="91"/>
      <c r="AF204" s="91"/>
      <c r="AG204" s="91"/>
    </row>
    <row r="205" spans="1:33">
      <c r="A205" s="534" t="s">
        <v>1654</v>
      </c>
      <c r="B205" s="534">
        <v>203</v>
      </c>
      <c r="C205" s="534">
        <v>214750</v>
      </c>
      <c r="D205" s="534">
        <v>15609807</v>
      </c>
      <c r="E205" s="50" t="s">
        <v>1655</v>
      </c>
      <c r="F205" s="534">
        <v>65</v>
      </c>
      <c r="G205" s="49" t="s">
        <v>1656</v>
      </c>
      <c r="H205" s="49" t="s">
        <v>1657</v>
      </c>
      <c r="I205" s="534">
        <v>986600422</v>
      </c>
      <c r="J205" s="49" t="s">
        <v>238</v>
      </c>
      <c r="K205" s="535">
        <v>46062</v>
      </c>
      <c r="L205" s="49" t="s">
        <v>1658</v>
      </c>
      <c r="M205" s="555" t="s">
        <v>312</v>
      </c>
      <c r="N205" s="49" t="s">
        <v>1659</v>
      </c>
      <c r="O205" s="53">
        <v>46070</v>
      </c>
      <c r="P205" s="546"/>
      <c r="Q205" s="634"/>
      <c r="R205" s="566"/>
      <c r="S205" s="49"/>
      <c r="T205" s="49"/>
      <c r="U205" s="49"/>
      <c r="V205" s="49"/>
      <c r="W205" s="49"/>
      <c r="X205" s="49"/>
      <c r="Y205" s="49"/>
      <c r="Z205" s="49"/>
      <c r="AA205" s="49"/>
      <c r="AB205" s="49"/>
      <c r="AC205" s="49"/>
      <c r="AD205" s="91"/>
      <c r="AE205" s="91"/>
      <c r="AF205" s="91"/>
      <c r="AG205" s="91"/>
    </row>
    <row r="206" spans="1:33">
      <c r="A206" s="534"/>
      <c r="B206" s="534">
        <v>204</v>
      </c>
      <c r="C206" s="534">
        <v>83775</v>
      </c>
      <c r="D206" s="534">
        <v>15762996</v>
      </c>
      <c r="E206" s="50" t="s">
        <v>1660</v>
      </c>
      <c r="F206" s="534">
        <v>47</v>
      </c>
      <c r="G206" s="49" t="s">
        <v>1661</v>
      </c>
      <c r="H206" s="49" t="s">
        <v>1662</v>
      </c>
      <c r="I206" s="534">
        <v>923763197</v>
      </c>
      <c r="J206" s="49" t="s">
        <v>238</v>
      </c>
      <c r="K206" s="535">
        <v>46062</v>
      </c>
      <c r="L206" s="49" t="s">
        <v>1663</v>
      </c>
      <c r="M206" s="555" t="s">
        <v>260</v>
      </c>
      <c r="N206" s="49" t="s">
        <v>241</v>
      </c>
      <c r="O206" s="53">
        <v>46070</v>
      </c>
      <c r="P206" s="546"/>
      <c r="Q206" s="632"/>
      <c r="R206" s="566"/>
      <c r="S206" s="49"/>
      <c r="T206" s="49"/>
      <c r="U206" s="49"/>
      <c r="V206" s="49"/>
      <c r="W206" s="49"/>
      <c r="X206" s="49"/>
      <c r="Y206" s="49"/>
      <c r="Z206" s="49"/>
      <c r="AA206" s="49"/>
      <c r="AB206" s="49"/>
      <c r="AC206" s="49"/>
      <c r="AD206" s="91"/>
      <c r="AE206" s="91"/>
      <c r="AF206" s="91"/>
      <c r="AG206" s="91"/>
    </row>
    <row r="207" spans="1:33">
      <c r="A207" s="534"/>
      <c r="B207" s="534">
        <v>205</v>
      </c>
      <c r="C207" s="534">
        <v>165096</v>
      </c>
      <c r="D207" s="534">
        <v>44937128</v>
      </c>
      <c r="E207" s="50" t="s">
        <v>1664</v>
      </c>
      <c r="F207" s="534">
        <v>41</v>
      </c>
      <c r="G207" s="49" t="s">
        <v>1665</v>
      </c>
      <c r="H207" s="49" t="s">
        <v>278</v>
      </c>
      <c r="I207" s="534">
        <v>957306946</v>
      </c>
      <c r="J207" s="49" t="s">
        <v>238</v>
      </c>
      <c r="K207" s="535">
        <v>46062</v>
      </c>
      <c r="L207" s="49" t="s">
        <v>1666</v>
      </c>
      <c r="M207" s="555" t="s">
        <v>230</v>
      </c>
      <c r="N207" s="49" t="s">
        <v>241</v>
      </c>
      <c r="O207" s="53">
        <v>46070</v>
      </c>
      <c r="P207" s="546"/>
      <c r="Q207" s="546" t="s">
        <v>1667</v>
      </c>
      <c r="R207" s="566"/>
      <c r="S207" s="49"/>
      <c r="T207" s="49"/>
      <c r="U207" s="49"/>
      <c r="V207" s="49"/>
      <c r="W207" s="49"/>
      <c r="X207" s="49"/>
      <c r="Y207" s="49"/>
      <c r="Z207" s="49"/>
      <c r="AA207" s="49"/>
      <c r="AB207" s="49"/>
      <c r="AC207" s="49"/>
      <c r="AD207" s="91"/>
      <c r="AE207" s="91"/>
      <c r="AF207" s="91"/>
      <c r="AG207" s="91"/>
    </row>
    <row r="208" spans="1:33">
      <c r="A208" s="534"/>
      <c r="B208" s="534">
        <v>206</v>
      </c>
      <c r="C208" s="534">
        <v>522802</v>
      </c>
      <c r="D208" s="534">
        <v>16027024</v>
      </c>
      <c r="E208" s="50" t="s">
        <v>1668</v>
      </c>
      <c r="F208" s="534">
        <v>47</v>
      </c>
      <c r="G208" s="49" t="s">
        <v>1669</v>
      </c>
      <c r="H208" s="49" t="s">
        <v>461</v>
      </c>
      <c r="I208" s="534">
        <v>945886129</v>
      </c>
      <c r="J208" s="49" t="s">
        <v>162</v>
      </c>
      <c r="K208" s="535">
        <v>46062</v>
      </c>
      <c r="L208" s="49" t="s">
        <v>1670</v>
      </c>
      <c r="M208" s="555" t="s">
        <v>260</v>
      </c>
      <c r="N208" s="49" t="s">
        <v>241</v>
      </c>
      <c r="O208" s="53">
        <v>46070</v>
      </c>
      <c r="P208" s="546" t="s">
        <v>1330</v>
      </c>
      <c r="Q208" s="471" t="s">
        <v>358</v>
      </c>
      <c r="R208" s="566"/>
      <c r="S208" s="49"/>
      <c r="T208" s="49"/>
      <c r="U208" s="49"/>
      <c r="V208" s="49"/>
      <c r="W208" s="49"/>
      <c r="X208" s="49"/>
      <c r="Y208" s="49"/>
      <c r="Z208" s="49"/>
      <c r="AA208" s="49"/>
      <c r="AB208" s="49"/>
      <c r="AC208" s="49"/>
      <c r="AD208" s="91"/>
      <c r="AE208" s="91"/>
      <c r="AF208" s="91"/>
      <c r="AG208" s="91"/>
    </row>
    <row r="209" spans="1:33">
      <c r="A209" s="534"/>
      <c r="B209" s="534">
        <v>207</v>
      </c>
      <c r="C209" s="534">
        <v>145964</v>
      </c>
      <c r="D209" s="534">
        <v>32271500</v>
      </c>
      <c r="E209" s="50" t="s">
        <v>1671</v>
      </c>
      <c r="F209" s="534">
        <v>62</v>
      </c>
      <c r="G209" s="49" t="s">
        <v>1672</v>
      </c>
      <c r="H209" s="49" t="s">
        <v>301</v>
      </c>
      <c r="I209" s="534">
        <v>916909709</v>
      </c>
      <c r="J209" s="49" t="s">
        <v>238</v>
      </c>
      <c r="K209" s="535">
        <v>46062</v>
      </c>
      <c r="L209" s="49" t="s">
        <v>1673</v>
      </c>
      <c r="M209" s="555" t="s">
        <v>260</v>
      </c>
      <c r="N209" s="49" t="s">
        <v>241</v>
      </c>
      <c r="O209" s="53">
        <v>46070</v>
      </c>
      <c r="P209" s="546"/>
      <c r="Q209" s="546" t="s">
        <v>1674</v>
      </c>
      <c r="R209" s="566"/>
      <c r="S209" s="49"/>
      <c r="T209" s="49"/>
      <c r="U209" s="49"/>
      <c r="V209" s="49"/>
      <c r="W209" s="49"/>
      <c r="X209" s="49"/>
      <c r="Y209" s="49"/>
      <c r="Z209" s="49"/>
      <c r="AA209" s="49"/>
      <c r="AB209" s="49"/>
      <c r="AC209" s="49"/>
      <c r="AD209" s="91"/>
      <c r="AE209" s="91"/>
      <c r="AF209" s="91"/>
      <c r="AG209" s="91"/>
    </row>
    <row r="210" spans="1:33">
      <c r="A210" s="534"/>
      <c r="B210" s="534">
        <v>208</v>
      </c>
      <c r="C210" s="534">
        <v>57121</v>
      </c>
      <c r="D210" s="534">
        <v>15645027</v>
      </c>
      <c r="E210" s="50" t="s">
        <v>1675</v>
      </c>
      <c r="F210" s="534">
        <v>68</v>
      </c>
      <c r="G210" s="49"/>
      <c r="H210" s="49" t="s">
        <v>222</v>
      </c>
      <c r="I210" s="534" t="s">
        <v>1005</v>
      </c>
      <c r="J210" s="49" t="s">
        <v>238</v>
      </c>
      <c r="K210" s="535">
        <v>46062</v>
      </c>
      <c r="L210" s="49" t="s">
        <v>1673</v>
      </c>
      <c r="M210" s="555" t="s">
        <v>312</v>
      </c>
      <c r="N210" s="49" t="s">
        <v>1676</v>
      </c>
      <c r="O210" s="53">
        <v>46070</v>
      </c>
      <c r="P210" s="546"/>
      <c r="Q210" s="632"/>
      <c r="R210" s="566"/>
      <c r="S210" s="49"/>
      <c r="T210" s="49"/>
      <c r="U210" s="49"/>
      <c r="V210" s="49"/>
      <c r="W210" s="49"/>
      <c r="X210" s="49"/>
      <c r="Y210" s="49"/>
      <c r="Z210" s="49"/>
      <c r="AA210" s="49"/>
      <c r="AB210" s="49"/>
      <c r="AC210" s="49"/>
      <c r="AD210" s="91"/>
      <c r="AE210" s="91"/>
      <c r="AF210" s="91"/>
      <c r="AG210" s="91"/>
    </row>
    <row r="211" spans="1:33">
      <c r="A211" s="534"/>
      <c r="B211" s="534">
        <v>209</v>
      </c>
      <c r="C211" s="534">
        <v>103810</v>
      </c>
      <c r="D211" s="566">
        <v>41532068</v>
      </c>
      <c r="E211" s="48" t="s">
        <v>1677</v>
      </c>
      <c r="F211" s="534">
        <v>46</v>
      </c>
      <c r="G211" s="49" t="s">
        <v>1678</v>
      </c>
      <c r="H211" s="49" t="s">
        <v>271</v>
      </c>
      <c r="I211" s="534">
        <v>9100756971</v>
      </c>
      <c r="J211" s="49" t="s">
        <v>164</v>
      </c>
      <c r="K211" s="535">
        <v>46062</v>
      </c>
      <c r="L211" s="49" t="s">
        <v>584</v>
      </c>
      <c r="M211" s="555" t="s">
        <v>230</v>
      </c>
      <c r="N211" s="49" t="s">
        <v>241</v>
      </c>
      <c r="O211" s="53">
        <v>46070</v>
      </c>
      <c r="P211" s="414" t="s">
        <v>1630</v>
      </c>
      <c r="Q211" s="471" t="s">
        <v>358</v>
      </c>
      <c r="R211" s="566"/>
      <c r="S211" s="49"/>
      <c r="T211" s="49"/>
      <c r="U211" s="49"/>
      <c r="V211" s="49"/>
      <c r="W211" s="49"/>
      <c r="X211" s="49"/>
      <c r="Y211" s="49"/>
      <c r="Z211" s="49"/>
      <c r="AA211" s="49"/>
      <c r="AB211" s="49"/>
      <c r="AC211" s="49"/>
      <c r="AD211" s="91"/>
      <c r="AE211" s="91"/>
      <c r="AF211" s="91"/>
      <c r="AG211" s="91"/>
    </row>
    <row r="212" spans="1:33">
      <c r="A212" s="534"/>
      <c r="B212" s="534">
        <v>210</v>
      </c>
      <c r="C212" s="539">
        <v>283007</v>
      </c>
      <c r="D212" s="534">
        <v>42652935</v>
      </c>
      <c r="E212" s="50" t="s">
        <v>1679</v>
      </c>
      <c r="F212" s="534">
        <v>41</v>
      </c>
      <c r="G212" s="49" t="s">
        <v>1680</v>
      </c>
      <c r="H212" s="49" t="s">
        <v>222</v>
      </c>
      <c r="I212" s="534">
        <v>961513104</v>
      </c>
      <c r="J212" s="49" t="s">
        <v>588</v>
      </c>
      <c r="K212" s="535">
        <v>46062</v>
      </c>
      <c r="L212" s="49" t="s">
        <v>747</v>
      </c>
      <c r="M212" s="555" t="s">
        <v>230</v>
      </c>
      <c r="N212" s="49" t="s">
        <v>317</v>
      </c>
      <c r="O212" s="437">
        <v>46071</v>
      </c>
      <c r="P212" s="566" t="s">
        <v>292</v>
      </c>
      <c r="Q212" s="807">
        <v>46082</v>
      </c>
      <c r="R212" s="566" t="s">
        <v>318</v>
      </c>
      <c r="S212" s="49"/>
      <c r="T212" s="49"/>
      <c r="U212" s="49"/>
      <c r="V212" s="49"/>
      <c r="W212" s="49"/>
      <c r="X212" s="49"/>
      <c r="Y212" s="49"/>
      <c r="Z212" s="49"/>
      <c r="AA212" s="49"/>
      <c r="AB212" s="49"/>
      <c r="AC212" s="49"/>
      <c r="AD212" s="91"/>
      <c r="AE212" s="91"/>
      <c r="AF212" s="91"/>
      <c r="AG212" s="91"/>
    </row>
    <row r="213" spans="1:33">
      <c r="A213" s="534"/>
      <c r="B213" s="534">
        <v>211</v>
      </c>
      <c r="C213" s="534">
        <v>165734</v>
      </c>
      <c r="D213" s="534">
        <v>15742699</v>
      </c>
      <c r="E213" s="50" t="s">
        <v>1681</v>
      </c>
      <c r="F213" s="534">
        <v>50</v>
      </c>
      <c r="G213" s="49" t="s">
        <v>1682</v>
      </c>
      <c r="H213" s="49" t="s">
        <v>237</v>
      </c>
      <c r="I213" s="534">
        <v>991615599</v>
      </c>
      <c r="J213" s="49" t="s">
        <v>238</v>
      </c>
      <c r="K213" s="535">
        <v>46062</v>
      </c>
      <c r="L213" s="49" t="s">
        <v>1683</v>
      </c>
      <c r="M213" s="555" t="s">
        <v>260</v>
      </c>
      <c r="N213" s="49" t="s">
        <v>241</v>
      </c>
      <c r="O213" s="53">
        <v>46070</v>
      </c>
      <c r="P213" s="546"/>
      <c r="Q213" s="546" t="s">
        <v>1684</v>
      </c>
      <c r="R213" s="566"/>
      <c r="S213" s="49"/>
      <c r="T213" s="49"/>
      <c r="U213" s="49"/>
      <c r="V213" s="49"/>
      <c r="W213" s="49"/>
      <c r="X213" s="49"/>
      <c r="Y213" s="49"/>
      <c r="Z213" s="49"/>
      <c r="AA213" s="49"/>
      <c r="AB213" s="49"/>
      <c r="AC213" s="49"/>
      <c r="AD213" s="91"/>
      <c r="AE213" s="91"/>
      <c r="AF213" s="91"/>
      <c r="AG213" s="91"/>
    </row>
    <row r="214" spans="1:33">
      <c r="A214" s="534"/>
      <c r="B214" s="534">
        <v>212</v>
      </c>
      <c r="C214" s="534">
        <v>143946</v>
      </c>
      <c r="D214" s="534">
        <v>15725904</v>
      </c>
      <c r="E214" s="50" t="s">
        <v>1685</v>
      </c>
      <c r="F214" s="534">
        <v>55</v>
      </c>
      <c r="G214" s="49" t="s">
        <v>1686</v>
      </c>
      <c r="H214" s="49" t="s">
        <v>278</v>
      </c>
      <c r="I214" s="534" t="s">
        <v>1687</v>
      </c>
      <c r="J214" s="49" t="s">
        <v>238</v>
      </c>
      <c r="K214" s="535">
        <v>46062</v>
      </c>
      <c r="L214" s="49" t="s">
        <v>1670</v>
      </c>
      <c r="M214" s="555" t="s">
        <v>260</v>
      </c>
      <c r="N214" s="49" t="s">
        <v>241</v>
      </c>
      <c r="O214" s="53">
        <v>46070</v>
      </c>
      <c r="P214" s="546"/>
      <c r="Q214" s="632"/>
      <c r="R214" s="566"/>
      <c r="S214" s="49"/>
      <c r="T214" s="49"/>
      <c r="U214" s="49"/>
      <c r="V214" s="49"/>
      <c r="W214" s="49"/>
      <c r="X214" s="49"/>
      <c r="Y214" s="49"/>
      <c r="Z214" s="49"/>
      <c r="AA214" s="49"/>
      <c r="AB214" s="49"/>
      <c r="AC214" s="49"/>
      <c r="AD214" s="91"/>
      <c r="AE214" s="91"/>
      <c r="AF214" s="91"/>
      <c r="AG214" s="91"/>
    </row>
    <row r="215" spans="1:33">
      <c r="A215" s="534"/>
      <c r="B215" s="534">
        <v>213</v>
      </c>
      <c r="C215" s="534">
        <v>167320</v>
      </c>
      <c r="D215" s="534">
        <v>15641034</v>
      </c>
      <c r="E215" s="50" t="s">
        <v>1688</v>
      </c>
      <c r="F215" s="534">
        <v>53</v>
      </c>
      <c r="G215" s="49" t="s">
        <v>1689</v>
      </c>
      <c r="H215" s="49" t="s">
        <v>432</v>
      </c>
      <c r="I215" s="534" t="s">
        <v>1690</v>
      </c>
      <c r="J215" s="49" t="s">
        <v>238</v>
      </c>
      <c r="K215" s="535">
        <v>46062</v>
      </c>
      <c r="L215" s="49" t="s">
        <v>747</v>
      </c>
      <c r="M215" s="555" t="s">
        <v>230</v>
      </c>
      <c r="N215" s="49" t="s">
        <v>317</v>
      </c>
      <c r="O215" s="53">
        <v>46070</v>
      </c>
      <c r="P215" s="546"/>
      <c r="Q215" s="634"/>
      <c r="R215" s="566"/>
      <c r="S215" s="49"/>
      <c r="T215" s="49"/>
      <c r="U215" s="49"/>
      <c r="V215" s="49"/>
      <c r="W215" s="49"/>
      <c r="X215" s="49"/>
      <c r="Y215" s="49"/>
      <c r="Z215" s="49"/>
      <c r="AA215" s="49"/>
      <c r="AB215" s="49"/>
      <c r="AC215" s="49"/>
      <c r="AD215" s="91"/>
      <c r="AE215" s="91"/>
      <c r="AF215" s="91"/>
      <c r="AG215" s="91"/>
    </row>
    <row r="216" spans="1:33">
      <c r="A216" s="534"/>
      <c r="B216" s="534">
        <v>214</v>
      </c>
      <c r="C216" s="534">
        <v>22772</v>
      </c>
      <c r="D216" s="534">
        <v>15723779</v>
      </c>
      <c r="E216" s="50" t="s">
        <v>1691</v>
      </c>
      <c r="F216" s="534">
        <v>57</v>
      </c>
      <c r="G216" s="49" t="s">
        <v>1692</v>
      </c>
      <c r="H216" s="49" t="s">
        <v>278</v>
      </c>
      <c r="I216" s="534" t="s">
        <v>1693</v>
      </c>
      <c r="J216" s="49" t="s">
        <v>238</v>
      </c>
      <c r="K216" s="535">
        <v>46062</v>
      </c>
      <c r="L216" s="49" t="s">
        <v>1040</v>
      </c>
      <c r="M216" s="555" t="s">
        <v>230</v>
      </c>
      <c r="N216" s="49" t="s">
        <v>317</v>
      </c>
      <c r="O216" s="53">
        <v>46070</v>
      </c>
      <c r="P216" s="546"/>
      <c r="Q216" s="546" t="s">
        <v>1694</v>
      </c>
      <c r="R216" s="566"/>
      <c r="S216" s="49"/>
      <c r="T216" s="49"/>
      <c r="U216" s="49"/>
      <c r="V216" s="49"/>
      <c r="W216" s="49"/>
      <c r="X216" s="49"/>
      <c r="Y216" s="49"/>
      <c r="Z216" s="49"/>
      <c r="AA216" s="49"/>
      <c r="AB216" s="49"/>
      <c r="AC216" s="49"/>
      <c r="AD216" s="91"/>
      <c r="AE216" s="91"/>
      <c r="AF216" s="91"/>
      <c r="AG216" s="91"/>
    </row>
    <row r="217" spans="1:33">
      <c r="A217" s="534"/>
      <c r="B217" s="534">
        <v>215</v>
      </c>
      <c r="C217" s="534">
        <v>256321</v>
      </c>
      <c r="D217" s="534">
        <v>40367650</v>
      </c>
      <c r="E217" s="50" t="s">
        <v>1695</v>
      </c>
      <c r="F217" s="534">
        <v>46</v>
      </c>
      <c r="G217" s="49" t="s">
        <v>1696</v>
      </c>
      <c r="H217" s="49" t="s">
        <v>278</v>
      </c>
      <c r="I217" s="534" t="s">
        <v>278</v>
      </c>
      <c r="J217" s="49" t="s">
        <v>238</v>
      </c>
      <c r="K217" s="535">
        <v>46062</v>
      </c>
      <c r="L217" s="49" t="s">
        <v>1697</v>
      </c>
      <c r="M217" s="555" t="s">
        <v>312</v>
      </c>
      <c r="N217" s="49" t="s">
        <v>1676</v>
      </c>
      <c r="O217" s="53">
        <v>46070</v>
      </c>
      <c r="P217" s="546"/>
      <c r="Q217" s="637"/>
      <c r="R217" s="566"/>
      <c r="S217" s="49"/>
      <c r="T217" s="49"/>
      <c r="U217" s="49"/>
      <c r="V217" s="49"/>
      <c r="W217" s="49"/>
      <c r="X217" s="49"/>
      <c r="Y217" s="49"/>
      <c r="Z217" s="49"/>
      <c r="AA217" s="49"/>
      <c r="AB217" s="49"/>
      <c r="AC217" s="49"/>
      <c r="AD217" s="91"/>
      <c r="AE217" s="91"/>
      <c r="AF217" s="91"/>
      <c r="AG217" s="91"/>
    </row>
    <row r="218" spans="1:33">
      <c r="A218" s="533">
        <v>46063</v>
      </c>
      <c r="B218" s="534">
        <v>216</v>
      </c>
      <c r="C218" s="534">
        <v>159853</v>
      </c>
      <c r="D218" s="534">
        <v>10581811</v>
      </c>
      <c r="E218" s="48" t="s">
        <v>1698</v>
      </c>
      <c r="F218" s="534">
        <v>50</v>
      </c>
      <c r="G218" s="49" t="s">
        <v>1699</v>
      </c>
      <c r="H218" s="49"/>
      <c r="I218" s="534">
        <v>936454413</v>
      </c>
      <c r="J218" s="49" t="s">
        <v>238</v>
      </c>
      <c r="K218" s="535">
        <v>46063</v>
      </c>
      <c r="L218" s="49" t="s">
        <v>1700</v>
      </c>
      <c r="M218" s="555" t="s">
        <v>312</v>
      </c>
      <c r="N218" s="49" t="s">
        <v>1701</v>
      </c>
      <c r="O218" s="53">
        <v>46070</v>
      </c>
      <c r="P218" s="546"/>
      <c r="Q218" s="634"/>
      <c r="R218" s="566"/>
      <c r="S218" s="49"/>
      <c r="T218" s="49"/>
      <c r="U218" s="49"/>
      <c r="V218" s="49"/>
      <c r="W218" s="49"/>
      <c r="X218" s="49"/>
      <c r="Y218" s="49"/>
      <c r="Z218" s="49"/>
      <c r="AA218" s="49"/>
      <c r="AB218" s="49"/>
      <c r="AC218" s="49"/>
      <c r="AD218" s="91"/>
      <c r="AE218" s="91"/>
      <c r="AF218" s="91"/>
      <c r="AG218" s="91"/>
    </row>
    <row r="219" spans="1:33">
      <c r="A219" s="534"/>
      <c r="B219" s="534">
        <v>217</v>
      </c>
      <c r="C219" s="534">
        <v>179656</v>
      </c>
      <c r="D219" s="534">
        <v>15852723</v>
      </c>
      <c r="E219" s="50" t="s">
        <v>1702</v>
      </c>
      <c r="F219" s="534">
        <v>53</v>
      </c>
      <c r="G219" s="49" t="s">
        <v>1703</v>
      </c>
      <c r="H219" s="49" t="s">
        <v>1704</v>
      </c>
      <c r="I219" s="534">
        <v>992969520</v>
      </c>
      <c r="J219" s="49" t="s">
        <v>238</v>
      </c>
      <c r="K219" s="535">
        <v>46063</v>
      </c>
      <c r="L219" s="49" t="s">
        <v>1705</v>
      </c>
      <c r="M219" s="555" t="s">
        <v>312</v>
      </c>
      <c r="N219" s="49" t="s">
        <v>1199</v>
      </c>
      <c r="O219" s="53">
        <v>46070</v>
      </c>
      <c r="P219" s="546"/>
      <c r="Q219" s="546" t="s">
        <v>1228</v>
      </c>
      <c r="R219" s="566"/>
      <c r="S219" s="49"/>
      <c r="T219" s="49"/>
      <c r="U219" s="49"/>
      <c r="V219" s="49"/>
      <c r="W219" s="49"/>
      <c r="X219" s="49"/>
      <c r="Y219" s="49"/>
      <c r="Z219" s="49"/>
      <c r="AA219" s="49"/>
      <c r="AB219" s="49"/>
      <c r="AC219" s="49"/>
      <c r="AD219" s="91"/>
      <c r="AE219" s="91"/>
      <c r="AF219" s="91"/>
      <c r="AG219" s="91"/>
    </row>
    <row r="220" spans="1:33">
      <c r="A220" s="534"/>
      <c r="B220" s="534">
        <v>218</v>
      </c>
      <c r="C220" s="534">
        <v>117015</v>
      </c>
      <c r="D220" s="534">
        <v>43031573</v>
      </c>
      <c r="E220" s="50" t="s">
        <v>1706</v>
      </c>
      <c r="F220" s="534">
        <v>42</v>
      </c>
      <c r="G220" s="49" t="s">
        <v>1707</v>
      </c>
      <c r="H220" s="49" t="s">
        <v>222</v>
      </c>
      <c r="I220" s="534">
        <v>924866703</v>
      </c>
      <c r="J220" s="49" t="s">
        <v>223</v>
      </c>
      <c r="K220" s="535">
        <v>46063</v>
      </c>
      <c r="L220" s="43" t="s">
        <v>1040</v>
      </c>
      <c r="M220" s="534" t="s">
        <v>230</v>
      </c>
      <c r="N220" s="49" t="s">
        <v>807</v>
      </c>
      <c r="O220" s="53" t="s">
        <v>1708</v>
      </c>
      <c r="P220" s="539" t="s">
        <v>292</v>
      </c>
      <c r="Q220" s="802">
        <v>46082</v>
      </c>
      <c r="R220" s="534" t="s">
        <v>318</v>
      </c>
      <c r="S220" s="49"/>
      <c r="T220" s="49"/>
      <c r="U220" s="49"/>
      <c r="V220" s="49"/>
      <c r="W220" s="49"/>
      <c r="X220" s="49"/>
      <c r="Y220" s="49"/>
      <c r="Z220" s="49"/>
      <c r="AA220" s="49"/>
      <c r="AB220" s="49"/>
      <c r="AC220" s="49"/>
      <c r="AD220" s="91"/>
      <c r="AE220" s="91"/>
      <c r="AF220" s="91"/>
      <c r="AG220" s="91"/>
    </row>
    <row r="221" spans="1:33">
      <c r="A221" s="534"/>
      <c r="B221" s="534">
        <v>219</v>
      </c>
      <c r="C221" s="534">
        <v>77634</v>
      </c>
      <c r="D221" s="534">
        <v>15761095</v>
      </c>
      <c r="E221" s="50" t="s">
        <v>1709</v>
      </c>
      <c r="F221" s="534">
        <v>48</v>
      </c>
      <c r="G221" s="49" t="s">
        <v>1710</v>
      </c>
      <c r="H221" s="49" t="s">
        <v>278</v>
      </c>
      <c r="I221" s="534">
        <v>960062746</v>
      </c>
      <c r="J221" s="49" t="s">
        <v>238</v>
      </c>
      <c r="K221" s="535">
        <v>46063</v>
      </c>
      <c r="L221" s="46" t="s">
        <v>1064</v>
      </c>
      <c r="M221" s="534" t="s">
        <v>230</v>
      </c>
      <c r="N221" s="49" t="s">
        <v>1087</v>
      </c>
      <c r="O221" s="441">
        <v>46085</v>
      </c>
      <c r="P221" s="546"/>
      <c r="Q221" s="802">
        <v>46082</v>
      </c>
      <c r="R221" s="566" t="s">
        <v>242</v>
      </c>
      <c r="S221" s="49"/>
      <c r="T221" s="49"/>
      <c r="U221" s="49"/>
      <c r="V221" s="49"/>
      <c r="W221" s="49"/>
      <c r="X221" s="49"/>
      <c r="Y221" s="49"/>
      <c r="Z221" s="49"/>
      <c r="AA221" s="49"/>
      <c r="AB221" s="49"/>
      <c r="AC221" s="49"/>
      <c r="AD221" s="91"/>
      <c r="AE221" s="91"/>
      <c r="AF221" s="91"/>
      <c r="AG221" s="91"/>
    </row>
    <row r="222" spans="1:33">
      <c r="A222" s="534"/>
      <c r="B222" s="534">
        <v>220</v>
      </c>
      <c r="C222" s="534">
        <v>173867</v>
      </c>
      <c r="D222" s="534">
        <v>15646126</v>
      </c>
      <c r="E222" s="50" t="s">
        <v>1711</v>
      </c>
      <c r="F222" s="534">
        <v>62</v>
      </c>
      <c r="G222" s="49" t="s">
        <v>1712</v>
      </c>
      <c r="H222" s="49" t="s">
        <v>222</v>
      </c>
      <c r="I222" s="534">
        <v>977855224</v>
      </c>
      <c r="J222" s="49" t="s">
        <v>238</v>
      </c>
      <c r="K222" s="535">
        <v>46063</v>
      </c>
      <c r="L222" s="443" t="s">
        <v>1713</v>
      </c>
      <c r="M222" s="534" t="s">
        <v>230</v>
      </c>
      <c r="N222" s="49" t="s">
        <v>241</v>
      </c>
      <c r="O222" s="53">
        <v>46070</v>
      </c>
      <c r="P222" s="546"/>
      <c r="Q222" s="802">
        <v>46082</v>
      </c>
      <c r="R222" s="566" t="s">
        <v>242</v>
      </c>
      <c r="S222" s="49"/>
      <c r="T222" s="49"/>
      <c r="U222" s="49"/>
      <c r="V222" s="49"/>
      <c r="W222" s="49"/>
      <c r="X222" s="49"/>
      <c r="Y222" s="49"/>
      <c r="Z222" s="49"/>
      <c r="AA222" s="49"/>
      <c r="AB222" s="49"/>
      <c r="AC222" s="49"/>
      <c r="AD222" s="91"/>
      <c r="AE222" s="91"/>
      <c r="AF222" s="91"/>
      <c r="AG222" s="91"/>
    </row>
    <row r="223" spans="1:33">
      <c r="A223" s="536"/>
      <c r="B223" s="534">
        <v>221</v>
      </c>
      <c r="C223" s="536">
        <v>198130</v>
      </c>
      <c r="D223" s="536">
        <v>15740370</v>
      </c>
      <c r="E223" s="212" t="s">
        <v>1714</v>
      </c>
      <c r="F223" s="536">
        <v>53</v>
      </c>
      <c r="G223" s="59" t="s">
        <v>1715</v>
      </c>
      <c r="H223" s="59" t="s">
        <v>1704</v>
      </c>
      <c r="I223" s="536">
        <v>953503453</v>
      </c>
      <c r="J223" s="59" t="s">
        <v>238</v>
      </c>
      <c r="K223" s="591">
        <v>46063</v>
      </c>
      <c r="L223" s="444" t="s">
        <v>1716</v>
      </c>
      <c r="M223" s="536" t="s">
        <v>323</v>
      </c>
      <c r="N223" s="59" t="s">
        <v>241</v>
      </c>
      <c r="O223" s="438">
        <v>46070</v>
      </c>
      <c r="P223" s="612"/>
      <c r="Q223" s="802">
        <v>46082</v>
      </c>
      <c r="R223" s="612" t="s">
        <v>242</v>
      </c>
      <c r="S223" s="59"/>
      <c r="T223" s="59"/>
      <c r="U223" s="59"/>
      <c r="V223" s="59"/>
      <c r="W223" s="59"/>
      <c r="X223" s="59"/>
      <c r="Y223" s="59"/>
      <c r="Z223" s="59"/>
      <c r="AA223" s="59"/>
      <c r="AB223" s="59"/>
      <c r="AC223" s="59"/>
      <c r="AD223" s="91"/>
      <c r="AE223" s="91"/>
      <c r="AF223" s="91"/>
      <c r="AG223" s="91"/>
    </row>
    <row r="224" spans="1:33">
      <c r="A224" s="534" t="s">
        <v>1717</v>
      </c>
      <c r="B224" s="534">
        <v>222</v>
      </c>
      <c r="C224" s="534">
        <v>233014</v>
      </c>
      <c r="D224" s="534">
        <v>41336859</v>
      </c>
      <c r="E224" s="50" t="s">
        <v>1718</v>
      </c>
      <c r="F224" s="534">
        <v>45</v>
      </c>
      <c r="G224" s="49" t="s">
        <v>1719</v>
      </c>
      <c r="H224" s="49" t="s">
        <v>237</v>
      </c>
      <c r="I224" s="534">
        <v>944584681</v>
      </c>
      <c r="J224" s="49" t="s">
        <v>429</v>
      </c>
      <c r="K224" s="535">
        <v>46063</v>
      </c>
      <c r="L224" s="49" t="s">
        <v>388</v>
      </c>
      <c r="M224" s="534" t="s">
        <v>230</v>
      </c>
      <c r="N224" s="49" t="s">
        <v>241</v>
      </c>
      <c r="O224" s="437">
        <v>46071</v>
      </c>
      <c r="P224" s="539" t="s">
        <v>292</v>
      </c>
      <c r="Q224" s="833" t="s">
        <v>358</v>
      </c>
      <c r="R224" s="566"/>
      <c r="S224" s="49"/>
      <c r="T224" s="49"/>
      <c r="U224" s="49"/>
      <c r="V224" s="49"/>
      <c r="W224" s="49"/>
      <c r="X224" s="49"/>
      <c r="Y224" s="49"/>
      <c r="Z224" s="49"/>
      <c r="AA224" s="49"/>
      <c r="AB224" s="49"/>
      <c r="AC224" s="49"/>
      <c r="AD224" s="91"/>
      <c r="AE224" s="91"/>
      <c r="AF224" s="91"/>
      <c r="AG224" s="91"/>
    </row>
    <row r="225" spans="1:33">
      <c r="A225" s="534" t="s">
        <v>1720</v>
      </c>
      <c r="B225" s="534">
        <v>223</v>
      </c>
      <c r="C225" s="534">
        <v>57496</v>
      </c>
      <c r="D225" s="534">
        <v>15756090</v>
      </c>
      <c r="E225" s="50" t="s">
        <v>1721</v>
      </c>
      <c r="F225" s="534">
        <v>50</v>
      </c>
      <c r="G225" s="49" t="s">
        <v>1722</v>
      </c>
      <c r="H225" s="49" t="s">
        <v>288</v>
      </c>
      <c r="I225" s="534">
        <v>982182546</v>
      </c>
      <c r="J225" s="49" t="s">
        <v>1209</v>
      </c>
      <c r="K225" s="535">
        <v>46063</v>
      </c>
      <c r="L225" s="49" t="s">
        <v>388</v>
      </c>
      <c r="M225" s="534" t="s">
        <v>230</v>
      </c>
      <c r="N225" s="49" t="s">
        <v>241</v>
      </c>
      <c r="O225" s="437">
        <v>46071</v>
      </c>
      <c r="P225" s="546" t="s">
        <v>1562</v>
      </c>
      <c r="Q225" s="832" t="s">
        <v>334</v>
      </c>
      <c r="R225" s="566"/>
      <c r="S225" s="49"/>
      <c r="T225" s="49"/>
      <c r="U225" s="49"/>
      <c r="V225" s="49"/>
      <c r="W225" s="49"/>
      <c r="X225" s="49"/>
      <c r="Y225" s="49"/>
      <c r="Z225" s="49"/>
      <c r="AA225" s="49"/>
      <c r="AB225" s="49"/>
      <c r="AC225" s="49"/>
      <c r="AD225" s="91"/>
      <c r="AE225" s="91"/>
      <c r="AF225" s="91"/>
      <c r="AG225" s="91"/>
    </row>
    <row r="226" spans="1:33">
      <c r="A226" s="534" t="s">
        <v>1723</v>
      </c>
      <c r="B226" s="534">
        <v>224</v>
      </c>
      <c r="C226" s="534">
        <v>248907</v>
      </c>
      <c r="D226" s="534">
        <v>41068851</v>
      </c>
      <c r="E226" s="50" t="s">
        <v>1724</v>
      </c>
      <c r="F226" s="534">
        <v>44</v>
      </c>
      <c r="G226" s="49" t="s">
        <v>1725</v>
      </c>
      <c r="H226" s="49" t="s">
        <v>222</v>
      </c>
      <c r="I226" s="534">
        <v>982777047</v>
      </c>
      <c r="J226" s="48" t="s">
        <v>223</v>
      </c>
      <c r="K226" s="535">
        <v>46063</v>
      </c>
      <c r="L226" s="49" t="s">
        <v>388</v>
      </c>
      <c r="M226" s="534" t="s">
        <v>230</v>
      </c>
      <c r="N226" s="49" t="s">
        <v>241</v>
      </c>
      <c r="O226" s="437">
        <v>46071</v>
      </c>
      <c r="P226" s="539" t="s">
        <v>292</v>
      </c>
      <c r="Q226" s="802">
        <v>46082</v>
      </c>
      <c r="R226" s="534" t="s">
        <v>242</v>
      </c>
      <c r="S226" s="49"/>
      <c r="T226" s="49"/>
      <c r="U226" s="49"/>
      <c r="V226" s="49"/>
      <c r="W226" s="49"/>
      <c r="X226" s="49"/>
      <c r="Y226" s="49"/>
      <c r="Z226" s="49"/>
      <c r="AA226" s="49"/>
      <c r="AB226" s="49"/>
      <c r="AC226" s="49"/>
      <c r="AD226" s="91"/>
      <c r="AE226" s="91"/>
      <c r="AF226" s="91"/>
      <c r="AG226" s="91"/>
    </row>
    <row r="227" spans="1:33">
      <c r="A227" s="534"/>
      <c r="B227" s="534">
        <v>225</v>
      </c>
      <c r="C227" s="534">
        <v>105210</v>
      </c>
      <c r="D227" s="534">
        <v>41310627</v>
      </c>
      <c r="E227" s="50" t="s">
        <v>1726</v>
      </c>
      <c r="F227" s="534">
        <v>44</v>
      </c>
      <c r="G227" s="49" t="s">
        <v>1727</v>
      </c>
      <c r="H227" s="49" t="s">
        <v>222</v>
      </c>
      <c r="I227" s="534">
        <v>934849371</v>
      </c>
      <c r="J227" s="49" t="s">
        <v>588</v>
      </c>
      <c r="K227" s="535">
        <v>46063</v>
      </c>
      <c r="L227" s="49" t="s">
        <v>755</v>
      </c>
      <c r="M227" s="555" t="s">
        <v>312</v>
      </c>
      <c r="N227" s="49" t="s">
        <v>1199</v>
      </c>
      <c r="O227" s="437">
        <v>46071</v>
      </c>
      <c r="P227" s="566" t="s">
        <v>292</v>
      </c>
      <c r="Q227" s="802">
        <v>46082</v>
      </c>
      <c r="R227" s="566" t="s">
        <v>318</v>
      </c>
      <c r="S227" s="49"/>
      <c r="T227" s="49"/>
      <c r="U227" s="49"/>
      <c r="V227" s="49"/>
      <c r="W227" s="49"/>
      <c r="X227" s="49"/>
      <c r="Y227" s="49"/>
      <c r="Z227" s="49"/>
      <c r="AA227" s="49"/>
      <c r="AB227" s="49"/>
      <c r="AC227" s="49"/>
      <c r="AD227" s="91"/>
      <c r="AE227" s="91"/>
      <c r="AF227" s="91"/>
      <c r="AG227" s="91"/>
    </row>
    <row r="228" spans="1:33">
      <c r="A228" s="534"/>
      <c r="B228" s="534">
        <v>226</v>
      </c>
      <c r="C228" s="534">
        <v>425385</v>
      </c>
      <c r="D228" s="534">
        <v>15222065</v>
      </c>
      <c r="E228" s="50" t="s">
        <v>1728</v>
      </c>
      <c r="F228" s="534">
        <v>50</v>
      </c>
      <c r="G228" s="49" t="s">
        <v>1729</v>
      </c>
      <c r="H228" s="49" t="s">
        <v>237</v>
      </c>
      <c r="I228" s="534">
        <v>987787245</v>
      </c>
      <c r="J228" s="49" t="s">
        <v>223</v>
      </c>
      <c r="K228" s="535">
        <v>46063</v>
      </c>
      <c r="L228" s="49" t="s">
        <v>376</v>
      </c>
      <c r="M228" s="534" t="s">
        <v>230</v>
      </c>
      <c r="N228" s="49" t="s">
        <v>1730</v>
      </c>
      <c r="O228" s="437">
        <v>46071</v>
      </c>
      <c r="P228" s="566" t="s">
        <v>292</v>
      </c>
      <c r="Q228" s="802">
        <v>46082</v>
      </c>
      <c r="R228" s="534" t="s">
        <v>318</v>
      </c>
      <c r="S228" s="49"/>
      <c r="T228" s="49"/>
      <c r="U228" s="49"/>
      <c r="V228" s="49"/>
      <c r="W228" s="49"/>
      <c r="X228" s="49"/>
      <c r="Y228" s="49"/>
      <c r="Z228" s="49"/>
      <c r="AA228" s="49"/>
      <c r="AB228" s="49"/>
      <c r="AC228" s="49"/>
      <c r="AD228" s="91"/>
      <c r="AE228" s="91"/>
      <c r="AF228" s="91"/>
      <c r="AG228" s="91"/>
    </row>
    <row r="229" spans="1:33">
      <c r="A229" s="534"/>
      <c r="B229" s="534">
        <v>227</v>
      </c>
      <c r="C229" s="534">
        <v>100426</v>
      </c>
      <c r="D229" s="534">
        <v>15601569</v>
      </c>
      <c r="E229" s="50" t="s">
        <v>1731</v>
      </c>
      <c r="F229" s="534">
        <v>59</v>
      </c>
      <c r="G229" s="49" t="s">
        <v>1732</v>
      </c>
      <c r="H229" s="49" t="s">
        <v>288</v>
      </c>
      <c r="I229" s="590">
        <v>9622376421</v>
      </c>
      <c r="J229" s="49" t="s">
        <v>223</v>
      </c>
      <c r="K229" s="535">
        <v>46063</v>
      </c>
      <c r="L229" s="49" t="s">
        <v>376</v>
      </c>
      <c r="M229" s="534" t="s">
        <v>230</v>
      </c>
      <c r="N229" s="49" t="s">
        <v>1730</v>
      </c>
      <c r="O229" s="437">
        <v>46071</v>
      </c>
      <c r="P229" s="539" t="s">
        <v>292</v>
      </c>
      <c r="Q229" s="802">
        <v>46082</v>
      </c>
      <c r="R229" s="534" t="s">
        <v>318</v>
      </c>
      <c r="S229" s="49"/>
      <c r="T229" s="49"/>
      <c r="U229" s="49"/>
      <c r="V229" s="49"/>
      <c r="W229" s="49"/>
      <c r="X229" s="49"/>
      <c r="Y229" s="49"/>
      <c r="Z229" s="49"/>
      <c r="AA229" s="49"/>
      <c r="AB229" s="49"/>
      <c r="AC229" s="49"/>
      <c r="AD229" s="91"/>
      <c r="AE229" s="91"/>
      <c r="AF229" s="91"/>
      <c r="AG229" s="91"/>
    </row>
    <row r="230" spans="1:33">
      <c r="A230" s="534"/>
      <c r="B230" s="534">
        <v>228</v>
      </c>
      <c r="C230" s="534">
        <v>143229</v>
      </c>
      <c r="D230" s="534">
        <v>80650863</v>
      </c>
      <c r="E230" s="50" t="s">
        <v>1733</v>
      </c>
      <c r="F230" s="534">
        <v>46</v>
      </c>
      <c r="G230" s="49" t="s">
        <v>1734</v>
      </c>
      <c r="H230" s="49" t="s">
        <v>1735</v>
      </c>
      <c r="I230" s="534">
        <v>985043619</v>
      </c>
      <c r="J230" s="49" t="s">
        <v>1364</v>
      </c>
      <c r="K230" s="535">
        <v>46063</v>
      </c>
      <c r="L230" s="49" t="s">
        <v>388</v>
      </c>
      <c r="M230" s="534" t="s">
        <v>230</v>
      </c>
      <c r="N230" s="49" t="s">
        <v>241</v>
      </c>
      <c r="O230" s="437">
        <v>46090</v>
      </c>
      <c r="P230" s="546" t="s">
        <v>1625</v>
      </c>
      <c r="Q230" s="809" t="s">
        <v>334</v>
      </c>
      <c r="R230" s="566"/>
      <c r="S230" s="49"/>
      <c r="T230" s="49"/>
      <c r="U230" s="49"/>
      <c r="V230" s="49"/>
      <c r="W230" s="49"/>
      <c r="X230" s="49"/>
      <c r="Y230" s="49"/>
      <c r="Z230" s="49"/>
      <c r="AA230" s="49"/>
      <c r="AB230" s="49"/>
      <c r="AC230" s="49"/>
      <c r="AD230" s="91"/>
      <c r="AE230" s="91"/>
      <c r="AF230" s="91"/>
      <c r="AG230" s="91"/>
    </row>
    <row r="231" spans="1:33">
      <c r="A231" s="536"/>
      <c r="B231" s="534">
        <v>229</v>
      </c>
      <c r="C231" s="536">
        <v>522819</v>
      </c>
      <c r="D231" s="536">
        <v>16017398</v>
      </c>
      <c r="E231" s="212" t="s">
        <v>1736</v>
      </c>
      <c r="F231" s="536">
        <v>50</v>
      </c>
      <c r="G231" s="59" t="s">
        <v>1737</v>
      </c>
      <c r="H231" s="59" t="s">
        <v>461</v>
      </c>
      <c r="I231" s="536">
        <v>969446871</v>
      </c>
      <c r="J231" s="59" t="s">
        <v>162</v>
      </c>
      <c r="K231" s="591">
        <v>46063</v>
      </c>
      <c r="L231" s="59" t="s">
        <v>1738</v>
      </c>
      <c r="M231" s="536" t="s">
        <v>323</v>
      </c>
      <c r="N231" s="59" t="s">
        <v>1739</v>
      </c>
      <c r="O231" s="438">
        <v>46070</v>
      </c>
      <c r="P231" s="612" t="s">
        <v>1330</v>
      </c>
      <c r="Q231" s="471" t="s">
        <v>358</v>
      </c>
      <c r="R231" s="612"/>
      <c r="S231" s="59"/>
      <c r="T231" s="59"/>
      <c r="U231" s="59"/>
      <c r="V231" s="59"/>
      <c r="W231" s="59"/>
      <c r="X231" s="59"/>
      <c r="Y231" s="59"/>
      <c r="Z231" s="59"/>
      <c r="AA231" s="59"/>
      <c r="AB231" s="59"/>
      <c r="AC231" s="59"/>
      <c r="AD231" s="91"/>
      <c r="AE231" s="91"/>
      <c r="AF231" s="91"/>
      <c r="AG231" s="91"/>
    </row>
    <row r="232" spans="1:33">
      <c r="A232" s="534"/>
      <c r="B232" s="534">
        <v>230</v>
      </c>
      <c r="C232" s="534">
        <v>321562</v>
      </c>
      <c r="D232" s="534">
        <v>42776864</v>
      </c>
      <c r="E232" s="50" t="s">
        <v>1740</v>
      </c>
      <c r="F232" s="534">
        <v>41</v>
      </c>
      <c r="G232" s="49" t="s">
        <v>1741</v>
      </c>
      <c r="H232" s="49" t="s">
        <v>278</v>
      </c>
      <c r="I232" s="534">
        <v>992575912</v>
      </c>
      <c r="J232" s="49" t="s">
        <v>238</v>
      </c>
      <c r="K232" s="535">
        <v>46063</v>
      </c>
      <c r="L232" s="49" t="s">
        <v>376</v>
      </c>
      <c r="M232" s="534" t="s">
        <v>230</v>
      </c>
      <c r="N232" s="49" t="s">
        <v>1730</v>
      </c>
      <c r="O232" s="53">
        <v>46070</v>
      </c>
      <c r="P232" s="546"/>
      <c r="Q232" s="634"/>
      <c r="R232" s="566"/>
      <c r="S232" s="49"/>
      <c r="T232" s="49"/>
      <c r="U232" s="49"/>
      <c r="V232" s="49"/>
      <c r="W232" s="49"/>
      <c r="X232" s="49"/>
      <c r="Y232" s="49"/>
      <c r="Z232" s="49"/>
      <c r="AA232" s="49"/>
      <c r="AB232" s="49"/>
      <c r="AC232" s="49"/>
      <c r="AD232" s="91"/>
      <c r="AE232" s="91"/>
      <c r="AF232" s="91"/>
      <c r="AG232" s="91"/>
    </row>
    <row r="233" spans="1:33">
      <c r="A233" s="534"/>
      <c r="B233" s="534">
        <v>231</v>
      </c>
      <c r="C233" s="534">
        <v>522823</v>
      </c>
      <c r="D233" s="534">
        <v>3530496</v>
      </c>
      <c r="E233" s="50" t="s">
        <v>1742</v>
      </c>
      <c r="F233" s="534">
        <v>53</v>
      </c>
      <c r="G233" s="49" t="s">
        <v>1743</v>
      </c>
      <c r="H233" s="49" t="s">
        <v>461</v>
      </c>
      <c r="I233" s="534">
        <v>910007871</v>
      </c>
      <c r="J233" s="49" t="s">
        <v>162</v>
      </c>
      <c r="K233" s="535">
        <v>46063</v>
      </c>
      <c r="L233" s="49" t="s">
        <v>376</v>
      </c>
      <c r="M233" s="534" t="s">
        <v>230</v>
      </c>
      <c r="N233" s="49" t="s">
        <v>1730</v>
      </c>
      <c r="O233" s="53">
        <v>46070</v>
      </c>
      <c r="P233" s="546" t="s">
        <v>1330</v>
      </c>
      <c r="Q233" s="471" t="s">
        <v>358</v>
      </c>
      <c r="R233" s="566"/>
      <c r="S233" s="49"/>
      <c r="T233" s="49"/>
      <c r="U233" s="49"/>
      <c r="V233" s="49"/>
      <c r="W233" s="49"/>
      <c r="X233" s="49"/>
      <c r="Y233" s="49"/>
      <c r="Z233" s="49"/>
      <c r="AA233" s="49"/>
      <c r="AB233" s="49"/>
      <c r="AC233" s="49"/>
      <c r="AD233" s="91"/>
      <c r="AE233" s="91"/>
      <c r="AF233" s="91"/>
      <c r="AG233" s="91"/>
    </row>
    <row r="234" spans="1:33">
      <c r="A234" s="534"/>
      <c r="B234" s="534">
        <v>232</v>
      </c>
      <c r="C234" s="534">
        <v>94065</v>
      </c>
      <c r="D234" s="534">
        <v>15601468</v>
      </c>
      <c r="E234" s="50" t="s">
        <v>1744</v>
      </c>
      <c r="F234" s="534">
        <v>62</v>
      </c>
      <c r="G234" s="49" t="s">
        <v>1745</v>
      </c>
      <c r="H234" s="49" t="s">
        <v>288</v>
      </c>
      <c r="I234" s="534">
        <v>985322896</v>
      </c>
      <c r="J234" s="49" t="s">
        <v>429</v>
      </c>
      <c r="K234" s="535">
        <v>46063</v>
      </c>
      <c r="L234" s="49" t="s">
        <v>1746</v>
      </c>
      <c r="M234" s="555" t="s">
        <v>1102</v>
      </c>
      <c r="N234" s="49" t="s">
        <v>1747</v>
      </c>
      <c r="O234" s="437">
        <v>46071</v>
      </c>
      <c r="P234" s="539" t="s">
        <v>292</v>
      </c>
      <c r="Q234" s="471" t="s">
        <v>358</v>
      </c>
      <c r="R234" s="566"/>
      <c r="S234" s="49"/>
      <c r="T234" s="49"/>
      <c r="U234" s="49"/>
      <c r="V234" s="49"/>
      <c r="W234" s="49"/>
      <c r="X234" s="49"/>
      <c r="Y234" s="49"/>
      <c r="Z234" s="49"/>
      <c r="AA234" s="49"/>
      <c r="AB234" s="49"/>
      <c r="AC234" s="49"/>
      <c r="AD234" s="91"/>
      <c r="AE234" s="91"/>
      <c r="AF234" s="91"/>
      <c r="AG234" s="91"/>
    </row>
    <row r="235" spans="1:33">
      <c r="A235" s="534"/>
      <c r="B235" s="534">
        <v>233</v>
      </c>
      <c r="C235" s="534">
        <v>522832</v>
      </c>
      <c r="D235" s="534">
        <v>32869535</v>
      </c>
      <c r="E235" s="50" t="s">
        <v>1748</v>
      </c>
      <c r="F235" s="534">
        <v>58</v>
      </c>
      <c r="G235" s="49" t="s">
        <v>1749</v>
      </c>
      <c r="H235" s="49" t="s">
        <v>278</v>
      </c>
      <c r="I235" s="534">
        <v>943819002</v>
      </c>
      <c r="J235" s="49" t="s">
        <v>238</v>
      </c>
      <c r="K235" s="535">
        <v>46063</v>
      </c>
      <c r="L235" s="49" t="s">
        <v>376</v>
      </c>
      <c r="M235" s="534" t="s">
        <v>230</v>
      </c>
      <c r="N235" s="49" t="s">
        <v>1730</v>
      </c>
      <c r="O235" s="53">
        <v>46070</v>
      </c>
      <c r="P235" s="546"/>
      <c r="Q235" s="546" t="s">
        <v>1186</v>
      </c>
      <c r="R235" s="566"/>
      <c r="S235" s="49"/>
      <c r="T235" s="49"/>
      <c r="U235" s="49"/>
      <c r="V235" s="49"/>
      <c r="W235" s="49"/>
      <c r="X235" s="49"/>
      <c r="Y235" s="49"/>
      <c r="Z235" s="49"/>
      <c r="AA235" s="49"/>
      <c r="AB235" s="49"/>
      <c r="AC235" s="49"/>
      <c r="AD235" s="91"/>
      <c r="AE235" s="91"/>
      <c r="AF235" s="91"/>
      <c r="AG235" s="91"/>
    </row>
    <row r="236" spans="1:33">
      <c r="A236" s="534"/>
      <c r="B236" s="534">
        <v>234</v>
      </c>
      <c r="C236" s="534">
        <v>365364</v>
      </c>
      <c r="D236" s="534">
        <v>41234163</v>
      </c>
      <c r="E236" s="50" t="s">
        <v>1750</v>
      </c>
      <c r="F236" s="534">
        <v>44</v>
      </c>
      <c r="G236" s="49" t="s">
        <v>1751</v>
      </c>
      <c r="H236" s="49" t="s">
        <v>288</v>
      </c>
      <c r="I236" s="534">
        <v>961397304</v>
      </c>
      <c r="J236" s="49" t="s">
        <v>375</v>
      </c>
      <c r="K236" s="535">
        <v>46063</v>
      </c>
      <c r="L236" s="49" t="s">
        <v>1752</v>
      </c>
      <c r="M236" s="534" t="s">
        <v>1102</v>
      </c>
      <c r="N236" s="49" t="s">
        <v>1413</v>
      </c>
      <c r="O236" s="437">
        <v>46071</v>
      </c>
      <c r="P236" s="546" t="s">
        <v>292</v>
      </c>
      <c r="Q236" s="807">
        <v>46082</v>
      </c>
      <c r="R236" s="566" t="s">
        <v>242</v>
      </c>
      <c r="S236" s="49"/>
      <c r="T236" s="49"/>
      <c r="U236" s="49"/>
      <c r="V236" s="49"/>
      <c r="W236" s="49"/>
      <c r="X236" s="49"/>
      <c r="Y236" s="49"/>
      <c r="Z236" s="49"/>
      <c r="AA236" s="49"/>
      <c r="AB236" s="49"/>
      <c r="AC236" s="49"/>
      <c r="AD236" s="91"/>
      <c r="AE236" s="91"/>
      <c r="AF236" s="91"/>
      <c r="AG236" s="91"/>
    </row>
    <row r="237" spans="1:33">
      <c r="A237" s="534"/>
      <c r="B237" s="534">
        <v>235</v>
      </c>
      <c r="C237" s="534">
        <v>112489</v>
      </c>
      <c r="D237" s="534">
        <v>15739754</v>
      </c>
      <c r="E237" s="50" t="s">
        <v>1753</v>
      </c>
      <c r="F237" s="534">
        <v>49</v>
      </c>
      <c r="G237" s="49" t="s">
        <v>1754</v>
      </c>
      <c r="H237" s="49" t="s">
        <v>278</v>
      </c>
      <c r="I237" s="534">
        <v>954195735</v>
      </c>
      <c r="J237" s="49" t="s">
        <v>238</v>
      </c>
      <c r="K237" s="535">
        <v>46063</v>
      </c>
      <c r="L237" s="49" t="s">
        <v>1755</v>
      </c>
      <c r="M237" s="534" t="s">
        <v>312</v>
      </c>
      <c r="N237" s="49" t="s">
        <v>1730</v>
      </c>
      <c r="O237" s="53">
        <v>46070</v>
      </c>
      <c r="P237" s="546"/>
      <c r="Q237" s="634"/>
      <c r="R237" s="566"/>
      <c r="S237" s="49"/>
      <c r="T237" s="49"/>
      <c r="U237" s="49"/>
      <c r="V237" s="49"/>
      <c r="W237" s="49"/>
      <c r="X237" s="49"/>
      <c r="Y237" s="49"/>
      <c r="Z237" s="49"/>
      <c r="AA237" s="49"/>
      <c r="AB237" s="49"/>
      <c r="AC237" s="49"/>
      <c r="AD237" s="91"/>
      <c r="AE237" s="91"/>
      <c r="AF237" s="91"/>
      <c r="AG237" s="91"/>
    </row>
    <row r="238" spans="1:33">
      <c r="A238" s="540" t="s">
        <v>513</v>
      </c>
      <c r="B238" s="534">
        <v>236</v>
      </c>
      <c r="C238" s="534">
        <v>456271</v>
      </c>
      <c r="D238" s="534">
        <v>80613313</v>
      </c>
      <c r="E238" s="50" t="s">
        <v>1756</v>
      </c>
      <c r="F238" s="534">
        <v>45</v>
      </c>
      <c r="G238" s="49" t="s">
        <v>1757</v>
      </c>
      <c r="H238" s="49" t="s">
        <v>461</v>
      </c>
      <c r="I238" s="534">
        <v>991284521</v>
      </c>
      <c r="J238" s="49" t="s">
        <v>162</v>
      </c>
      <c r="K238" s="535">
        <v>46063</v>
      </c>
      <c r="L238" s="49" t="s">
        <v>376</v>
      </c>
      <c r="M238" s="534" t="s">
        <v>230</v>
      </c>
      <c r="N238" s="49" t="s">
        <v>1730</v>
      </c>
      <c r="O238" s="53">
        <v>46070</v>
      </c>
      <c r="P238" s="546" t="s">
        <v>1330</v>
      </c>
      <c r="Q238" s="471" t="s">
        <v>358</v>
      </c>
      <c r="R238" s="566"/>
      <c r="S238" s="49"/>
      <c r="T238" s="49"/>
      <c r="U238" s="49"/>
      <c r="V238" s="49"/>
      <c r="W238" s="49"/>
      <c r="X238" s="49"/>
      <c r="Y238" s="49"/>
      <c r="Z238" s="49"/>
      <c r="AA238" s="49"/>
      <c r="AB238" s="49"/>
      <c r="AC238" s="49"/>
      <c r="AD238" s="91"/>
      <c r="AE238" s="91"/>
      <c r="AF238" s="91"/>
      <c r="AG238" s="91"/>
    </row>
    <row r="239" spans="1:33">
      <c r="A239" s="534"/>
      <c r="B239" s="534">
        <v>237</v>
      </c>
      <c r="C239" s="534">
        <v>134856</v>
      </c>
      <c r="D239" s="534">
        <v>15741277</v>
      </c>
      <c r="E239" s="50" t="s">
        <v>1758</v>
      </c>
      <c r="F239" s="534">
        <v>50</v>
      </c>
      <c r="G239" s="49" t="s">
        <v>1759</v>
      </c>
      <c r="H239" s="49" t="s">
        <v>222</v>
      </c>
      <c r="I239" s="534">
        <v>953464667</v>
      </c>
      <c r="J239" s="49" t="s">
        <v>223</v>
      </c>
      <c r="K239" s="535">
        <v>46063</v>
      </c>
      <c r="L239" s="49" t="s">
        <v>388</v>
      </c>
      <c r="M239" s="534" t="s">
        <v>230</v>
      </c>
      <c r="N239" s="49" t="s">
        <v>1413</v>
      </c>
      <c r="O239" s="437">
        <v>46071</v>
      </c>
      <c r="P239" s="539" t="s">
        <v>292</v>
      </c>
      <c r="Q239" s="802">
        <v>46082</v>
      </c>
      <c r="R239" s="534" t="s">
        <v>242</v>
      </c>
      <c r="S239" s="49"/>
      <c r="T239" s="49"/>
      <c r="U239" s="49"/>
      <c r="V239" s="49"/>
      <c r="W239" s="49"/>
      <c r="X239" s="49"/>
      <c r="Y239" s="49"/>
      <c r="Z239" s="49"/>
      <c r="AA239" s="49"/>
      <c r="AB239" s="49"/>
      <c r="AC239" s="49"/>
      <c r="AD239" s="91"/>
      <c r="AE239" s="91"/>
      <c r="AF239" s="91"/>
      <c r="AG239" s="91"/>
    </row>
    <row r="240" spans="1:33">
      <c r="A240" s="534"/>
      <c r="B240" s="534">
        <v>238</v>
      </c>
      <c r="C240" s="534">
        <v>246955</v>
      </c>
      <c r="D240" s="534">
        <v>15720611</v>
      </c>
      <c r="E240" s="50" t="s">
        <v>1760</v>
      </c>
      <c r="F240" s="534">
        <v>53</v>
      </c>
      <c r="G240" s="49" t="s">
        <v>1761</v>
      </c>
      <c r="H240" s="49" t="s">
        <v>326</v>
      </c>
      <c r="I240" s="534">
        <v>961276566</v>
      </c>
      <c r="J240" s="49" t="s">
        <v>328</v>
      </c>
      <c r="K240" s="535">
        <v>46063</v>
      </c>
      <c r="L240" s="49" t="s">
        <v>376</v>
      </c>
      <c r="M240" s="534" t="s">
        <v>230</v>
      </c>
      <c r="N240" s="49" t="s">
        <v>1730</v>
      </c>
      <c r="O240" s="437">
        <v>46071</v>
      </c>
      <c r="P240" s="539" t="s">
        <v>292</v>
      </c>
      <c r="Q240" s="803" t="s">
        <v>334</v>
      </c>
      <c r="R240" s="566"/>
      <c r="S240" s="49"/>
      <c r="T240" s="49"/>
      <c r="U240" s="49"/>
      <c r="V240" s="49"/>
      <c r="W240" s="49"/>
      <c r="X240" s="49"/>
      <c r="Y240" s="49"/>
      <c r="Z240" s="49"/>
      <c r="AA240" s="49"/>
      <c r="AB240" s="49"/>
      <c r="AC240" s="49"/>
      <c r="AD240" s="91"/>
      <c r="AE240" s="91"/>
      <c r="AF240" s="91"/>
      <c r="AG240" s="91"/>
    </row>
    <row r="241" spans="1:33">
      <c r="A241" s="534"/>
      <c r="B241" s="534">
        <v>239</v>
      </c>
      <c r="C241" s="534">
        <v>447316</v>
      </c>
      <c r="D241" s="534">
        <v>45190431</v>
      </c>
      <c r="E241" s="50" t="s">
        <v>1762</v>
      </c>
      <c r="F241" s="534">
        <v>44</v>
      </c>
      <c r="G241" s="49" t="s">
        <v>1763</v>
      </c>
      <c r="H241" s="49" t="s">
        <v>1764</v>
      </c>
      <c r="I241" s="534">
        <v>935125973</v>
      </c>
      <c r="J241" s="49" t="s">
        <v>617</v>
      </c>
      <c r="K241" s="535">
        <v>46063</v>
      </c>
      <c r="L241" s="49" t="s">
        <v>1765</v>
      </c>
      <c r="M241" s="534" t="s">
        <v>1102</v>
      </c>
      <c r="N241" s="49" t="s">
        <v>1413</v>
      </c>
      <c r="O241" s="437">
        <v>46071</v>
      </c>
      <c r="P241" s="539" t="s">
        <v>292</v>
      </c>
      <c r="Q241" s="802">
        <v>46082</v>
      </c>
      <c r="R241" s="566" t="s">
        <v>242</v>
      </c>
      <c r="S241" s="49"/>
      <c r="T241" s="49"/>
      <c r="U241" s="49"/>
      <c r="V241" s="49"/>
      <c r="W241" s="49"/>
      <c r="X241" s="49"/>
      <c r="Y241" s="49"/>
      <c r="Z241" s="49"/>
      <c r="AA241" s="49"/>
      <c r="AB241" s="49"/>
      <c r="AC241" s="49"/>
      <c r="AD241" s="91"/>
      <c r="AE241" s="91"/>
      <c r="AF241" s="91"/>
      <c r="AG241" s="91"/>
    </row>
    <row r="242" spans="1:33">
      <c r="A242" s="534"/>
      <c r="B242" s="534">
        <v>240</v>
      </c>
      <c r="C242" s="534">
        <v>94131</v>
      </c>
      <c r="D242" s="534">
        <v>40642326</v>
      </c>
      <c r="E242" s="50" t="s">
        <v>1766</v>
      </c>
      <c r="F242" s="534">
        <v>45</v>
      </c>
      <c r="G242" s="49" t="s">
        <v>1767</v>
      </c>
      <c r="H242" s="49" t="s">
        <v>1581</v>
      </c>
      <c r="I242" s="534">
        <v>972355628</v>
      </c>
      <c r="J242" s="49" t="s">
        <v>238</v>
      </c>
      <c r="K242" s="535">
        <v>46063</v>
      </c>
      <c r="L242" s="49" t="s">
        <v>1768</v>
      </c>
      <c r="M242" s="534" t="s">
        <v>312</v>
      </c>
      <c r="N242" s="49" t="s">
        <v>1701</v>
      </c>
      <c r="O242" s="53">
        <v>46070</v>
      </c>
      <c r="P242" s="546"/>
      <c r="Q242" s="546" t="s">
        <v>1612</v>
      </c>
      <c r="R242" s="566"/>
      <c r="S242" s="49"/>
      <c r="T242" s="49"/>
      <c r="U242" s="49"/>
      <c r="V242" s="49"/>
      <c r="W242" s="49"/>
      <c r="X242" s="49"/>
      <c r="Y242" s="49"/>
      <c r="Z242" s="49"/>
      <c r="AA242" s="49"/>
      <c r="AB242" s="49"/>
      <c r="AC242" s="49"/>
      <c r="AD242" s="91"/>
      <c r="AE242" s="91"/>
      <c r="AF242" s="91"/>
      <c r="AG242" s="91"/>
    </row>
    <row r="243" spans="1:33">
      <c r="A243" s="534"/>
      <c r="B243" s="534">
        <v>241</v>
      </c>
      <c r="C243" s="534">
        <v>252161</v>
      </c>
      <c r="D243" s="534">
        <v>15618677</v>
      </c>
      <c r="E243" s="50" t="s">
        <v>1769</v>
      </c>
      <c r="F243" s="534">
        <v>56</v>
      </c>
      <c r="G243" s="49" t="s">
        <v>1770</v>
      </c>
      <c r="H243" s="49" t="s">
        <v>237</v>
      </c>
      <c r="I243" s="534">
        <v>997055934</v>
      </c>
      <c r="J243" s="49" t="s">
        <v>347</v>
      </c>
      <c r="K243" s="535">
        <v>46063</v>
      </c>
      <c r="L243" s="49" t="s">
        <v>376</v>
      </c>
      <c r="M243" s="534" t="s">
        <v>230</v>
      </c>
      <c r="N243" s="49" t="s">
        <v>1730</v>
      </c>
      <c r="O243" s="437">
        <v>46071</v>
      </c>
      <c r="P243" s="539" t="s">
        <v>292</v>
      </c>
      <c r="Q243" s="803" t="s">
        <v>334</v>
      </c>
      <c r="R243" s="566"/>
      <c r="S243" s="49"/>
      <c r="T243" s="49"/>
      <c r="U243" s="49"/>
      <c r="V243" s="49"/>
      <c r="W243" s="49"/>
      <c r="X243" s="49"/>
      <c r="Y243" s="49"/>
      <c r="Z243" s="49"/>
      <c r="AA243" s="49"/>
      <c r="AB243" s="49"/>
      <c r="AC243" s="49"/>
      <c r="AD243" s="91"/>
      <c r="AE243" s="91"/>
      <c r="AF243" s="91"/>
      <c r="AG243" s="91"/>
    </row>
    <row r="244" spans="1:33">
      <c r="A244" s="534"/>
      <c r="B244" s="534">
        <v>242</v>
      </c>
      <c r="C244" s="534">
        <v>106107</v>
      </c>
      <c r="D244" s="534">
        <v>15605015</v>
      </c>
      <c r="E244" s="50" t="s">
        <v>1771</v>
      </c>
      <c r="F244" s="534">
        <v>65</v>
      </c>
      <c r="G244" s="49" t="s">
        <v>1772</v>
      </c>
      <c r="H244" s="49" t="s">
        <v>278</v>
      </c>
      <c r="I244" s="534">
        <v>944462483</v>
      </c>
      <c r="J244" s="49" t="s">
        <v>238</v>
      </c>
      <c r="K244" s="535">
        <v>46063</v>
      </c>
      <c r="L244" s="49" t="s">
        <v>376</v>
      </c>
      <c r="M244" s="534" t="s">
        <v>230</v>
      </c>
      <c r="N244" s="49" t="s">
        <v>1730</v>
      </c>
      <c r="O244" s="53">
        <v>46070</v>
      </c>
      <c r="P244" s="546"/>
      <c r="Q244" s="546" t="s">
        <v>1612</v>
      </c>
      <c r="R244" s="566"/>
      <c r="S244" s="49"/>
      <c r="T244" s="49"/>
      <c r="U244" s="49"/>
      <c r="V244" s="49"/>
      <c r="W244" s="49"/>
      <c r="X244" s="49"/>
      <c r="Y244" s="49"/>
      <c r="Z244" s="49"/>
      <c r="AA244" s="49"/>
      <c r="AB244" s="49"/>
      <c r="AC244" s="49"/>
      <c r="AD244" s="91"/>
      <c r="AE244" s="91"/>
      <c r="AF244" s="91"/>
      <c r="AG244" s="91"/>
    </row>
    <row r="245" spans="1:33">
      <c r="A245" s="534"/>
      <c r="B245" s="534">
        <v>243</v>
      </c>
      <c r="C245" s="534">
        <v>473245</v>
      </c>
      <c r="D245" s="534">
        <v>42418547</v>
      </c>
      <c r="E245" s="50" t="s">
        <v>1773</v>
      </c>
      <c r="F245" s="534">
        <v>43</v>
      </c>
      <c r="G245" s="49" t="s">
        <v>1774</v>
      </c>
      <c r="H245" s="49" t="s">
        <v>1775</v>
      </c>
      <c r="I245" s="534">
        <v>945523579</v>
      </c>
      <c r="J245" s="49" t="s">
        <v>375</v>
      </c>
      <c r="K245" s="535">
        <v>46063</v>
      </c>
      <c r="L245" s="49" t="s">
        <v>871</v>
      </c>
      <c r="M245" s="555" t="s">
        <v>1102</v>
      </c>
      <c r="N245" s="49" t="s">
        <v>1413</v>
      </c>
      <c r="O245" s="437">
        <v>46071</v>
      </c>
      <c r="P245" s="546" t="s">
        <v>292</v>
      </c>
      <c r="Q245" s="807">
        <v>46082</v>
      </c>
      <c r="R245" s="546" t="s">
        <v>242</v>
      </c>
      <c r="S245" s="49"/>
      <c r="T245" s="49"/>
      <c r="U245" s="49"/>
      <c r="V245" s="49"/>
      <c r="W245" s="49"/>
      <c r="X245" s="49"/>
      <c r="Y245" s="49"/>
      <c r="Z245" s="49"/>
      <c r="AA245" s="49"/>
      <c r="AB245" s="49"/>
      <c r="AC245" s="49"/>
      <c r="AD245" s="91"/>
      <c r="AE245" s="91"/>
      <c r="AF245" s="91"/>
      <c r="AG245" s="91"/>
    </row>
    <row r="246" spans="1:33">
      <c r="A246" s="534"/>
      <c r="B246" s="534">
        <v>244</v>
      </c>
      <c r="C246" s="534">
        <v>203879</v>
      </c>
      <c r="D246" s="534">
        <v>7686954</v>
      </c>
      <c r="E246" s="50" t="s">
        <v>1776</v>
      </c>
      <c r="F246" s="534">
        <v>56</v>
      </c>
      <c r="G246" s="49" t="s">
        <v>1777</v>
      </c>
      <c r="H246" s="49" t="s">
        <v>278</v>
      </c>
      <c r="I246" s="534">
        <v>943613581</v>
      </c>
      <c r="J246" s="49" t="s">
        <v>238</v>
      </c>
      <c r="K246" s="535">
        <v>46063</v>
      </c>
      <c r="L246" s="49" t="s">
        <v>516</v>
      </c>
      <c r="M246" s="534" t="s">
        <v>312</v>
      </c>
      <c r="N246" s="49" t="s">
        <v>1730</v>
      </c>
      <c r="O246" s="53">
        <v>46070</v>
      </c>
      <c r="P246" s="546"/>
      <c r="Q246" s="546" t="s">
        <v>1778</v>
      </c>
      <c r="R246" s="566"/>
      <c r="S246" s="49"/>
      <c r="T246" s="49"/>
      <c r="U246" s="49"/>
      <c r="V246" s="49"/>
      <c r="W246" s="49"/>
      <c r="X246" s="49"/>
      <c r="Y246" s="49"/>
      <c r="Z246" s="49"/>
      <c r="AA246" s="49"/>
      <c r="AB246" s="49"/>
      <c r="AC246" s="49"/>
      <c r="AD246" s="91"/>
      <c r="AE246" s="91"/>
      <c r="AF246" s="91"/>
      <c r="AG246" s="91"/>
    </row>
    <row r="247" spans="1:33">
      <c r="A247" s="536"/>
      <c r="B247" s="534">
        <v>245</v>
      </c>
      <c r="C247" s="536">
        <v>522847</v>
      </c>
      <c r="D247" s="536">
        <v>10116272</v>
      </c>
      <c r="E247" s="212" t="s">
        <v>1779</v>
      </c>
      <c r="F247" s="536">
        <v>51</v>
      </c>
      <c r="G247" s="59" t="s">
        <v>1780</v>
      </c>
      <c r="H247" s="59" t="s">
        <v>278</v>
      </c>
      <c r="I247" s="536">
        <v>948287923</v>
      </c>
      <c r="J247" s="59" t="s">
        <v>238</v>
      </c>
      <c r="K247" s="591">
        <v>46063</v>
      </c>
      <c r="L247" s="59" t="s">
        <v>1781</v>
      </c>
      <c r="M247" s="536" t="s">
        <v>323</v>
      </c>
      <c r="N247" s="59" t="s">
        <v>1701</v>
      </c>
      <c r="O247" s="438">
        <v>46070</v>
      </c>
      <c r="P247" s="612"/>
      <c r="Q247" s="612" t="s">
        <v>1667</v>
      </c>
      <c r="R247" s="612"/>
      <c r="S247" s="59"/>
      <c r="T247" s="59"/>
      <c r="U247" s="59"/>
      <c r="V247" s="59"/>
      <c r="W247" s="59"/>
      <c r="X247" s="59"/>
      <c r="Y247" s="59"/>
      <c r="Z247" s="59"/>
      <c r="AA247" s="59"/>
      <c r="AB247" s="59"/>
      <c r="AC247" s="59"/>
      <c r="AD247" s="91"/>
      <c r="AE247" s="91"/>
      <c r="AF247" s="91"/>
      <c r="AG247" s="91"/>
    </row>
    <row r="248" spans="1:33">
      <c r="A248" s="534"/>
      <c r="B248" s="534">
        <v>246</v>
      </c>
      <c r="C248" s="534">
        <v>137207</v>
      </c>
      <c r="D248" s="534">
        <v>9958468</v>
      </c>
      <c r="E248" s="50" t="s">
        <v>1782</v>
      </c>
      <c r="F248" s="534">
        <v>55</v>
      </c>
      <c r="G248" s="49" t="s">
        <v>1783</v>
      </c>
      <c r="H248" s="49" t="s">
        <v>301</v>
      </c>
      <c r="I248" s="534">
        <v>914579808</v>
      </c>
      <c r="J248" s="49" t="s">
        <v>380</v>
      </c>
      <c r="K248" s="535">
        <v>46063</v>
      </c>
      <c r="L248" s="49" t="s">
        <v>376</v>
      </c>
      <c r="M248" s="534" t="s">
        <v>230</v>
      </c>
      <c r="N248" s="49" t="s">
        <v>317</v>
      </c>
      <c r="O248" s="437">
        <v>46070</v>
      </c>
      <c r="P248" s="539" t="s">
        <v>1385</v>
      </c>
      <c r="Q248" s="809" t="s">
        <v>334</v>
      </c>
      <c r="R248" s="566"/>
      <c r="S248" s="49"/>
      <c r="T248" s="49"/>
      <c r="U248" s="49"/>
      <c r="V248" s="49"/>
      <c r="W248" s="49"/>
      <c r="X248" s="49"/>
      <c r="Y248" s="49"/>
      <c r="Z248" s="49"/>
      <c r="AA248" s="49"/>
      <c r="AB248" s="49"/>
      <c r="AC248" s="49"/>
      <c r="AD248" s="91"/>
      <c r="AE248" s="91"/>
      <c r="AF248" s="91"/>
      <c r="AG248" s="91"/>
    </row>
    <row r="249" spans="1:33">
      <c r="A249" s="536"/>
      <c r="B249" s="534">
        <v>247</v>
      </c>
      <c r="C249" s="536">
        <v>67135</v>
      </c>
      <c r="D249" s="536">
        <v>15610792</v>
      </c>
      <c r="E249" s="212" t="s">
        <v>1784</v>
      </c>
      <c r="F249" s="536">
        <v>63</v>
      </c>
      <c r="G249" s="59" t="s">
        <v>1785</v>
      </c>
      <c r="H249" s="59" t="s">
        <v>222</v>
      </c>
      <c r="I249" s="536">
        <v>993519115</v>
      </c>
      <c r="J249" s="59" t="s">
        <v>238</v>
      </c>
      <c r="K249" s="591">
        <v>46063</v>
      </c>
      <c r="L249" s="59" t="s">
        <v>1786</v>
      </c>
      <c r="M249" s="536" t="s">
        <v>323</v>
      </c>
      <c r="N249" s="59" t="s">
        <v>1701</v>
      </c>
      <c r="O249" s="438">
        <v>46070</v>
      </c>
      <c r="P249" s="612"/>
      <c r="Q249" s="632"/>
      <c r="R249" s="612"/>
      <c r="S249" s="59"/>
      <c r="T249" s="59"/>
      <c r="U249" s="59"/>
      <c r="V249" s="59"/>
      <c r="W249" s="59"/>
      <c r="X249" s="59"/>
      <c r="Y249" s="59"/>
      <c r="Z249" s="59"/>
      <c r="AA249" s="59"/>
      <c r="AB249" s="59"/>
      <c r="AC249" s="59"/>
      <c r="AD249" s="91"/>
      <c r="AE249" s="91"/>
      <c r="AF249" s="91"/>
      <c r="AG249" s="91"/>
    </row>
    <row r="250" spans="1:33">
      <c r="A250" s="534"/>
      <c r="B250" s="534">
        <v>248</v>
      </c>
      <c r="C250" s="534">
        <v>128413</v>
      </c>
      <c r="D250" s="534">
        <v>15737487</v>
      </c>
      <c r="E250" s="50" t="s">
        <v>1787</v>
      </c>
      <c r="F250" s="534">
        <v>50</v>
      </c>
      <c r="G250" s="49" t="s">
        <v>1788</v>
      </c>
      <c r="H250" s="49" t="s">
        <v>278</v>
      </c>
      <c r="I250" s="534">
        <v>959910437</v>
      </c>
      <c r="J250" s="49" t="s">
        <v>238</v>
      </c>
      <c r="K250" s="535">
        <v>46063</v>
      </c>
      <c r="L250" s="49" t="s">
        <v>388</v>
      </c>
      <c r="M250" s="534" t="s">
        <v>230</v>
      </c>
      <c r="N250" s="49" t="s">
        <v>1701</v>
      </c>
      <c r="O250" s="53">
        <v>46070</v>
      </c>
      <c r="P250" s="546"/>
      <c r="Q250" s="632"/>
      <c r="R250" s="566"/>
      <c r="S250" s="49"/>
      <c r="T250" s="49"/>
      <c r="U250" s="49"/>
      <c r="V250" s="49"/>
      <c r="W250" s="49"/>
      <c r="X250" s="49"/>
      <c r="Y250" s="49"/>
      <c r="Z250" s="49"/>
      <c r="AA250" s="49"/>
      <c r="AB250" s="49"/>
      <c r="AC250" s="49"/>
      <c r="AD250" s="91"/>
      <c r="AE250" s="91"/>
      <c r="AF250" s="91"/>
      <c r="AG250" s="91"/>
    </row>
    <row r="251" spans="1:33">
      <c r="A251" s="534"/>
      <c r="B251" s="534">
        <v>249</v>
      </c>
      <c r="C251" s="534">
        <v>57914</v>
      </c>
      <c r="D251" s="534">
        <v>80273547</v>
      </c>
      <c r="E251" s="50" t="s">
        <v>1789</v>
      </c>
      <c r="F251" s="534">
        <v>50</v>
      </c>
      <c r="G251" s="49" t="s">
        <v>1790</v>
      </c>
      <c r="H251" s="49" t="s">
        <v>278</v>
      </c>
      <c r="I251" s="534">
        <v>969180806</v>
      </c>
      <c r="J251" s="49" t="s">
        <v>238</v>
      </c>
      <c r="K251" s="535">
        <v>46063</v>
      </c>
      <c r="L251" s="49" t="s">
        <v>1791</v>
      </c>
      <c r="M251" s="534" t="s">
        <v>312</v>
      </c>
      <c r="N251" s="49" t="s">
        <v>1701</v>
      </c>
      <c r="O251" s="53">
        <v>46070</v>
      </c>
      <c r="P251" s="546"/>
      <c r="Q251" s="546" t="s">
        <v>1479</v>
      </c>
      <c r="R251" s="566"/>
      <c r="S251" s="49"/>
      <c r="T251" s="49"/>
      <c r="U251" s="49"/>
      <c r="V251" s="49"/>
      <c r="W251" s="49"/>
      <c r="X251" s="49"/>
      <c r="Y251" s="49"/>
      <c r="Z251" s="49"/>
      <c r="AA251" s="49"/>
      <c r="AB251" s="49"/>
      <c r="AC251" s="49"/>
      <c r="AD251" s="91"/>
      <c r="AE251" s="91"/>
      <c r="AF251" s="91"/>
      <c r="AG251" s="91"/>
    </row>
    <row r="252" spans="1:33" ht="24.75">
      <c r="A252" s="547">
        <v>46064</v>
      </c>
      <c r="B252" s="534">
        <v>250</v>
      </c>
      <c r="C252" s="566">
        <v>522861</v>
      </c>
      <c r="D252" s="564">
        <v>32480376</v>
      </c>
      <c r="E252" s="430" t="s">
        <v>1792</v>
      </c>
      <c r="F252" s="564">
        <v>60</v>
      </c>
      <c r="G252" s="430" t="s">
        <v>1793</v>
      </c>
      <c r="H252" s="48" t="s">
        <v>461</v>
      </c>
      <c r="I252" s="564">
        <v>916239477</v>
      </c>
      <c r="J252" s="48" t="s">
        <v>162</v>
      </c>
      <c r="K252" s="598">
        <v>46064</v>
      </c>
      <c r="L252" s="48" t="s">
        <v>1794</v>
      </c>
      <c r="M252" s="566" t="s">
        <v>312</v>
      </c>
      <c r="N252" s="48" t="s">
        <v>1795</v>
      </c>
      <c r="O252" s="53">
        <v>46070</v>
      </c>
      <c r="P252" s="546" t="s">
        <v>1330</v>
      </c>
      <c r="Q252" s="471" t="s">
        <v>358</v>
      </c>
      <c r="R252" s="566"/>
      <c r="S252" s="48"/>
      <c r="T252" s="48"/>
      <c r="U252" s="48"/>
      <c r="V252" s="48"/>
      <c r="W252" s="48"/>
      <c r="X252" s="48"/>
      <c r="Y252" s="48"/>
      <c r="Z252" s="48"/>
      <c r="AA252" s="48"/>
      <c r="AB252" s="48"/>
      <c r="AC252" s="48"/>
      <c r="AD252" s="91"/>
      <c r="AE252" s="91"/>
      <c r="AF252" s="91"/>
      <c r="AG252" s="91"/>
    </row>
    <row r="253" spans="1:33">
      <c r="A253" s="534"/>
      <c r="B253" s="534">
        <v>251</v>
      </c>
      <c r="C253" s="534">
        <v>242315</v>
      </c>
      <c r="D253" s="534">
        <v>8746572</v>
      </c>
      <c r="E253" s="50" t="s">
        <v>1796</v>
      </c>
      <c r="F253" s="534">
        <v>44</v>
      </c>
      <c r="G253" s="49" t="s">
        <v>1797</v>
      </c>
      <c r="H253" s="49" t="s">
        <v>326</v>
      </c>
      <c r="I253" s="534">
        <v>936340994</v>
      </c>
      <c r="J253" s="49" t="s">
        <v>827</v>
      </c>
      <c r="K253" s="535">
        <v>46064</v>
      </c>
      <c r="L253" s="49" t="s">
        <v>1098</v>
      </c>
      <c r="M253" s="534" t="s">
        <v>230</v>
      </c>
      <c r="N253" s="49" t="s">
        <v>241</v>
      </c>
      <c r="O253" s="437">
        <v>46104</v>
      </c>
      <c r="P253" s="546" t="s">
        <v>1798</v>
      </c>
      <c r="Q253" s="802">
        <v>46082</v>
      </c>
      <c r="R253" s="566" t="s">
        <v>242</v>
      </c>
      <c r="S253" s="49"/>
      <c r="T253" s="49"/>
      <c r="U253" s="49"/>
      <c r="V253" s="49"/>
      <c r="W253" s="49"/>
      <c r="X253" s="49"/>
      <c r="Y253" s="49"/>
      <c r="Z253" s="49"/>
      <c r="AA253" s="49"/>
      <c r="AB253" s="49"/>
      <c r="AC253" s="49"/>
      <c r="AD253" s="91"/>
      <c r="AE253" s="91"/>
      <c r="AF253" s="91"/>
      <c r="AG253" s="91"/>
    </row>
    <row r="254" spans="1:33">
      <c r="A254" s="534"/>
      <c r="B254" s="534">
        <v>252</v>
      </c>
      <c r="C254" s="534">
        <v>169347</v>
      </c>
      <c r="D254" s="534">
        <v>40933629</v>
      </c>
      <c r="E254" s="50" t="s">
        <v>1799</v>
      </c>
      <c r="F254" s="534">
        <v>44</v>
      </c>
      <c r="G254" s="49" t="s">
        <v>1800</v>
      </c>
      <c r="H254" s="49" t="s">
        <v>278</v>
      </c>
      <c r="I254" s="534">
        <v>933550368</v>
      </c>
      <c r="J254" s="49" t="s">
        <v>384</v>
      </c>
      <c r="K254" s="533">
        <v>46062</v>
      </c>
      <c r="L254" s="49" t="s">
        <v>1801</v>
      </c>
      <c r="M254" s="555" t="s">
        <v>312</v>
      </c>
      <c r="N254" s="49" t="s">
        <v>241</v>
      </c>
      <c r="O254" s="437">
        <v>46070</v>
      </c>
      <c r="P254" s="546" t="s">
        <v>1558</v>
      </c>
      <c r="Q254" s="802">
        <v>46082</v>
      </c>
      <c r="R254" s="808">
        <v>46082</v>
      </c>
      <c r="S254" s="49"/>
      <c r="T254" s="49"/>
      <c r="U254" s="49"/>
      <c r="V254" s="49"/>
      <c r="W254" s="49"/>
      <c r="X254" s="49"/>
      <c r="Y254" s="49"/>
      <c r="Z254" s="49"/>
      <c r="AA254" s="49"/>
      <c r="AB254" s="49"/>
      <c r="AC254" s="49"/>
      <c r="AD254" s="91"/>
      <c r="AE254" s="91"/>
      <c r="AF254" s="91"/>
      <c r="AG254" s="91"/>
    </row>
    <row r="255" spans="1:33">
      <c r="A255" s="534"/>
      <c r="B255" s="534">
        <v>253</v>
      </c>
      <c r="C255" s="534">
        <v>522859</v>
      </c>
      <c r="D255" s="534">
        <v>6242586</v>
      </c>
      <c r="E255" s="50" t="s">
        <v>1802</v>
      </c>
      <c r="F255" s="534">
        <v>59</v>
      </c>
      <c r="G255" s="49" t="s">
        <v>1803</v>
      </c>
      <c r="H255" s="49" t="s">
        <v>271</v>
      </c>
      <c r="I255" s="534">
        <v>946463511</v>
      </c>
      <c r="J255" s="49" t="s">
        <v>1804</v>
      </c>
      <c r="K255" s="535">
        <v>46064</v>
      </c>
      <c r="L255" s="49" t="s">
        <v>584</v>
      </c>
      <c r="M255" s="534" t="s">
        <v>230</v>
      </c>
      <c r="N255" s="49" t="s">
        <v>1701</v>
      </c>
      <c r="O255" s="53">
        <v>46070</v>
      </c>
      <c r="P255" s="546"/>
      <c r="Q255" s="471" t="s">
        <v>358</v>
      </c>
      <c r="R255" s="566"/>
      <c r="S255" s="49"/>
      <c r="T255" s="49"/>
      <c r="U255" s="49"/>
      <c r="V255" s="49"/>
      <c r="W255" s="49"/>
      <c r="X255" s="49"/>
      <c r="Y255" s="49"/>
      <c r="Z255" s="49"/>
      <c r="AA255" s="49"/>
      <c r="AB255" s="49"/>
      <c r="AC255" s="49"/>
      <c r="AD255" s="91"/>
      <c r="AE255" s="91"/>
      <c r="AF255" s="91"/>
      <c r="AG255" s="91"/>
    </row>
    <row r="256" spans="1:33">
      <c r="A256" s="534"/>
      <c r="B256" s="534">
        <v>254</v>
      </c>
      <c r="C256" s="534">
        <v>140719</v>
      </c>
      <c r="D256" s="479">
        <v>40796248</v>
      </c>
      <c r="E256" s="58" t="s">
        <v>1805</v>
      </c>
      <c r="F256" s="479">
        <v>45</v>
      </c>
      <c r="G256" s="430" t="s">
        <v>1806</v>
      </c>
      <c r="H256" s="430" t="s">
        <v>278</v>
      </c>
      <c r="I256" s="479">
        <v>950948190</v>
      </c>
      <c r="J256" s="47" t="s">
        <v>384</v>
      </c>
      <c r="K256" s="544">
        <v>46065</v>
      </c>
      <c r="L256" s="49" t="s">
        <v>747</v>
      </c>
      <c r="M256" s="534" t="s">
        <v>230</v>
      </c>
      <c r="N256" s="49" t="s">
        <v>1730</v>
      </c>
      <c r="O256" s="437">
        <v>46073</v>
      </c>
      <c r="P256" s="546" t="s">
        <v>292</v>
      </c>
      <c r="Q256" s="802">
        <v>46082</v>
      </c>
      <c r="R256" s="808">
        <v>46082</v>
      </c>
      <c r="S256" s="49"/>
      <c r="T256" s="49"/>
      <c r="U256" s="49"/>
      <c r="V256" s="49"/>
      <c r="W256" s="49"/>
      <c r="X256" s="49"/>
      <c r="Y256" s="49"/>
      <c r="Z256" s="49"/>
      <c r="AA256" s="49"/>
      <c r="AB256" s="49"/>
      <c r="AC256" s="49"/>
      <c r="AD256" s="91"/>
      <c r="AE256" s="91"/>
      <c r="AF256" s="91"/>
      <c r="AG256" s="91"/>
    </row>
    <row r="257" spans="1:33">
      <c r="A257" s="534"/>
      <c r="B257" s="534">
        <v>255</v>
      </c>
      <c r="C257" s="534">
        <v>128411</v>
      </c>
      <c r="D257" s="534">
        <v>41985189</v>
      </c>
      <c r="E257" s="50" t="s">
        <v>1807</v>
      </c>
      <c r="F257" s="534">
        <v>42</v>
      </c>
      <c r="G257" s="49" t="s">
        <v>1808</v>
      </c>
      <c r="H257" s="49" t="s">
        <v>237</v>
      </c>
      <c r="I257" s="534">
        <v>948169563</v>
      </c>
      <c r="J257" s="49" t="s">
        <v>742</v>
      </c>
      <c r="K257" s="535">
        <v>46064</v>
      </c>
      <c r="L257" s="49" t="s">
        <v>1663</v>
      </c>
      <c r="M257" s="534" t="s">
        <v>260</v>
      </c>
      <c r="N257" s="49" t="s">
        <v>241</v>
      </c>
      <c r="O257" s="437">
        <v>46073</v>
      </c>
      <c r="P257" s="546" t="s">
        <v>292</v>
      </c>
      <c r="Q257" s="810" t="s">
        <v>1809</v>
      </c>
      <c r="R257" s="566"/>
      <c r="S257" s="49"/>
      <c r="T257" s="49"/>
      <c r="U257" s="49"/>
      <c r="V257" s="49"/>
      <c r="W257" s="49"/>
      <c r="X257" s="49"/>
      <c r="Y257" s="49"/>
      <c r="Z257" s="49"/>
      <c r="AA257" s="49"/>
      <c r="AB257" s="49"/>
      <c r="AC257" s="49"/>
      <c r="AD257" s="91"/>
      <c r="AE257" s="91"/>
      <c r="AF257" s="91"/>
      <c r="AG257" s="91"/>
    </row>
    <row r="258" spans="1:33">
      <c r="A258" s="534"/>
      <c r="B258" s="534">
        <v>256</v>
      </c>
      <c r="C258" s="534">
        <v>522865</v>
      </c>
      <c r="D258" s="534">
        <v>40115356</v>
      </c>
      <c r="E258" s="50" t="s">
        <v>1810</v>
      </c>
      <c r="F258" s="534">
        <v>47</v>
      </c>
      <c r="G258" s="49" t="s">
        <v>1811</v>
      </c>
      <c r="H258" s="49" t="s">
        <v>271</v>
      </c>
      <c r="I258" s="534">
        <v>939522678</v>
      </c>
      <c r="J258" s="49" t="s">
        <v>1804</v>
      </c>
      <c r="K258" s="535">
        <v>46064</v>
      </c>
      <c r="L258" s="49" t="s">
        <v>388</v>
      </c>
      <c r="M258" s="534" t="s">
        <v>230</v>
      </c>
      <c r="N258" s="49" t="s">
        <v>1701</v>
      </c>
      <c r="O258" s="53">
        <v>46073</v>
      </c>
      <c r="P258" s="546" t="s">
        <v>1812</v>
      </c>
      <c r="Q258" s="471" t="s">
        <v>358</v>
      </c>
      <c r="R258" s="566"/>
      <c r="S258" s="49"/>
      <c r="T258" s="49"/>
      <c r="U258" s="49"/>
      <c r="V258" s="49"/>
      <c r="W258" s="49"/>
      <c r="X258" s="49"/>
      <c r="Y258" s="49"/>
      <c r="Z258" s="49"/>
      <c r="AA258" s="49"/>
      <c r="AB258" s="49"/>
      <c r="AC258" s="49"/>
      <c r="AD258" s="91"/>
      <c r="AE258" s="91"/>
      <c r="AF258" s="91"/>
      <c r="AG258" s="91"/>
    </row>
    <row r="259" spans="1:33">
      <c r="A259" s="534" t="s">
        <v>1813</v>
      </c>
      <c r="B259" s="534">
        <v>257</v>
      </c>
      <c r="C259" s="534">
        <v>127012</v>
      </c>
      <c r="D259" s="534">
        <v>15742002</v>
      </c>
      <c r="E259" s="50" t="s">
        <v>1814</v>
      </c>
      <c r="F259" s="534">
        <v>52</v>
      </c>
      <c r="G259" s="49" t="s">
        <v>1815</v>
      </c>
      <c r="H259" s="49" t="s">
        <v>237</v>
      </c>
      <c r="I259" s="534">
        <v>997286983</v>
      </c>
      <c r="J259" s="49" t="s">
        <v>238</v>
      </c>
      <c r="K259" s="535">
        <v>46064</v>
      </c>
      <c r="L259" s="49" t="s">
        <v>1816</v>
      </c>
      <c r="M259" s="534" t="s">
        <v>230</v>
      </c>
      <c r="N259" s="49" t="s">
        <v>1730</v>
      </c>
      <c r="O259" s="53">
        <v>46073</v>
      </c>
      <c r="P259" s="546"/>
      <c r="Q259" s="546" t="s">
        <v>1228</v>
      </c>
      <c r="R259" s="566"/>
      <c r="S259" s="49"/>
      <c r="T259" s="49"/>
      <c r="U259" s="49"/>
      <c r="V259" s="49"/>
      <c r="W259" s="49"/>
      <c r="X259" s="49"/>
      <c r="Y259" s="49"/>
      <c r="Z259" s="49"/>
      <c r="AA259" s="49"/>
      <c r="AB259" s="49"/>
      <c r="AC259" s="49"/>
      <c r="AD259" s="91"/>
      <c r="AE259" s="91"/>
      <c r="AF259" s="91"/>
      <c r="AG259" s="91"/>
    </row>
    <row r="260" spans="1:33">
      <c r="A260" s="534"/>
      <c r="B260" s="534">
        <v>258</v>
      </c>
      <c r="C260" s="534">
        <v>384856</v>
      </c>
      <c r="D260" s="534">
        <v>41169395</v>
      </c>
      <c r="E260" s="50" t="s">
        <v>1817</v>
      </c>
      <c r="F260" s="534">
        <v>44</v>
      </c>
      <c r="G260" s="49" t="s">
        <v>1818</v>
      </c>
      <c r="H260" s="49" t="s">
        <v>278</v>
      </c>
      <c r="I260" s="534">
        <v>940558224</v>
      </c>
      <c r="J260" s="49" t="s">
        <v>579</v>
      </c>
      <c r="K260" s="535">
        <v>46064</v>
      </c>
      <c r="L260" s="49" t="s">
        <v>1819</v>
      </c>
      <c r="M260" s="534" t="s">
        <v>312</v>
      </c>
      <c r="N260" s="49" t="s">
        <v>1701</v>
      </c>
      <c r="O260" s="437">
        <v>46073</v>
      </c>
      <c r="P260" s="546" t="s">
        <v>292</v>
      </c>
      <c r="Q260" s="807">
        <v>46082</v>
      </c>
      <c r="R260" s="566" t="s">
        <v>242</v>
      </c>
      <c r="S260" s="49"/>
      <c r="T260" s="49"/>
      <c r="U260" s="49"/>
      <c r="V260" s="49"/>
      <c r="W260" s="49"/>
      <c r="X260" s="49"/>
      <c r="Y260" s="49"/>
      <c r="Z260" s="49"/>
      <c r="AA260" s="49"/>
      <c r="AB260" s="49"/>
      <c r="AC260" s="49"/>
      <c r="AD260" s="91"/>
      <c r="AE260" s="91"/>
      <c r="AF260" s="91"/>
      <c r="AG260" s="91"/>
    </row>
    <row r="261" spans="1:33">
      <c r="A261" s="534"/>
      <c r="B261" s="534">
        <v>259</v>
      </c>
      <c r="C261" s="534">
        <v>262035</v>
      </c>
      <c r="D261" s="534">
        <v>41870498</v>
      </c>
      <c r="E261" s="50" t="s">
        <v>1820</v>
      </c>
      <c r="F261" s="534">
        <v>42</v>
      </c>
      <c r="G261" s="49" t="s">
        <v>1821</v>
      </c>
      <c r="H261" s="49" t="s">
        <v>301</v>
      </c>
      <c r="I261" s="534">
        <v>927566761</v>
      </c>
      <c r="J261" s="49" t="s">
        <v>1483</v>
      </c>
      <c r="K261" s="535">
        <v>46064</v>
      </c>
      <c r="L261" s="49" t="s">
        <v>376</v>
      </c>
      <c r="M261" s="534" t="s">
        <v>230</v>
      </c>
      <c r="N261" s="49" t="s">
        <v>1730</v>
      </c>
      <c r="O261" s="437">
        <v>46073</v>
      </c>
      <c r="P261" s="546" t="s">
        <v>292</v>
      </c>
      <c r="Q261" s="814">
        <v>46082</v>
      </c>
      <c r="R261" s="566" t="s">
        <v>318</v>
      </c>
      <c r="S261" s="49"/>
      <c r="T261" s="49"/>
      <c r="U261" s="49"/>
      <c r="V261" s="49"/>
      <c r="W261" s="49"/>
      <c r="X261" s="49"/>
      <c r="Y261" s="49"/>
      <c r="Z261" s="49"/>
      <c r="AA261" s="49"/>
      <c r="AB261" s="49"/>
      <c r="AC261" s="49"/>
      <c r="AD261" s="91"/>
      <c r="AE261" s="91"/>
      <c r="AF261" s="91"/>
      <c r="AG261" s="91"/>
    </row>
    <row r="262" spans="1:33">
      <c r="A262" s="534" t="s">
        <v>1822</v>
      </c>
      <c r="B262" s="534">
        <v>260</v>
      </c>
      <c r="C262" s="534">
        <v>522862</v>
      </c>
      <c r="D262" s="534">
        <v>15641134</v>
      </c>
      <c r="E262" s="50" t="s">
        <v>1823</v>
      </c>
      <c r="F262" s="534">
        <v>53</v>
      </c>
      <c r="G262" s="49" t="s">
        <v>1824</v>
      </c>
      <c r="H262" s="49" t="s">
        <v>432</v>
      </c>
      <c r="I262" s="534">
        <v>992896833</v>
      </c>
      <c r="J262" s="49" t="s">
        <v>1209</v>
      </c>
      <c r="K262" s="535">
        <v>46064</v>
      </c>
      <c r="L262" s="49" t="s">
        <v>376</v>
      </c>
      <c r="M262" s="534" t="s">
        <v>230</v>
      </c>
      <c r="N262" s="49" t="s">
        <v>1730</v>
      </c>
      <c r="O262" s="437">
        <v>46073</v>
      </c>
      <c r="P262" s="546" t="s">
        <v>292</v>
      </c>
      <c r="Q262" s="802">
        <v>46082</v>
      </c>
      <c r="R262" s="566" t="s">
        <v>318</v>
      </c>
      <c r="S262" s="49"/>
      <c r="T262" s="49"/>
      <c r="U262" s="49"/>
      <c r="V262" s="49"/>
      <c r="W262" s="49"/>
      <c r="X262" s="49"/>
      <c r="Y262" s="49"/>
      <c r="Z262" s="49"/>
      <c r="AA262" s="49"/>
      <c r="AB262" s="49"/>
      <c r="AC262" s="49"/>
      <c r="AD262" s="91"/>
      <c r="AE262" s="91"/>
      <c r="AF262" s="91"/>
      <c r="AG262" s="91"/>
    </row>
    <row r="263" spans="1:33">
      <c r="A263" s="534"/>
      <c r="B263" s="534">
        <v>261</v>
      </c>
      <c r="C263" s="534">
        <v>135231</v>
      </c>
      <c r="D263" s="534">
        <v>15695192</v>
      </c>
      <c r="E263" s="50" t="s">
        <v>1825</v>
      </c>
      <c r="F263" s="534">
        <v>63</v>
      </c>
      <c r="G263" s="49" t="s">
        <v>1826</v>
      </c>
      <c r="H263" s="49" t="s">
        <v>246</v>
      </c>
      <c r="I263" s="534">
        <v>956224881</v>
      </c>
      <c r="J263" s="49" t="s">
        <v>247</v>
      </c>
      <c r="K263" s="535">
        <v>46064</v>
      </c>
      <c r="L263" s="49" t="s">
        <v>376</v>
      </c>
      <c r="M263" s="534" t="s">
        <v>230</v>
      </c>
      <c r="N263" s="49" t="s">
        <v>1730</v>
      </c>
      <c r="O263" s="437" t="s">
        <v>1827</v>
      </c>
      <c r="P263" s="546" t="s">
        <v>251</v>
      </c>
      <c r="Q263" s="809" t="s">
        <v>334</v>
      </c>
      <c r="R263" s="566"/>
      <c r="S263" s="49"/>
      <c r="T263" s="49"/>
      <c r="U263" s="49"/>
      <c r="V263" s="49"/>
      <c r="W263" s="49"/>
      <c r="X263" s="49"/>
      <c r="Y263" s="49"/>
      <c r="Z263" s="49"/>
      <c r="AA263" s="49"/>
      <c r="AB263" s="49"/>
      <c r="AC263" s="49"/>
      <c r="AD263" s="91"/>
      <c r="AE263" s="91"/>
      <c r="AF263" s="91"/>
      <c r="AG263" s="91"/>
    </row>
    <row r="264" spans="1:33">
      <c r="A264" s="534"/>
      <c r="B264" s="534">
        <v>262</v>
      </c>
      <c r="C264" s="534">
        <v>125865</v>
      </c>
      <c r="D264" s="534">
        <v>15584692</v>
      </c>
      <c r="E264" s="50" t="s">
        <v>1828</v>
      </c>
      <c r="F264" s="534">
        <v>64</v>
      </c>
      <c r="G264" s="49" t="s">
        <v>1829</v>
      </c>
      <c r="H264" s="49" t="s">
        <v>222</v>
      </c>
      <c r="I264" s="534">
        <v>986091147</v>
      </c>
      <c r="J264" s="48" t="s">
        <v>162</v>
      </c>
      <c r="K264" s="535">
        <v>46064</v>
      </c>
      <c r="L264" s="49" t="s">
        <v>1830</v>
      </c>
      <c r="M264" s="534" t="s">
        <v>260</v>
      </c>
      <c r="N264" s="49" t="s">
        <v>1730</v>
      </c>
      <c r="O264" s="53">
        <v>46073</v>
      </c>
      <c r="P264" s="546" t="s">
        <v>1330</v>
      </c>
      <c r="Q264" s="471" t="s">
        <v>358</v>
      </c>
      <c r="R264" s="566"/>
      <c r="S264" s="49"/>
      <c r="T264" s="49"/>
      <c r="U264" s="49"/>
      <c r="V264" s="49"/>
      <c r="W264" s="49"/>
      <c r="X264" s="49"/>
      <c r="Y264" s="49"/>
      <c r="Z264" s="49"/>
      <c r="AA264" s="49"/>
      <c r="AB264" s="49"/>
      <c r="AC264" s="49"/>
      <c r="AD264" s="91"/>
      <c r="AE264" s="91"/>
      <c r="AF264" s="91"/>
      <c r="AG264" s="91"/>
    </row>
    <row r="265" spans="1:33" ht="24.75">
      <c r="A265" s="544"/>
      <c r="B265" s="534">
        <v>263</v>
      </c>
      <c r="C265" s="567">
        <v>125563</v>
      </c>
      <c r="D265" s="479">
        <v>15727056</v>
      </c>
      <c r="E265" s="58" t="s">
        <v>1831</v>
      </c>
      <c r="F265" s="479">
        <v>54</v>
      </c>
      <c r="G265" s="430" t="s">
        <v>1832</v>
      </c>
      <c r="H265" s="430" t="s">
        <v>278</v>
      </c>
      <c r="I265" s="479">
        <v>954752979</v>
      </c>
      <c r="J265" s="58" t="s">
        <v>384</v>
      </c>
      <c r="K265" s="549">
        <v>46066</v>
      </c>
      <c r="L265" s="48" t="s">
        <v>458</v>
      </c>
      <c r="M265" s="534" t="s">
        <v>260</v>
      </c>
      <c r="N265" s="49" t="s">
        <v>241</v>
      </c>
      <c r="O265" s="437">
        <v>46073</v>
      </c>
      <c r="P265" s="546" t="s">
        <v>292</v>
      </c>
      <c r="Q265" s="811" t="s">
        <v>339</v>
      </c>
      <c r="R265" s="566"/>
      <c r="S265" s="48"/>
      <c r="T265" s="48"/>
      <c r="U265" s="48"/>
      <c r="V265" s="48"/>
      <c r="W265" s="48"/>
      <c r="X265" s="48"/>
      <c r="Y265" s="48"/>
      <c r="Z265" s="48"/>
      <c r="AA265" s="48"/>
      <c r="AB265" s="48"/>
      <c r="AC265" s="48"/>
      <c r="AD265" s="91"/>
      <c r="AE265" s="91"/>
      <c r="AF265" s="91"/>
      <c r="AG265" s="91"/>
    </row>
    <row r="266" spans="1:33">
      <c r="A266" s="534"/>
      <c r="B266" s="534">
        <v>264</v>
      </c>
      <c r="C266" s="534">
        <v>200885</v>
      </c>
      <c r="D266" s="534">
        <v>15644881</v>
      </c>
      <c r="E266" s="50" t="s">
        <v>1833</v>
      </c>
      <c r="F266" s="534">
        <v>60</v>
      </c>
      <c r="G266" s="49" t="s">
        <v>1834</v>
      </c>
      <c r="H266" s="49" t="s">
        <v>222</v>
      </c>
      <c r="I266" s="534">
        <v>977640426</v>
      </c>
      <c r="J266" s="49" t="s">
        <v>588</v>
      </c>
      <c r="K266" s="535">
        <v>46064</v>
      </c>
      <c r="L266" s="49" t="s">
        <v>376</v>
      </c>
      <c r="M266" s="534" t="s">
        <v>230</v>
      </c>
      <c r="N266" s="49" t="s">
        <v>1730</v>
      </c>
      <c r="O266" s="437">
        <v>46073</v>
      </c>
      <c r="P266" s="546" t="s">
        <v>292</v>
      </c>
      <c r="Q266" s="807">
        <v>46082</v>
      </c>
      <c r="R266" s="566" t="s">
        <v>318</v>
      </c>
      <c r="S266" s="49"/>
      <c r="T266" s="49"/>
      <c r="U266" s="49"/>
      <c r="V266" s="49"/>
      <c r="W266" s="49"/>
      <c r="X266" s="49"/>
      <c r="Y266" s="49"/>
      <c r="Z266" s="49"/>
      <c r="AA266" s="49"/>
      <c r="AB266" s="49"/>
      <c r="AC266" s="49"/>
      <c r="AD266" s="91"/>
      <c r="AE266" s="91"/>
      <c r="AF266" s="91"/>
      <c r="AG266" s="91"/>
    </row>
    <row r="267" spans="1:33">
      <c r="A267" s="534"/>
      <c r="B267" s="534">
        <v>265</v>
      </c>
      <c r="C267" s="534">
        <v>53913</v>
      </c>
      <c r="D267" s="534">
        <v>15606526</v>
      </c>
      <c r="E267" s="50" t="s">
        <v>1835</v>
      </c>
      <c r="F267" s="534">
        <v>67</v>
      </c>
      <c r="G267" s="49" t="s">
        <v>1836</v>
      </c>
      <c r="H267" s="49" t="s">
        <v>222</v>
      </c>
      <c r="I267" s="534">
        <v>922406184</v>
      </c>
      <c r="J267" s="48" t="s">
        <v>162</v>
      </c>
      <c r="K267" s="535">
        <v>46064</v>
      </c>
      <c r="L267" s="49" t="s">
        <v>376</v>
      </c>
      <c r="M267" s="534" t="s">
        <v>230</v>
      </c>
      <c r="N267" s="49" t="s">
        <v>1730</v>
      </c>
      <c r="O267" s="53">
        <v>46073</v>
      </c>
      <c r="P267" s="546" t="s">
        <v>1330</v>
      </c>
      <c r="Q267" s="471" t="s">
        <v>358</v>
      </c>
      <c r="R267" s="566"/>
      <c r="S267" s="49"/>
      <c r="T267" s="49"/>
      <c r="U267" s="49"/>
      <c r="V267" s="49"/>
      <c r="W267" s="49"/>
      <c r="X267" s="49"/>
      <c r="Y267" s="49"/>
      <c r="Z267" s="49"/>
      <c r="AA267" s="49"/>
      <c r="AB267" s="49"/>
      <c r="AC267" s="49"/>
      <c r="AD267" s="91"/>
      <c r="AE267" s="91"/>
      <c r="AF267" s="91"/>
      <c r="AG267" s="91"/>
    </row>
    <row r="268" spans="1:33">
      <c r="A268" s="534"/>
      <c r="B268" s="534">
        <v>266</v>
      </c>
      <c r="C268" s="534">
        <v>96639</v>
      </c>
      <c r="D268" s="534">
        <v>40642322</v>
      </c>
      <c r="E268" s="50" t="s">
        <v>1837</v>
      </c>
      <c r="F268" s="534">
        <v>45</v>
      </c>
      <c r="G268" s="49" t="s">
        <v>1838</v>
      </c>
      <c r="H268" s="49" t="s">
        <v>237</v>
      </c>
      <c r="I268" s="534" t="s">
        <v>1839</v>
      </c>
      <c r="J268" s="49" t="s">
        <v>289</v>
      </c>
      <c r="K268" s="535">
        <v>46064</v>
      </c>
      <c r="L268" s="49" t="s">
        <v>388</v>
      </c>
      <c r="M268" s="534" t="s">
        <v>312</v>
      </c>
      <c r="N268" s="49" t="s">
        <v>241</v>
      </c>
      <c r="O268" s="437">
        <v>46073</v>
      </c>
      <c r="P268" s="546" t="s">
        <v>292</v>
      </c>
      <c r="Q268" s="803" t="s">
        <v>334</v>
      </c>
      <c r="R268" s="566"/>
      <c r="S268" s="49"/>
      <c r="T268" s="49"/>
      <c r="U268" s="49"/>
      <c r="V268" s="49"/>
      <c r="W268" s="49"/>
      <c r="X268" s="49"/>
      <c r="Y268" s="49"/>
      <c r="Z268" s="49"/>
      <c r="AA268" s="49"/>
      <c r="AB268" s="49"/>
      <c r="AC268" s="49"/>
      <c r="AD268" s="91"/>
      <c r="AE268" s="91"/>
      <c r="AF268" s="91"/>
      <c r="AG268" s="91"/>
    </row>
    <row r="269" spans="1:33">
      <c r="A269" s="534"/>
      <c r="B269" s="534">
        <v>267</v>
      </c>
      <c r="C269" s="534">
        <v>249211</v>
      </c>
      <c r="D269" s="534">
        <v>42359681</v>
      </c>
      <c r="E269" s="50" t="s">
        <v>1840</v>
      </c>
      <c r="F269" s="534">
        <v>41</v>
      </c>
      <c r="G269" s="49" t="s">
        <v>1841</v>
      </c>
      <c r="H269" s="49" t="s">
        <v>278</v>
      </c>
      <c r="I269" s="534" t="s">
        <v>1842</v>
      </c>
      <c r="J269" s="49" t="s">
        <v>588</v>
      </c>
      <c r="K269" s="535">
        <v>46064</v>
      </c>
      <c r="L269" s="49" t="s">
        <v>1843</v>
      </c>
      <c r="M269" s="534" t="s">
        <v>312</v>
      </c>
      <c r="N269" s="49" t="s">
        <v>241</v>
      </c>
      <c r="O269" s="437">
        <v>46073</v>
      </c>
      <c r="P269" s="546" t="s">
        <v>292</v>
      </c>
      <c r="Q269" s="807">
        <v>46082</v>
      </c>
      <c r="R269" s="566" t="s">
        <v>242</v>
      </c>
      <c r="S269" s="49"/>
      <c r="T269" s="49"/>
      <c r="U269" s="49"/>
      <c r="V269" s="49"/>
      <c r="W269" s="49"/>
      <c r="X269" s="49"/>
      <c r="Y269" s="49"/>
      <c r="Z269" s="49"/>
      <c r="AA269" s="49"/>
      <c r="AB269" s="49"/>
      <c r="AC269" s="49"/>
      <c r="AD269" s="91"/>
      <c r="AE269" s="91"/>
      <c r="AF269" s="91"/>
      <c r="AG269" s="91"/>
    </row>
    <row r="270" spans="1:33">
      <c r="A270" s="534"/>
      <c r="B270" s="534">
        <v>268</v>
      </c>
      <c r="C270" s="534">
        <v>522878</v>
      </c>
      <c r="D270" s="534">
        <v>80616532</v>
      </c>
      <c r="E270" s="50" t="s">
        <v>1844</v>
      </c>
      <c r="F270" s="534">
        <v>46</v>
      </c>
      <c r="G270" s="49" t="s">
        <v>1845</v>
      </c>
      <c r="H270" s="49" t="s">
        <v>461</v>
      </c>
      <c r="I270" s="534">
        <v>913960340</v>
      </c>
      <c r="J270" s="49" t="s">
        <v>162</v>
      </c>
      <c r="K270" s="535">
        <v>46064</v>
      </c>
      <c r="L270" s="49" t="s">
        <v>376</v>
      </c>
      <c r="M270" s="534" t="s">
        <v>230</v>
      </c>
      <c r="N270" s="49" t="s">
        <v>1730</v>
      </c>
      <c r="O270" s="53">
        <v>46073</v>
      </c>
      <c r="P270" s="546" t="s">
        <v>1330</v>
      </c>
      <c r="Q270" s="471" t="s">
        <v>358</v>
      </c>
      <c r="R270" s="566"/>
      <c r="S270" s="49"/>
      <c r="T270" s="49"/>
      <c r="U270" s="49"/>
      <c r="V270" s="49"/>
      <c r="W270" s="49"/>
      <c r="X270" s="49"/>
      <c r="Y270" s="49"/>
      <c r="Z270" s="49"/>
      <c r="AA270" s="49"/>
      <c r="AB270" s="49"/>
      <c r="AC270" s="49"/>
      <c r="AD270" s="91"/>
      <c r="AE270" s="91"/>
      <c r="AF270" s="91"/>
      <c r="AG270" s="91"/>
    </row>
    <row r="271" spans="1:33">
      <c r="A271" s="534"/>
      <c r="B271" s="534">
        <v>269</v>
      </c>
      <c r="C271" s="534">
        <v>259371</v>
      </c>
      <c r="D271" s="534">
        <v>42796498</v>
      </c>
      <c r="E271" s="50" t="s">
        <v>1846</v>
      </c>
      <c r="F271" s="534">
        <v>41</v>
      </c>
      <c r="G271" s="49" t="s">
        <v>1847</v>
      </c>
      <c r="H271" s="49" t="s">
        <v>237</v>
      </c>
      <c r="I271" s="534">
        <v>947221129</v>
      </c>
      <c r="J271" s="49" t="s">
        <v>289</v>
      </c>
      <c r="K271" s="535">
        <v>46064</v>
      </c>
      <c r="L271" s="49" t="s">
        <v>376</v>
      </c>
      <c r="M271" s="534" t="s">
        <v>230</v>
      </c>
      <c r="N271" s="49" t="s">
        <v>1730</v>
      </c>
      <c r="O271" s="437">
        <v>46073</v>
      </c>
      <c r="P271" s="546" t="s">
        <v>292</v>
      </c>
      <c r="Q271" s="803" t="s">
        <v>334</v>
      </c>
      <c r="R271" s="566"/>
      <c r="S271" s="49"/>
      <c r="T271" s="49"/>
      <c r="U271" s="49"/>
      <c r="V271" s="49"/>
      <c r="W271" s="49"/>
      <c r="X271" s="49"/>
      <c r="Y271" s="49"/>
      <c r="Z271" s="49"/>
      <c r="AA271" s="49"/>
      <c r="AB271" s="49"/>
      <c r="AC271" s="49"/>
      <c r="AD271" s="91"/>
      <c r="AE271" s="91"/>
      <c r="AF271" s="91"/>
      <c r="AG271" s="91"/>
    </row>
    <row r="272" spans="1:33">
      <c r="A272" s="540" t="s">
        <v>513</v>
      </c>
      <c r="B272" s="534">
        <v>270</v>
      </c>
      <c r="C272" s="534">
        <v>388118</v>
      </c>
      <c r="D272" s="534">
        <v>15725411</v>
      </c>
      <c r="E272" s="50" t="s">
        <v>1848</v>
      </c>
      <c r="F272" s="534">
        <v>55</v>
      </c>
      <c r="G272" s="49" t="s">
        <v>1849</v>
      </c>
      <c r="H272" s="49" t="s">
        <v>222</v>
      </c>
      <c r="I272" s="534">
        <v>923641600</v>
      </c>
      <c r="J272" s="49" t="s">
        <v>223</v>
      </c>
      <c r="K272" s="535">
        <v>46064</v>
      </c>
      <c r="L272" s="49" t="s">
        <v>516</v>
      </c>
      <c r="M272" s="534" t="s">
        <v>312</v>
      </c>
      <c r="N272" s="49" t="s">
        <v>1730</v>
      </c>
      <c r="O272" s="437">
        <v>46073</v>
      </c>
      <c r="P272" s="546" t="s">
        <v>292</v>
      </c>
      <c r="Q272" s="802">
        <v>46082</v>
      </c>
      <c r="R272" s="534" t="s">
        <v>318</v>
      </c>
      <c r="S272" s="49"/>
      <c r="T272" s="49"/>
      <c r="U272" s="49"/>
      <c r="V272" s="49"/>
      <c r="W272" s="49"/>
      <c r="X272" s="49"/>
      <c r="Y272" s="49"/>
      <c r="Z272" s="49"/>
      <c r="AA272" s="49"/>
      <c r="AB272" s="49"/>
      <c r="AC272" s="49"/>
      <c r="AD272" s="91"/>
      <c r="AE272" s="91"/>
      <c r="AF272" s="91"/>
      <c r="AG272" s="91"/>
    </row>
    <row r="273" spans="1:33">
      <c r="A273" s="534" t="s">
        <v>1822</v>
      </c>
      <c r="B273" s="534">
        <v>271</v>
      </c>
      <c r="C273" s="534">
        <v>262271</v>
      </c>
      <c r="D273" s="534">
        <v>41889977</v>
      </c>
      <c r="E273" s="430" t="s">
        <v>1850</v>
      </c>
      <c r="F273" s="534">
        <v>42</v>
      </c>
      <c r="G273" s="49" t="s">
        <v>1851</v>
      </c>
      <c r="H273" s="49" t="s">
        <v>246</v>
      </c>
      <c r="I273" s="534">
        <v>982086986</v>
      </c>
      <c r="J273" s="49" t="s">
        <v>238</v>
      </c>
      <c r="K273" s="535">
        <v>46064</v>
      </c>
      <c r="L273" s="49" t="s">
        <v>376</v>
      </c>
      <c r="M273" s="534" t="s">
        <v>230</v>
      </c>
      <c r="N273" s="49" t="s">
        <v>1730</v>
      </c>
      <c r="O273" s="53">
        <v>46073</v>
      </c>
      <c r="P273" s="546"/>
      <c r="Q273" s="634"/>
      <c r="R273" s="566"/>
      <c r="S273" s="49"/>
      <c r="T273" s="49"/>
      <c r="U273" s="49"/>
      <c r="V273" s="49"/>
      <c r="W273" s="49"/>
      <c r="X273" s="49"/>
      <c r="Y273" s="49"/>
      <c r="Z273" s="49"/>
      <c r="AA273" s="49"/>
      <c r="AB273" s="49"/>
      <c r="AC273" s="49"/>
      <c r="AD273" s="91"/>
      <c r="AE273" s="91"/>
      <c r="AF273" s="91"/>
      <c r="AG273" s="91"/>
    </row>
    <row r="274" spans="1:33">
      <c r="A274" s="534"/>
      <c r="B274" s="534">
        <v>272</v>
      </c>
      <c r="C274" s="534">
        <v>441769</v>
      </c>
      <c r="D274" s="534">
        <v>17451607</v>
      </c>
      <c r="E274" s="50" t="s">
        <v>1852</v>
      </c>
      <c r="F274" s="534">
        <v>49</v>
      </c>
      <c r="G274" s="49" t="s">
        <v>1853</v>
      </c>
      <c r="H274" s="49" t="s">
        <v>278</v>
      </c>
      <c r="I274" s="534">
        <v>903033447</v>
      </c>
      <c r="J274" s="49" t="s">
        <v>238</v>
      </c>
      <c r="K274" s="535">
        <v>46064</v>
      </c>
      <c r="L274" s="49" t="s">
        <v>1854</v>
      </c>
      <c r="M274" s="534" t="s">
        <v>312</v>
      </c>
      <c r="N274" s="49" t="s">
        <v>1730</v>
      </c>
      <c r="O274" s="53">
        <v>46073</v>
      </c>
      <c r="P274" s="546"/>
      <c r="Q274" s="634"/>
      <c r="R274" s="566"/>
      <c r="S274" s="49"/>
      <c r="T274" s="49"/>
      <c r="U274" s="49"/>
      <c r="V274" s="49"/>
      <c r="W274" s="49"/>
      <c r="X274" s="49"/>
      <c r="Y274" s="49"/>
      <c r="Z274" s="49"/>
      <c r="AA274" s="49"/>
      <c r="AB274" s="49"/>
      <c r="AC274" s="49"/>
      <c r="AD274" s="91"/>
      <c r="AE274" s="91"/>
      <c r="AF274" s="91"/>
      <c r="AG274" s="91"/>
    </row>
    <row r="275" spans="1:33">
      <c r="A275" s="534"/>
      <c r="B275" s="534">
        <v>273</v>
      </c>
      <c r="C275" s="534">
        <v>148760</v>
      </c>
      <c r="D275" s="534">
        <v>15647628</v>
      </c>
      <c r="E275" s="50" t="s">
        <v>1855</v>
      </c>
      <c r="F275" s="534">
        <v>58</v>
      </c>
      <c r="G275" s="49" t="s">
        <v>1856</v>
      </c>
      <c r="H275" s="49" t="s">
        <v>222</v>
      </c>
      <c r="I275" s="534">
        <v>972448128</v>
      </c>
      <c r="J275" s="49" t="s">
        <v>588</v>
      </c>
      <c r="K275" s="535">
        <v>46064</v>
      </c>
      <c r="L275" s="49" t="s">
        <v>1857</v>
      </c>
      <c r="M275" s="534" t="s">
        <v>312</v>
      </c>
      <c r="N275" s="49" t="s">
        <v>241</v>
      </c>
      <c r="O275" s="437">
        <v>46073</v>
      </c>
      <c r="P275" s="546" t="s">
        <v>292</v>
      </c>
      <c r="Q275" s="807">
        <v>46082</v>
      </c>
      <c r="R275" s="566" t="s">
        <v>242</v>
      </c>
      <c r="S275" s="49"/>
      <c r="T275" s="49"/>
      <c r="U275" s="49"/>
      <c r="V275" s="49"/>
      <c r="W275" s="49"/>
      <c r="X275" s="49"/>
      <c r="Y275" s="49"/>
      <c r="Z275" s="49"/>
      <c r="AA275" s="49"/>
      <c r="AB275" s="49"/>
      <c r="AC275" s="49"/>
      <c r="AD275" s="91"/>
      <c r="AE275" s="91"/>
      <c r="AF275" s="91"/>
      <c r="AG275" s="91"/>
    </row>
    <row r="276" spans="1:33">
      <c r="A276" s="534"/>
      <c r="B276" s="534">
        <v>274</v>
      </c>
      <c r="C276" s="534">
        <v>108276</v>
      </c>
      <c r="D276" s="534">
        <v>32046382</v>
      </c>
      <c r="E276" s="50" t="s">
        <v>1858</v>
      </c>
      <c r="F276" s="534">
        <v>47</v>
      </c>
      <c r="G276" s="49" t="s">
        <v>1859</v>
      </c>
      <c r="H276" s="49" t="s">
        <v>1860</v>
      </c>
      <c r="I276" s="534">
        <v>989372348</v>
      </c>
      <c r="J276" s="49" t="s">
        <v>1483</v>
      </c>
      <c r="K276" s="535">
        <v>46064</v>
      </c>
      <c r="L276" s="49" t="s">
        <v>376</v>
      </c>
      <c r="M276" s="534" t="s">
        <v>230</v>
      </c>
      <c r="N276" s="49" t="s">
        <v>1730</v>
      </c>
      <c r="O276" s="437">
        <v>46073</v>
      </c>
      <c r="P276" s="546" t="s">
        <v>292</v>
      </c>
      <c r="Q276" s="814">
        <v>46082</v>
      </c>
      <c r="R276" s="566" t="s">
        <v>318</v>
      </c>
      <c r="S276" s="49"/>
      <c r="T276" s="49"/>
      <c r="U276" s="49"/>
      <c r="V276" s="49"/>
      <c r="W276" s="49"/>
      <c r="X276" s="49"/>
      <c r="Y276" s="49"/>
      <c r="Z276" s="49"/>
      <c r="AA276" s="49"/>
      <c r="AB276" s="49"/>
      <c r="AC276" s="49"/>
      <c r="AD276" s="91"/>
      <c r="AE276" s="91"/>
      <c r="AF276" s="91"/>
      <c r="AG276" s="91"/>
    </row>
    <row r="277" spans="1:33">
      <c r="A277" s="536"/>
      <c r="B277" s="534">
        <v>275</v>
      </c>
      <c r="C277" s="536">
        <v>137802</v>
      </c>
      <c r="D277" s="536">
        <v>15598939</v>
      </c>
      <c r="E277" s="212" t="s">
        <v>1861</v>
      </c>
      <c r="F277" s="536">
        <v>49</v>
      </c>
      <c r="G277" s="59" t="s">
        <v>1862</v>
      </c>
      <c r="H277" s="59" t="s">
        <v>432</v>
      </c>
      <c r="I277" s="536">
        <v>950575929</v>
      </c>
      <c r="J277" s="59" t="s">
        <v>1209</v>
      </c>
      <c r="K277" s="591">
        <v>46064</v>
      </c>
      <c r="L277" s="59" t="s">
        <v>1863</v>
      </c>
      <c r="M277" s="536" t="s">
        <v>323</v>
      </c>
      <c r="N277" s="59" t="s">
        <v>241</v>
      </c>
      <c r="O277" s="442">
        <v>46073</v>
      </c>
      <c r="P277" s="612" t="s">
        <v>292</v>
      </c>
      <c r="Q277" s="830" t="s">
        <v>339</v>
      </c>
      <c r="R277" s="612"/>
      <c r="S277" s="59"/>
      <c r="T277" s="59"/>
      <c r="U277" s="59"/>
      <c r="V277" s="59"/>
      <c r="W277" s="59"/>
      <c r="X277" s="59"/>
      <c r="Y277" s="59"/>
      <c r="Z277" s="59"/>
      <c r="AA277" s="59"/>
      <c r="AB277" s="59"/>
      <c r="AC277" s="59"/>
      <c r="AD277" s="91"/>
      <c r="AE277" s="91"/>
      <c r="AF277" s="91"/>
      <c r="AG277" s="91"/>
    </row>
    <row r="278" spans="1:33">
      <c r="A278" s="534"/>
      <c r="B278" s="534">
        <v>276</v>
      </c>
      <c r="C278" s="534">
        <v>191833</v>
      </c>
      <c r="D278" s="534">
        <v>15733324</v>
      </c>
      <c r="E278" s="50" t="s">
        <v>1864</v>
      </c>
      <c r="F278" s="534">
        <v>54</v>
      </c>
      <c r="G278" s="49" t="s">
        <v>1865</v>
      </c>
      <c r="H278" s="49" t="s">
        <v>278</v>
      </c>
      <c r="I278" s="534">
        <v>940299950</v>
      </c>
      <c r="J278" s="49" t="s">
        <v>238</v>
      </c>
      <c r="K278" s="535">
        <v>46064</v>
      </c>
      <c r="L278" s="49" t="s">
        <v>376</v>
      </c>
      <c r="M278" s="534" t="s">
        <v>230</v>
      </c>
      <c r="N278" s="49" t="s">
        <v>1730</v>
      </c>
      <c r="O278" s="53">
        <v>46073</v>
      </c>
      <c r="P278" s="546"/>
      <c r="Q278" s="634"/>
      <c r="R278" s="566"/>
      <c r="S278" s="49"/>
      <c r="T278" s="49"/>
      <c r="U278" s="49"/>
      <c r="V278" s="49"/>
      <c r="W278" s="49"/>
      <c r="X278" s="49"/>
      <c r="Y278" s="49"/>
      <c r="Z278" s="49"/>
      <c r="AA278" s="49"/>
      <c r="AB278" s="49"/>
      <c r="AC278" s="49"/>
      <c r="AD278" s="91"/>
      <c r="AE278" s="91"/>
      <c r="AF278" s="91"/>
      <c r="AG278" s="91"/>
    </row>
    <row r="279" spans="1:33">
      <c r="A279" s="534" t="s">
        <v>1866</v>
      </c>
      <c r="B279" s="534">
        <v>277</v>
      </c>
      <c r="C279" s="534">
        <v>226834</v>
      </c>
      <c r="D279" s="534">
        <v>16016520</v>
      </c>
      <c r="E279" s="50" t="s">
        <v>1867</v>
      </c>
      <c r="F279" s="534">
        <v>52</v>
      </c>
      <c r="G279" s="49" t="s">
        <v>1868</v>
      </c>
      <c r="H279" s="49" t="s">
        <v>237</v>
      </c>
      <c r="I279" s="534">
        <v>929268015</v>
      </c>
      <c r="J279" s="49" t="s">
        <v>238</v>
      </c>
      <c r="K279" s="535">
        <v>46064</v>
      </c>
      <c r="L279" s="49" t="s">
        <v>1869</v>
      </c>
      <c r="M279" s="534" t="s">
        <v>312</v>
      </c>
      <c r="N279" s="49" t="s">
        <v>1730</v>
      </c>
      <c r="O279" s="53">
        <v>46073</v>
      </c>
      <c r="P279" s="546"/>
      <c r="Q279" s="546" t="s">
        <v>1870</v>
      </c>
      <c r="R279" s="566"/>
      <c r="S279" s="49"/>
      <c r="T279" s="49"/>
      <c r="U279" s="49"/>
      <c r="V279" s="49"/>
      <c r="W279" s="49"/>
      <c r="X279" s="49"/>
      <c r="Y279" s="49"/>
      <c r="Z279" s="49"/>
      <c r="AA279" s="49"/>
      <c r="AB279" s="49"/>
      <c r="AC279" s="49"/>
      <c r="AD279" s="91"/>
      <c r="AE279" s="91"/>
      <c r="AF279" s="91"/>
      <c r="AG279" s="91"/>
    </row>
    <row r="280" spans="1:33">
      <c r="A280" s="534"/>
      <c r="B280" s="534">
        <v>278</v>
      </c>
      <c r="C280" s="534">
        <v>62373</v>
      </c>
      <c r="D280" s="534">
        <v>15687547</v>
      </c>
      <c r="E280" s="50" t="s">
        <v>1871</v>
      </c>
      <c r="F280" s="534">
        <v>62</v>
      </c>
      <c r="G280" s="49" t="s">
        <v>1872</v>
      </c>
      <c r="H280" s="49" t="s">
        <v>301</v>
      </c>
      <c r="I280" s="534">
        <v>984166206</v>
      </c>
      <c r="J280" s="49" t="s">
        <v>380</v>
      </c>
      <c r="K280" s="535">
        <v>46064</v>
      </c>
      <c r="L280" s="49" t="s">
        <v>376</v>
      </c>
      <c r="M280" s="534" t="s">
        <v>230</v>
      </c>
      <c r="N280" s="49" t="s">
        <v>1730</v>
      </c>
      <c r="O280" s="437">
        <v>46093</v>
      </c>
      <c r="P280" s="546" t="s">
        <v>1873</v>
      </c>
      <c r="Q280" s="809" t="s">
        <v>334</v>
      </c>
      <c r="R280" s="566"/>
      <c r="S280" s="49"/>
      <c r="T280" s="49"/>
      <c r="U280" s="49"/>
      <c r="V280" s="49"/>
      <c r="W280" s="49"/>
      <c r="X280" s="49"/>
      <c r="Y280" s="49"/>
      <c r="Z280" s="49"/>
      <c r="AA280" s="49"/>
      <c r="AB280" s="49"/>
      <c r="AC280" s="49"/>
      <c r="AD280" s="91"/>
      <c r="AE280" s="91"/>
      <c r="AF280" s="91"/>
      <c r="AG280" s="91"/>
    </row>
    <row r="281" spans="1:33">
      <c r="A281" s="534"/>
      <c r="B281" s="534">
        <v>279</v>
      </c>
      <c r="C281" s="534">
        <v>117104</v>
      </c>
      <c r="D281" s="534">
        <v>41219645</v>
      </c>
      <c r="E281" s="50" t="s">
        <v>1874</v>
      </c>
      <c r="F281" s="534">
        <v>44</v>
      </c>
      <c r="G281" s="49" t="s">
        <v>1875</v>
      </c>
      <c r="H281" s="49" t="s">
        <v>237</v>
      </c>
      <c r="I281" s="534">
        <v>921636334</v>
      </c>
      <c r="J281" s="49" t="s">
        <v>238</v>
      </c>
      <c r="K281" s="535">
        <v>46064</v>
      </c>
      <c r="L281" s="49" t="s">
        <v>388</v>
      </c>
      <c r="M281" s="534" t="s">
        <v>230</v>
      </c>
      <c r="N281" s="49" t="s">
        <v>241</v>
      </c>
      <c r="O281" s="53">
        <v>46073</v>
      </c>
      <c r="P281" s="546"/>
      <c r="Q281" s="546" t="s">
        <v>1612</v>
      </c>
      <c r="R281" s="566"/>
      <c r="S281" s="49"/>
      <c r="T281" s="49"/>
      <c r="U281" s="49"/>
      <c r="V281" s="49"/>
      <c r="W281" s="49"/>
      <c r="X281" s="49"/>
      <c r="Y281" s="49"/>
      <c r="Z281" s="49"/>
      <c r="AA281" s="49"/>
      <c r="AB281" s="49"/>
      <c r="AC281" s="49"/>
      <c r="AD281" s="91"/>
      <c r="AE281" s="91"/>
      <c r="AF281" s="91"/>
      <c r="AG281" s="91"/>
    </row>
    <row r="282" spans="1:33">
      <c r="A282" s="534"/>
      <c r="B282" s="534">
        <v>280</v>
      </c>
      <c r="C282" s="534">
        <v>151351</v>
      </c>
      <c r="D282" s="534">
        <v>41316238</v>
      </c>
      <c r="E282" s="50" t="s">
        <v>1876</v>
      </c>
      <c r="F282" s="534">
        <v>43</v>
      </c>
      <c r="G282" s="49" t="s">
        <v>1877</v>
      </c>
      <c r="H282" s="49" t="s">
        <v>222</v>
      </c>
      <c r="I282" s="534">
        <v>982262991</v>
      </c>
      <c r="J282" s="49" t="s">
        <v>223</v>
      </c>
      <c r="K282" s="535">
        <v>46064</v>
      </c>
      <c r="L282" s="49" t="s">
        <v>376</v>
      </c>
      <c r="M282" s="534" t="s">
        <v>230</v>
      </c>
      <c r="N282" s="49" t="s">
        <v>1730</v>
      </c>
      <c r="O282" s="437">
        <v>46073</v>
      </c>
      <c r="P282" s="546" t="s">
        <v>292</v>
      </c>
      <c r="Q282" s="802">
        <v>46082</v>
      </c>
      <c r="R282" s="534" t="s">
        <v>318</v>
      </c>
      <c r="S282" s="49"/>
      <c r="T282" s="49"/>
      <c r="U282" s="49"/>
      <c r="V282" s="49"/>
      <c r="W282" s="49"/>
      <c r="X282" s="49"/>
      <c r="Y282" s="49"/>
      <c r="Z282" s="49"/>
      <c r="AA282" s="49"/>
      <c r="AB282" s="49"/>
      <c r="AC282" s="49"/>
      <c r="AD282" s="91"/>
      <c r="AE282" s="91"/>
      <c r="AF282" s="91"/>
      <c r="AG282" s="91"/>
    </row>
    <row r="283" spans="1:33">
      <c r="A283" s="534" t="s">
        <v>1822</v>
      </c>
      <c r="B283" s="534">
        <v>281</v>
      </c>
      <c r="C283" s="534">
        <v>125235</v>
      </c>
      <c r="D283" s="534">
        <v>15720051</v>
      </c>
      <c r="E283" s="50" t="s">
        <v>1878</v>
      </c>
      <c r="F283" s="534">
        <v>56</v>
      </c>
      <c r="G283" s="49" t="s">
        <v>1879</v>
      </c>
      <c r="H283" s="49" t="s">
        <v>326</v>
      </c>
      <c r="I283" s="534">
        <v>940737818</v>
      </c>
      <c r="J283" s="49" t="s">
        <v>238</v>
      </c>
      <c r="K283" s="535">
        <v>46064</v>
      </c>
      <c r="L283" s="43" t="s">
        <v>1819</v>
      </c>
      <c r="M283" s="534" t="s">
        <v>312</v>
      </c>
      <c r="N283" s="49" t="s">
        <v>241</v>
      </c>
      <c r="O283" s="53">
        <v>46073</v>
      </c>
      <c r="P283" s="546"/>
      <c r="Q283" s="546" t="s">
        <v>1438</v>
      </c>
      <c r="R283" s="566"/>
      <c r="S283" s="49"/>
      <c r="T283" s="49"/>
      <c r="U283" s="49"/>
      <c r="V283" s="49"/>
      <c r="W283" s="49"/>
      <c r="X283" s="49"/>
      <c r="Y283" s="49"/>
      <c r="Z283" s="49"/>
      <c r="AA283" s="49"/>
      <c r="AB283" s="49"/>
      <c r="AC283" s="49"/>
      <c r="AD283" s="91"/>
      <c r="AE283" s="91"/>
      <c r="AF283" s="91"/>
      <c r="AG283" s="91"/>
    </row>
    <row r="284" spans="1:33">
      <c r="A284" s="533">
        <v>46065</v>
      </c>
      <c r="B284" s="534">
        <v>282</v>
      </c>
      <c r="C284" s="534"/>
      <c r="D284" s="534">
        <v>22757646</v>
      </c>
      <c r="E284" s="50" t="s">
        <v>1880</v>
      </c>
      <c r="F284" s="534">
        <v>49</v>
      </c>
      <c r="G284" s="49" t="s">
        <v>1881</v>
      </c>
      <c r="H284" s="49" t="s">
        <v>326</v>
      </c>
      <c r="I284" s="534">
        <v>950261949</v>
      </c>
      <c r="J284" s="49" t="s">
        <v>617</v>
      </c>
      <c r="K284" s="544">
        <v>46065</v>
      </c>
      <c r="L284" s="49" t="s">
        <v>1882</v>
      </c>
      <c r="M284" s="534" t="s">
        <v>312</v>
      </c>
      <c r="N284" s="49" t="s">
        <v>241</v>
      </c>
      <c r="O284" s="437">
        <v>46073</v>
      </c>
      <c r="P284" s="546" t="s">
        <v>292</v>
      </c>
      <c r="Q284" s="802">
        <v>46082</v>
      </c>
      <c r="R284" s="566" t="s">
        <v>242</v>
      </c>
      <c r="S284" s="49"/>
      <c r="T284" s="49"/>
      <c r="U284" s="49"/>
      <c r="V284" s="49"/>
      <c r="W284" s="49"/>
      <c r="X284" s="49"/>
      <c r="Y284" s="49"/>
      <c r="Z284" s="49"/>
      <c r="AA284" s="49"/>
      <c r="AB284" s="49"/>
      <c r="AC284" s="49"/>
      <c r="AD284" s="91"/>
      <c r="AE284" s="91"/>
      <c r="AF284" s="91"/>
      <c r="AG284" s="91"/>
    </row>
    <row r="285" spans="1:33">
      <c r="A285" s="546"/>
      <c r="B285" s="534">
        <v>283</v>
      </c>
      <c r="C285" s="534">
        <v>522901</v>
      </c>
      <c r="D285" s="539">
        <v>15984098</v>
      </c>
      <c r="E285" s="48" t="s">
        <v>1883</v>
      </c>
      <c r="F285" s="564">
        <v>60</v>
      </c>
      <c r="G285" s="54" t="s">
        <v>1884</v>
      </c>
      <c r="H285" s="54" t="s">
        <v>1885</v>
      </c>
      <c r="I285" s="539">
        <v>940511012</v>
      </c>
      <c r="J285" s="54" t="s">
        <v>164</v>
      </c>
      <c r="K285" s="544">
        <v>46065</v>
      </c>
      <c r="L285" s="43" t="s">
        <v>1156</v>
      </c>
      <c r="M285" s="534" t="s">
        <v>230</v>
      </c>
      <c r="N285" s="49" t="s">
        <v>241</v>
      </c>
      <c r="O285" s="53">
        <v>46073</v>
      </c>
      <c r="P285" s="414" t="s">
        <v>1630</v>
      </c>
      <c r="Q285" s="471" t="s">
        <v>358</v>
      </c>
      <c r="R285" s="566"/>
      <c r="S285" s="49"/>
      <c r="T285" s="49"/>
      <c r="U285" s="49"/>
      <c r="V285" s="49"/>
      <c r="W285" s="49"/>
      <c r="X285" s="49"/>
      <c r="Y285" s="49"/>
      <c r="Z285" s="49"/>
      <c r="AA285" s="49"/>
      <c r="AB285" s="49"/>
      <c r="AC285" s="49"/>
      <c r="AD285" s="91"/>
      <c r="AE285" s="91"/>
      <c r="AF285" s="91"/>
      <c r="AG285" s="91"/>
    </row>
    <row r="286" spans="1:33">
      <c r="A286" s="544"/>
      <c r="B286" s="534">
        <v>284</v>
      </c>
      <c r="C286" s="566">
        <v>132777</v>
      </c>
      <c r="D286" s="479">
        <v>42514016</v>
      </c>
      <c r="E286" s="58" t="s">
        <v>1886</v>
      </c>
      <c r="F286" s="479">
        <v>41</v>
      </c>
      <c r="G286" s="430" t="s">
        <v>1872</v>
      </c>
      <c r="H286" s="430" t="s">
        <v>301</v>
      </c>
      <c r="I286" s="479">
        <v>984166206</v>
      </c>
      <c r="J286" s="47" t="s">
        <v>302</v>
      </c>
      <c r="K286" s="544">
        <v>46065</v>
      </c>
      <c r="L286" s="48" t="s">
        <v>584</v>
      </c>
      <c r="M286" s="534" t="s">
        <v>260</v>
      </c>
      <c r="N286" s="49" t="s">
        <v>241</v>
      </c>
      <c r="O286" s="437">
        <v>46073</v>
      </c>
      <c r="P286" s="546" t="s">
        <v>292</v>
      </c>
      <c r="Q286" s="807">
        <v>46082</v>
      </c>
      <c r="R286" s="566" t="s">
        <v>242</v>
      </c>
      <c r="S286" s="48"/>
      <c r="T286" s="48"/>
      <c r="U286" s="48"/>
      <c r="V286" s="48"/>
      <c r="W286" s="48"/>
      <c r="X286" s="48"/>
      <c r="Y286" s="48"/>
      <c r="Z286" s="48"/>
      <c r="AA286" s="48"/>
      <c r="AB286" s="48"/>
      <c r="AC286" s="48"/>
      <c r="AD286" s="91"/>
      <c r="AE286" s="91"/>
      <c r="AF286" s="91"/>
      <c r="AG286" s="91"/>
    </row>
    <row r="287" spans="1:33">
      <c r="A287" s="534"/>
      <c r="B287" s="534">
        <v>285</v>
      </c>
      <c r="C287" s="534">
        <v>269339</v>
      </c>
      <c r="D287" s="534">
        <v>44538193</v>
      </c>
      <c r="E287" s="50" t="s">
        <v>1887</v>
      </c>
      <c r="F287" s="534">
        <v>42</v>
      </c>
      <c r="G287" s="49" t="s">
        <v>1888</v>
      </c>
      <c r="H287" s="49" t="s">
        <v>246</v>
      </c>
      <c r="I287" s="534">
        <v>967098694</v>
      </c>
      <c r="J287" s="49" t="s">
        <v>707</v>
      </c>
      <c r="K287" s="544">
        <v>46065</v>
      </c>
      <c r="L287" s="49" t="s">
        <v>1156</v>
      </c>
      <c r="M287" s="534" t="s">
        <v>230</v>
      </c>
      <c r="N287" s="49" t="s">
        <v>241</v>
      </c>
      <c r="O287" s="437">
        <v>46073</v>
      </c>
      <c r="P287" s="546" t="s">
        <v>292</v>
      </c>
      <c r="Q287" s="807">
        <v>46082</v>
      </c>
      <c r="R287" s="566" t="s">
        <v>242</v>
      </c>
      <c r="S287" s="49"/>
      <c r="T287" s="49"/>
      <c r="U287" s="49"/>
      <c r="V287" s="49"/>
      <c r="W287" s="49"/>
      <c r="X287" s="49"/>
      <c r="Y287" s="49"/>
      <c r="Z287" s="49"/>
      <c r="AA287" s="49"/>
      <c r="AB287" s="49"/>
      <c r="AC287" s="49"/>
      <c r="AD287" s="91"/>
      <c r="AE287" s="91"/>
      <c r="AF287" s="91"/>
      <c r="AG287" s="91"/>
    </row>
    <row r="288" spans="1:33">
      <c r="A288" s="534"/>
      <c r="B288" s="534">
        <v>286</v>
      </c>
      <c r="C288" s="534">
        <v>522904</v>
      </c>
      <c r="D288" s="534">
        <v>15997791</v>
      </c>
      <c r="E288" s="50" t="s">
        <v>1889</v>
      </c>
      <c r="F288" s="534">
        <v>58</v>
      </c>
      <c r="G288" s="49" t="s">
        <v>1890</v>
      </c>
      <c r="H288" s="49" t="s">
        <v>461</v>
      </c>
      <c r="I288" s="534">
        <v>930249092</v>
      </c>
      <c r="J288" s="49" t="s">
        <v>162</v>
      </c>
      <c r="K288" s="544">
        <v>46065</v>
      </c>
      <c r="L288" s="49" t="s">
        <v>790</v>
      </c>
      <c r="M288" s="534" t="s">
        <v>312</v>
      </c>
      <c r="N288" s="49" t="s">
        <v>1730</v>
      </c>
      <c r="O288" s="53">
        <v>46073</v>
      </c>
      <c r="P288" s="546" t="s">
        <v>1330</v>
      </c>
      <c r="Q288" s="471" t="s">
        <v>358</v>
      </c>
      <c r="R288" s="566"/>
      <c r="S288" s="49"/>
      <c r="T288" s="49"/>
      <c r="U288" s="49"/>
      <c r="V288" s="49"/>
      <c r="W288" s="49"/>
      <c r="X288" s="49"/>
      <c r="Y288" s="49"/>
      <c r="Z288" s="49"/>
      <c r="AA288" s="49"/>
      <c r="AB288" s="49"/>
      <c r="AC288" s="49"/>
      <c r="AD288" s="91"/>
      <c r="AE288" s="91"/>
      <c r="AF288" s="91"/>
      <c r="AG288" s="91"/>
    </row>
    <row r="289" spans="1:33">
      <c r="A289" s="534"/>
      <c r="B289" s="534">
        <v>287</v>
      </c>
      <c r="C289" s="534">
        <v>522907</v>
      </c>
      <c r="D289" s="534">
        <v>15755776</v>
      </c>
      <c r="E289" s="50" t="s">
        <v>1891</v>
      </c>
      <c r="F289" s="534">
        <v>51</v>
      </c>
      <c r="G289" s="49" t="s">
        <v>1892</v>
      </c>
      <c r="H289" s="49" t="s">
        <v>271</v>
      </c>
      <c r="I289" s="534">
        <v>949345706</v>
      </c>
      <c r="J289" s="49" t="s">
        <v>164</v>
      </c>
      <c r="K289" s="544">
        <v>46065</v>
      </c>
      <c r="L289" s="49" t="s">
        <v>1893</v>
      </c>
      <c r="M289" s="534" t="s">
        <v>260</v>
      </c>
      <c r="N289" s="49" t="s">
        <v>241</v>
      </c>
      <c r="O289" s="53">
        <v>46073</v>
      </c>
      <c r="P289" s="414" t="s">
        <v>1630</v>
      </c>
      <c r="Q289" s="471" t="s">
        <v>358</v>
      </c>
      <c r="R289" s="566"/>
      <c r="S289" s="49"/>
      <c r="T289" s="49"/>
      <c r="U289" s="49"/>
      <c r="V289" s="49"/>
      <c r="W289" s="49"/>
      <c r="X289" s="49"/>
      <c r="Y289" s="49"/>
      <c r="Z289" s="49"/>
      <c r="AA289" s="49"/>
      <c r="AB289" s="49"/>
      <c r="AC289" s="49"/>
      <c r="AD289" s="91"/>
      <c r="AE289" s="91"/>
      <c r="AF289" s="91"/>
      <c r="AG289" s="91"/>
    </row>
    <row r="290" spans="1:33">
      <c r="A290" s="534"/>
      <c r="B290" s="534">
        <v>288</v>
      </c>
      <c r="C290" s="534">
        <v>344396</v>
      </c>
      <c r="D290" s="534">
        <v>43910677</v>
      </c>
      <c r="E290" s="50" t="s">
        <v>1894</v>
      </c>
      <c r="F290" s="534">
        <v>39</v>
      </c>
      <c r="G290" s="49" t="s">
        <v>1895</v>
      </c>
      <c r="H290" s="49" t="s">
        <v>278</v>
      </c>
      <c r="I290" s="534">
        <v>957836837</v>
      </c>
      <c r="J290" s="49" t="s">
        <v>238</v>
      </c>
      <c r="K290" s="544">
        <v>46065</v>
      </c>
      <c r="L290" s="49" t="s">
        <v>584</v>
      </c>
      <c r="M290" s="534" t="s">
        <v>260</v>
      </c>
      <c r="N290" s="49" t="s">
        <v>241</v>
      </c>
      <c r="O290" s="53">
        <v>46073</v>
      </c>
      <c r="P290" s="546"/>
      <c r="Q290" s="634"/>
      <c r="R290" s="566"/>
      <c r="S290" s="49"/>
      <c r="T290" s="49"/>
      <c r="U290" s="49"/>
      <c r="V290" s="49"/>
      <c r="W290" s="49"/>
      <c r="X290" s="49"/>
      <c r="Y290" s="49"/>
      <c r="Z290" s="49"/>
      <c r="AA290" s="49"/>
      <c r="AB290" s="49"/>
      <c r="AC290" s="49"/>
      <c r="AD290" s="91"/>
      <c r="AE290" s="91"/>
      <c r="AF290" s="91"/>
      <c r="AG290" s="91"/>
    </row>
    <row r="291" spans="1:33" ht="24.75">
      <c r="A291" s="544"/>
      <c r="B291" s="534">
        <v>289</v>
      </c>
      <c r="C291" s="566">
        <v>522909</v>
      </c>
      <c r="D291" s="564">
        <v>7458714</v>
      </c>
      <c r="E291" s="430" t="s">
        <v>1896</v>
      </c>
      <c r="F291" s="564">
        <v>44</v>
      </c>
      <c r="G291" s="430" t="s">
        <v>1897</v>
      </c>
      <c r="H291" s="430" t="s">
        <v>271</v>
      </c>
      <c r="I291" s="564">
        <v>937442437</v>
      </c>
      <c r="J291" s="54" t="s">
        <v>164</v>
      </c>
      <c r="K291" s="544">
        <v>46065</v>
      </c>
      <c r="L291" s="48" t="s">
        <v>1898</v>
      </c>
      <c r="M291" s="566" t="s">
        <v>260</v>
      </c>
      <c r="N291" s="48" t="s">
        <v>241</v>
      </c>
      <c r="O291" s="441">
        <v>46083</v>
      </c>
      <c r="P291" s="414" t="s">
        <v>1899</v>
      </c>
      <c r="Q291" s="471" t="s">
        <v>358</v>
      </c>
      <c r="R291" s="566"/>
      <c r="S291" s="48"/>
      <c r="T291" s="48"/>
      <c r="U291" s="48"/>
      <c r="V291" s="48"/>
      <c r="W291" s="48"/>
      <c r="X291" s="48"/>
      <c r="Y291" s="48"/>
      <c r="Z291" s="48"/>
      <c r="AA291" s="48"/>
      <c r="AB291" s="48"/>
      <c r="AC291" s="48"/>
      <c r="AD291" s="91"/>
      <c r="AE291" s="91"/>
      <c r="AF291" s="91"/>
      <c r="AG291" s="91"/>
    </row>
    <row r="292" spans="1:33">
      <c r="A292" s="544"/>
      <c r="B292" s="534">
        <v>290</v>
      </c>
      <c r="C292" s="566">
        <v>522910</v>
      </c>
      <c r="D292" s="564">
        <v>41377099</v>
      </c>
      <c r="E292" s="430" t="s">
        <v>1900</v>
      </c>
      <c r="F292" s="564">
        <v>43</v>
      </c>
      <c r="G292" s="430" t="s">
        <v>1901</v>
      </c>
      <c r="H292" s="430" t="s">
        <v>461</v>
      </c>
      <c r="I292" s="564">
        <v>9399043025</v>
      </c>
      <c r="J292" s="54" t="s">
        <v>162</v>
      </c>
      <c r="K292" s="544">
        <v>46065</v>
      </c>
      <c r="L292" s="48" t="s">
        <v>1902</v>
      </c>
      <c r="M292" s="534" t="s">
        <v>312</v>
      </c>
      <c r="N292" s="49" t="s">
        <v>241</v>
      </c>
      <c r="O292" s="53">
        <v>46073</v>
      </c>
      <c r="P292" s="546" t="s">
        <v>1330</v>
      </c>
      <c r="Q292" s="471" t="s">
        <v>358</v>
      </c>
      <c r="R292" s="566"/>
      <c r="S292" s="48"/>
      <c r="T292" s="48"/>
      <c r="U292" s="48"/>
      <c r="V292" s="48"/>
      <c r="W292" s="48"/>
      <c r="X292" s="48"/>
      <c r="Y292" s="48"/>
      <c r="Z292" s="48"/>
      <c r="AA292" s="48"/>
      <c r="AB292" s="48"/>
      <c r="AC292" s="48"/>
      <c r="AD292" s="91"/>
      <c r="AE292" s="91"/>
      <c r="AF292" s="91"/>
      <c r="AG292" s="91"/>
    </row>
    <row r="293" spans="1:33">
      <c r="A293" s="540" t="s">
        <v>513</v>
      </c>
      <c r="B293" s="534">
        <v>291</v>
      </c>
      <c r="C293" s="534">
        <v>109396</v>
      </c>
      <c r="D293" s="479">
        <v>41566089</v>
      </c>
      <c r="E293" s="58" t="s">
        <v>1903</v>
      </c>
      <c r="F293" s="479">
        <v>43</v>
      </c>
      <c r="G293" s="430" t="s">
        <v>1904</v>
      </c>
      <c r="H293" s="430" t="s">
        <v>1217</v>
      </c>
      <c r="I293" s="479">
        <v>925465377</v>
      </c>
      <c r="J293" s="47" t="s">
        <v>1905</v>
      </c>
      <c r="K293" s="544">
        <v>46065</v>
      </c>
      <c r="L293" s="49" t="s">
        <v>1156</v>
      </c>
      <c r="M293" s="534" t="s">
        <v>230</v>
      </c>
      <c r="N293" s="49" t="s">
        <v>241</v>
      </c>
      <c r="O293" s="49"/>
      <c r="P293" s="546"/>
      <c r="Q293" s="802">
        <v>46082</v>
      </c>
      <c r="R293" s="566" t="s">
        <v>242</v>
      </c>
      <c r="S293" s="49"/>
      <c r="T293" s="49"/>
      <c r="U293" s="49"/>
      <c r="V293" s="49"/>
      <c r="W293" s="49"/>
      <c r="X293" s="49"/>
      <c r="Y293" s="49"/>
      <c r="Z293" s="49"/>
      <c r="AA293" s="49"/>
      <c r="AB293" s="49"/>
      <c r="AC293" s="49"/>
      <c r="AD293" s="91"/>
      <c r="AE293" s="91"/>
      <c r="AF293" s="91"/>
      <c r="AG293" s="91"/>
    </row>
    <row r="294" spans="1:33">
      <c r="A294" s="534"/>
      <c r="B294" s="534">
        <v>292</v>
      </c>
      <c r="C294" s="534">
        <v>90408</v>
      </c>
      <c r="D294" s="534">
        <v>40262651</v>
      </c>
      <c r="E294" s="50" t="s">
        <v>1906</v>
      </c>
      <c r="F294" s="534">
        <v>46</v>
      </c>
      <c r="G294" s="49" t="s">
        <v>1907</v>
      </c>
      <c r="H294" s="49" t="s">
        <v>278</v>
      </c>
      <c r="I294" s="534">
        <v>949423909</v>
      </c>
      <c r="J294" s="49" t="s">
        <v>384</v>
      </c>
      <c r="K294" s="535">
        <v>46064</v>
      </c>
      <c r="L294" s="49" t="s">
        <v>1908</v>
      </c>
      <c r="M294" s="534" t="s">
        <v>312</v>
      </c>
      <c r="N294" s="49" t="s">
        <v>1701</v>
      </c>
      <c r="O294" s="437">
        <v>46073</v>
      </c>
      <c r="P294" s="546" t="s">
        <v>292</v>
      </c>
      <c r="Q294" s="802">
        <v>46082</v>
      </c>
      <c r="R294" s="808">
        <v>46082</v>
      </c>
      <c r="S294" s="49"/>
      <c r="T294" s="49"/>
      <c r="U294" s="49"/>
      <c r="V294" s="49"/>
      <c r="W294" s="49"/>
      <c r="X294" s="49"/>
      <c r="Y294" s="49"/>
      <c r="Z294" s="49"/>
      <c r="AA294" s="49"/>
      <c r="AB294" s="49"/>
      <c r="AC294" s="49"/>
      <c r="AD294" s="91"/>
      <c r="AE294" s="91"/>
      <c r="AF294" s="91"/>
      <c r="AG294" s="91"/>
    </row>
    <row r="295" spans="1:33">
      <c r="A295" s="534"/>
      <c r="B295" s="534">
        <v>293</v>
      </c>
      <c r="C295" s="534">
        <v>223335</v>
      </c>
      <c r="D295" s="534">
        <v>40217318</v>
      </c>
      <c r="E295" s="50" t="s">
        <v>1909</v>
      </c>
      <c r="F295" s="534">
        <v>46</v>
      </c>
      <c r="G295" s="49" t="s">
        <v>1910</v>
      </c>
      <c r="H295" s="49" t="s">
        <v>326</v>
      </c>
      <c r="I295" s="534">
        <v>917448180</v>
      </c>
      <c r="J295" s="49" t="s">
        <v>375</v>
      </c>
      <c r="K295" s="544">
        <v>46065</v>
      </c>
      <c r="L295" s="43" t="s">
        <v>1156</v>
      </c>
      <c r="M295" s="534" t="s">
        <v>230</v>
      </c>
      <c r="N295" s="49" t="s">
        <v>241</v>
      </c>
      <c r="O295" s="437">
        <v>46073</v>
      </c>
      <c r="P295" s="546" t="s">
        <v>292</v>
      </c>
      <c r="Q295" s="807">
        <v>46082</v>
      </c>
      <c r="R295" s="566" t="s">
        <v>242</v>
      </c>
      <c r="S295" s="49"/>
      <c r="T295" s="49"/>
      <c r="U295" s="49"/>
      <c r="V295" s="49"/>
      <c r="W295" s="49"/>
      <c r="X295" s="49"/>
      <c r="Y295" s="49"/>
      <c r="Z295" s="49"/>
      <c r="AA295" s="49"/>
      <c r="AB295" s="49"/>
      <c r="AC295" s="49"/>
      <c r="AD295" s="91"/>
      <c r="AE295" s="91"/>
      <c r="AF295" s="91"/>
      <c r="AG295" s="91"/>
    </row>
    <row r="296" spans="1:33">
      <c r="A296" s="534"/>
      <c r="B296" s="534">
        <v>294</v>
      </c>
      <c r="C296" s="534">
        <v>79913</v>
      </c>
      <c r="D296" s="534">
        <v>15613948</v>
      </c>
      <c r="E296" s="50" t="s">
        <v>1911</v>
      </c>
      <c r="F296" s="534">
        <v>62</v>
      </c>
      <c r="G296" s="49" t="s">
        <v>1912</v>
      </c>
      <c r="H296" s="49" t="s">
        <v>278</v>
      </c>
      <c r="I296" s="534">
        <v>940224985</v>
      </c>
      <c r="J296" s="49" t="s">
        <v>238</v>
      </c>
      <c r="K296" s="543">
        <v>46065</v>
      </c>
      <c r="L296" s="49" t="s">
        <v>747</v>
      </c>
      <c r="M296" s="534" t="s">
        <v>230</v>
      </c>
      <c r="N296" s="49" t="s">
        <v>1730</v>
      </c>
      <c r="O296" s="53">
        <v>46073</v>
      </c>
      <c r="P296" s="546"/>
      <c r="Q296" s="634"/>
      <c r="R296" s="566"/>
      <c r="S296" s="49"/>
      <c r="T296" s="49"/>
      <c r="U296" s="49"/>
      <c r="V296" s="49"/>
      <c r="W296" s="49"/>
      <c r="X296" s="49"/>
      <c r="Y296" s="49"/>
      <c r="Z296" s="49"/>
      <c r="AA296" s="49"/>
      <c r="AB296" s="49"/>
      <c r="AC296" s="49"/>
      <c r="AD296" s="91"/>
      <c r="AE296" s="91"/>
      <c r="AF296" s="91"/>
      <c r="AG296" s="91"/>
    </row>
    <row r="297" spans="1:33">
      <c r="A297" s="534"/>
      <c r="B297" s="534">
        <v>295</v>
      </c>
      <c r="C297" s="534">
        <v>461342</v>
      </c>
      <c r="D297" s="534">
        <v>41490132</v>
      </c>
      <c r="E297" s="50" t="s">
        <v>1913</v>
      </c>
      <c r="F297" s="534">
        <v>44</v>
      </c>
      <c r="G297" s="49" t="s">
        <v>1914</v>
      </c>
      <c r="H297" s="49" t="s">
        <v>326</v>
      </c>
      <c r="I297" s="534">
        <v>929336748</v>
      </c>
      <c r="J297" s="49" t="s">
        <v>827</v>
      </c>
      <c r="K297" s="544">
        <v>46065</v>
      </c>
      <c r="L297" s="49" t="s">
        <v>1915</v>
      </c>
      <c r="M297" s="534" t="s">
        <v>260</v>
      </c>
      <c r="N297" s="49" t="s">
        <v>241</v>
      </c>
      <c r="O297" s="437">
        <v>46104</v>
      </c>
      <c r="P297" s="546" t="s">
        <v>1798</v>
      </c>
      <c r="Q297" s="809" t="s">
        <v>334</v>
      </c>
      <c r="R297" s="566"/>
      <c r="S297" s="49"/>
      <c r="T297" s="49"/>
      <c r="U297" s="49"/>
      <c r="V297" s="49"/>
      <c r="W297" s="49"/>
      <c r="X297" s="49"/>
      <c r="Y297" s="49"/>
      <c r="Z297" s="49"/>
      <c r="AA297" s="49"/>
      <c r="AB297" s="49"/>
      <c r="AC297" s="49"/>
      <c r="AD297" s="91"/>
      <c r="AE297" s="91"/>
      <c r="AF297" s="91"/>
      <c r="AG297" s="91"/>
    </row>
    <row r="298" spans="1:33">
      <c r="A298" s="534" t="s">
        <v>1822</v>
      </c>
      <c r="B298" s="534">
        <v>296</v>
      </c>
      <c r="C298" s="534">
        <v>268541</v>
      </c>
      <c r="D298" s="534">
        <v>80271120</v>
      </c>
      <c r="E298" s="50" t="s">
        <v>1916</v>
      </c>
      <c r="F298" s="534">
        <v>46</v>
      </c>
      <c r="G298" s="49" t="s">
        <v>1917</v>
      </c>
      <c r="H298" s="49" t="s">
        <v>278</v>
      </c>
      <c r="I298" s="534">
        <v>959151764</v>
      </c>
      <c r="J298" s="49" t="s">
        <v>384</v>
      </c>
      <c r="K298" s="535">
        <v>46064</v>
      </c>
      <c r="L298" s="49" t="s">
        <v>584</v>
      </c>
      <c r="M298" s="534" t="s">
        <v>230</v>
      </c>
      <c r="N298" s="49" t="s">
        <v>241</v>
      </c>
      <c r="O298" s="437">
        <v>46073</v>
      </c>
      <c r="P298" s="546" t="s">
        <v>292</v>
      </c>
      <c r="Q298" s="802">
        <v>46082</v>
      </c>
      <c r="R298" s="808">
        <v>46082</v>
      </c>
      <c r="S298" s="49"/>
      <c r="T298" s="49"/>
      <c r="U298" s="49"/>
      <c r="V298" s="49"/>
      <c r="W298" s="49"/>
      <c r="X298" s="49"/>
      <c r="Y298" s="49"/>
      <c r="Z298" s="49"/>
      <c r="AA298" s="49"/>
      <c r="AB298" s="49"/>
      <c r="AC298" s="49"/>
      <c r="AD298" s="91"/>
      <c r="AE298" s="91"/>
      <c r="AF298" s="91"/>
      <c r="AG298" s="91"/>
    </row>
    <row r="299" spans="1:33">
      <c r="A299" s="534"/>
      <c r="B299" s="534">
        <v>297</v>
      </c>
      <c r="C299" s="534">
        <v>211153</v>
      </c>
      <c r="D299" s="534">
        <v>32957803</v>
      </c>
      <c r="E299" s="50" t="s">
        <v>1918</v>
      </c>
      <c r="F299" s="534">
        <v>53</v>
      </c>
      <c r="G299" s="49" t="s">
        <v>1919</v>
      </c>
      <c r="H299" s="49" t="s">
        <v>461</v>
      </c>
      <c r="I299" s="534">
        <v>994480875</v>
      </c>
      <c r="J299" s="49" t="s">
        <v>162</v>
      </c>
      <c r="K299" s="544">
        <v>46065</v>
      </c>
      <c r="L299" s="49" t="s">
        <v>584</v>
      </c>
      <c r="M299" s="534" t="s">
        <v>230</v>
      </c>
      <c r="N299" s="49" t="s">
        <v>241</v>
      </c>
      <c r="O299" s="53">
        <v>46073</v>
      </c>
      <c r="P299" s="546" t="s">
        <v>1330</v>
      </c>
      <c r="Q299" s="471" t="s">
        <v>358</v>
      </c>
      <c r="R299" s="566"/>
      <c r="S299" s="49"/>
      <c r="T299" s="49"/>
      <c r="U299" s="49"/>
      <c r="V299" s="49"/>
      <c r="W299" s="49"/>
      <c r="X299" s="49"/>
      <c r="Y299" s="49"/>
      <c r="Z299" s="49"/>
      <c r="AA299" s="49"/>
      <c r="AB299" s="49"/>
      <c r="AC299" s="49"/>
      <c r="AD299" s="91"/>
      <c r="AE299" s="91"/>
      <c r="AF299" s="91"/>
      <c r="AG299" s="91"/>
    </row>
    <row r="300" spans="1:33">
      <c r="A300" s="534"/>
      <c r="B300" s="534">
        <v>298</v>
      </c>
      <c r="C300" s="534">
        <v>117356</v>
      </c>
      <c r="D300" s="534">
        <v>41938145</v>
      </c>
      <c r="E300" s="50" t="s">
        <v>1920</v>
      </c>
      <c r="F300" s="534">
        <v>42</v>
      </c>
      <c r="G300" s="49" t="s">
        <v>1921</v>
      </c>
      <c r="H300" s="49" t="s">
        <v>301</v>
      </c>
      <c r="I300" s="534">
        <v>981028582</v>
      </c>
      <c r="J300" s="49" t="s">
        <v>238</v>
      </c>
      <c r="K300" s="544">
        <v>46065</v>
      </c>
      <c r="L300" s="43" t="s">
        <v>1156</v>
      </c>
      <c r="M300" s="534" t="s">
        <v>230</v>
      </c>
      <c r="N300" s="49" t="s">
        <v>241</v>
      </c>
      <c r="O300" s="53">
        <v>46073</v>
      </c>
      <c r="P300" s="546"/>
      <c r="Q300" s="546" t="s">
        <v>1186</v>
      </c>
      <c r="R300" s="566"/>
      <c r="S300" s="49"/>
      <c r="T300" s="49"/>
      <c r="U300" s="49"/>
      <c r="V300" s="49"/>
      <c r="W300" s="49"/>
      <c r="X300" s="49"/>
      <c r="Y300" s="49"/>
      <c r="Z300" s="49"/>
      <c r="AA300" s="49"/>
      <c r="AB300" s="49"/>
      <c r="AC300" s="49"/>
      <c r="AD300" s="91"/>
      <c r="AE300" s="91"/>
      <c r="AF300" s="91"/>
      <c r="AG300" s="91"/>
    </row>
    <row r="301" spans="1:33">
      <c r="A301" s="534"/>
      <c r="B301" s="534">
        <v>299</v>
      </c>
      <c r="C301" s="534">
        <v>522920</v>
      </c>
      <c r="D301" s="534">
        <v>16004884</v>
      </c>
      <c r="E301" s="50" t="s">
        <v>1922</v>
      </c>
      <c r="F301" s="534">
        <v>55</v>
      </c>
      <c r="G301" s="49" t="s">
        <v>1923</v>
      </c>
      <c r="H301" s="49" t="s">
        <v>461</v>
      </c>
      <c r="I301" s="534">
        <v>968876251</v>
      </c>
      <c r="J301" s="49" t="s">
        <v>162</v>
      </c>
      <c r="K301" s="544">
        <v>46065</v>
      </c>
      <c r="L301" s="49" t="s">
        <v>747</v>
      </c>
      <c r="M301" s="534" t="s">
        <v>230</v>
      </c>
      <c r="N301" s="49" t="s">
        <v>1730</v>
      </c>
      <c r="O301" s="53">
        <v>46073</v>
      </c>
      <c r="P301" s="546" t="s">
        <v>1330</v>
      </c>
      <c r="Q301" s="471" t="s">
        <v>358</v>
      </c>
      <c r="R301" s="566"/>
      <c r="S301" s="49"/>
      <c r="T301" s="49"/>
      <c r="U301" s="49"/>
      <c r="V301" s="49"/>
      <c r="W301" s="49"/>
      <c r="X301" s="49"/>
      <c r="Y301" s="49"/>
      <c r="Z301" s="49"/>
      <c r="AA301" s="49"/>
      <c r="AB301" s="49"/>
      <c r="AC301" s="49"/>
      <c r="AD301" s="91"/>
      <c r="AE301" s="91"/>
      <c r="AF301" s="91"/>
      <c r="AG301" s="91"/>
    </row>
    <row r="302" spans="1:33">
      <c r="A302" s="534"/>
      <c r="B302" s="534">
        <v>300</v>
      </c>
      <c r="C302" s="534">
        <v>213666</v>
      </c>
      <c r="D302" s="534">
        <v>41683385</v>
      </c>
      <c r="E302" s="50" t="s">
        <v>1924</v>
      </c>
      <c r="F302" s="534">
        <v>47</v>
      </c>
      <c r="G302" s="49" t="s">
        <v>1925</v>
      </c>
      <c r="H302" s="49" t="s">
        <v>278</v>
      </c>
      <c r="I302" s="534">
        <v>933698042</v>
      </c>
      <c r="J302" s="49" t="s">
        <v>384</v>
      </c>
      <c r="K302" s="535">
        <v>46064</v>
      </c>
      <c r="L302" s="49" t="s">
        <v>388</v>
      </c>
      <c r="M302" s="534" t="s">
        <v>230</v>
      </c>
      <c r="N302" s="49" t="s">
        <v>241</v>
      </c>
      <c r="O302" s="437">
        <v>46073</v>
      </c>
      <c r="P302" s="546" t="s">
        <v>292</v>
      </c>
      <c r="Q302" s="802">
        <v>46082</v>
      </c>
      <c r="R302" s="808">
        <v>46082</v>
      </c>
      <c r="S302" s="49"/>
      <c r="T302" s="49"/>
      <c r="U302" s="49"/>
      <c r="V302" s="49"/>
      <c r="W302" s="49"/>
      <c r="X302" s="49"/>
      <c r="Y302" s="49"/>
      <c r="Z302" s="49"/>
      <c r="AA302" s="49"/>
      <c r="AB302" s="49"/>
      <c r="AC302" s="49"/>
      <c r="AD302" s="91"/>
      <c r="AE302" s="91"/>
      <c r="AF302" s="91"/>
      <c r="AG302" s="91"/>
    </row>
    <row r="303" spans="1:33">
      <c r="A303" s="534"/>
      <c r="B303" s="534">
        <v>301</v>
      </c>
      <c r="C303" s="534">
        <v>226005</v>
      </c>
      <c r="D303" s="534">
        <v>15761073</v>
      </c>
      <c r="E303" s="50" t="s">
        <v>1926</v>
      </c>
      <c r="F303" s="534">
        <v>48</v>
      </c>
      <c r="G303" s="49" t="s">
        <v>222</v>
      </c>
      <c r="H303" s="49" t="s">
        <v>222</v>
      </c>
      <c r="I303" s="534">
        <v>932588619</v>
      </c>
      <c r="J303" s="49" t="s">
        <v>223</v>
      </c>
      <c r="K303" s="544">
        <v>46065</v>
      </c>
      <c r="L303" s="49" t="s">
        <v>584</v>
      </c>
      <c r="M303" s="534" t="s">
        <v>230</v>
      </c>
      <c r="N303" s="49" t="s">
        <v>241</v>
      </c>
      <c r="O303" s="437">
        <v>46093</v>
      </c>
      <c r="P303" s="546" t="s">
        <v>1498</v>
      </c>
      <c r="Q303" s="802">
        <v>46082</v>
      </c>
      <c r="R303" s="534" t="s">
        <v>242</v>
      </c>
      <c r="S303" s="49"/>
      <c r="T303" s="49"/>
      <c r="U303" s="49"/>
      <c r="V303" s="49"/>
      <c r="W303" s="49"/>
      <c r="X303" s="49"/>
      <c r="Y303" s="49"/>
      <c r="Z303" s="49"/>
      <c r="AA303" s="49"/>
      <c r="AB303" s="49"/>
      <c r="AC303" s="49"/>
      <c r="AD303" s="91"/>
      <c r="AE303" s="91"/>
      <c r="AF303" s="91"/>
      <c r="AG303" s="91"/>
    </row>
    <row r="304" spans="1:33">
      <c r="A304" s="534"/>
      <c r="B304" s="534">
        <v>302</v>
      </c>
      <c r="C304" s="534">
        <v>49645</v>
      </c>
      <c r="D304" s="534">
        <v>15741276</v>
      </c>
      <c r="E304" s="50" t="s">
        <v>1927</v>
      </c>
      <c r="F304" s="534">
        <v>50</v>
      </c>
      <c r="G304" s="49" t="s">
        <v>1928</v>
      </c>
      <c r="H304" s="49" t="s">
        <v>278</v>
      </c>
      <c r="I304" s="534">
        <v>901463873</v>
      </c>
      <c r="J304" s="49" t="s">
        <v>238</v>
      </c>
      <c r="K304" s="544">
        <v>46065</v>
      </c>
      <c r="L304" s="49" t="s">
        <v>584</v>
      </c>
      <c r="M304" s="534" t="s">
        <v>230</v>
      </c>
      <c r="N304" s="49" t="s">
        <v>241</v>
      </c>
      <c r="O304" s="53">
        <v>46073</v>
      </c>
      <c r="P304" s="546"/>
      <c r="Q304" s="634"/>
      <c r="R304" s="566"/>
      <c r="S304" s="49"/>
      <c r="T304" s="49"/>
      <c r="U304" s="49"/>
      <c r="V304" s="49"/>
      <c r="W304" s="49"/>
      <c r="X304" s="49"/>
      <c r="Y304" s="49"/>
      <c r="Z304" s="49"/>
      <c r="AA304" s="49"/>
      <c r="AB304" s="49"/>
      <c r="AC304" s="49"/>
      <c r="AD304" s="91"/>
      <c r="AE304" s="91"/>
      <c r="AF304" s="91"/>
      <c r="AG304" s="91"/>
    </row>
    <row r="305" spans="1:33">
      <c r="A305" s="534"/>
      <c r="B305" s="534">
        <v>303</v>
      </c>
      <c r="C305" s="534"/>
      <c r="D305" s="534">
        <v>8028338</v>
      </c>
      <c r="E305" s="50" t="s">
        <v>1929</v>
      </c>
      <c r="F305" s="534">
        <v>53</v>
      </c>
      <c r="G305" s="49" t="s">
        <v>1930</v>
      </c>
      <c r="H305" s="49" t="s">
        <v>222</v>
      </c>
      <c r="I305" s="534">
        <v>956737495</v>
      </c>
      <c r="J305" s="49" t="s">
        <v>223</v>
      </c>
      <c r="K305" s="535">
        <v>46065</v>
      </c>
      <c r="L305" s="49" t="s">
        <v>747</v>
      </c>
      <c r="M305" s="534" t="s">
        <v>230</v>
      </c>
      <c r="N305" s="49" t="s">
        <v>1730</v>
      </c>
      <c r="O305" s="437">
        <v>46073</v>
      </c>
      <c r="P305" s="546" t="s">
        <v>292</v>
      </c>
      <c r="Q305" s="802">
        <v>46082</v>
      </c>
      <c r="R305" s="534" t="s">
        <v>318</v>
      </c>
      <c r="S305" s="49"/>
      <c r="T305" s="49"/>
      <c r="U305" s="49"/>
      <c r="V305" s="49"/>
      <c r="W305" s="49"/>
      <c r="X305" s="49"/>
      <c r="Y305" s="49"/>
      <c r="Z305" s="49"/>
      <c r="AA305" s="49"/>
      <c r="AB305" s="49"/>
      <c r="AC305" s="49"/>
      <c r="AD305" s="91"/>
      <c r="AE305" s="91"/>
      <c r="AF305" s="91"/>
      <c r="AG305" s="91"/>
    </row>
    <row r="306" spans="1:33">
      <c r="A306" s="534"/>
      <c r="B306" s="534">
        <v>304</v>
      </c>
      <c r="C306" s="534">
        <v>202137</v>
      </c>
      <c r="D306" s="534">
        <v>15727743</v>
      </c>
      <c r="E306" s="50" t="s">
        <v>1931</v>
      </c>
      <c r="F306" s="534">
        <v>54</v>
      </c>
      <c r="G306" s="49" t="s">
        <v>1932</v>
      </c>
      <c r="H306" s="49" t="s">
        <v>278</v>
      </c>
      <c r="I306" s="534">
        <v>979803210</v>
      </c>
      <c r="J306" s="49" t="s">
        <v>238</v>
      </c>
      <c r="K306" s="535">
        <v>46065</v>
      </c>
      <c r="L306" s="49" t="s">
        <v>1933</v>
      </c>
      <c r="M306" s="534" t="s">
        <v>312</v>
      </c>
      <c r="N306" s="49" t="s">
        <v>241</v>
      </c>
      <c r="O306" s="53">
        <v>46073</v>
      </c>
      <c r="P306" s="546"/>
      <c r="Q306" s="634"/>
      <c r="R306" s="566"/>
      <c r="S306" s="49"/>
      <c r="T306" s="49"/>
      <c r="U306" s="49"/>
      <c r="V306" s="49"/>
      <c r="W306" s="49"/>
      <c r="X306" s="49"/>
      <c r="Y306" s="49"/>
      <c r="Z306" s="49"/>
      <c r="AA306" s="49"/>
      <c r="AB306" s="49"/>
      <c r="AC306" s="49"/>
      <c r="AD306" s="91"/>
      <c r="AE306" s="91"/>
      <c r="AF306" s="91"/>
      <c r="AG306" s="91"/>
    </row>
    <row r="307" spans="1:33">
      <c r="A307" s="544"/>
      <c r="B307" s="534">
        <v>305</v>
      </c>
      <c r="C307" s="566">
        <v>221091</v>
      </c>
      <c r="D307" s="479">
        <v>15694364</v>
      </c>
      <c r="E307" s="58" t="s">
        <v>1934</v>
      </c>
      <c r="F307" s="479">
        <v>55</v>
      </c>
      <c r="G307" s="430" t="s">
        <v>1935</v>
      </c>
      <c r="H307" s="430" t="s">
        <v>246</v>
      </c>
      <c r="I307" s="479">
        <v>994218694</v>
      </c>
      <c r="J307" s="58" t="s">
        <v>1905</v>
      </c>
      <c r="K307" s="544">
        <v>46065</v>
      </c>
      <c r="L307" s="48" t="s">
        <v>458</v>
      </c>
      <c r="M307" s="534" t="s">
        <v>260</v>
      </c>
      <c r="N307" s="49" t="s">
        <v>241</v>
      </c>
      <c r="O307" s="437">
        <v>46073</v>
      </c>
      <c r="P307" s="546" t="s">
        <v>292</v>
      </c>
      <c r="Q307" s="812" t="s">
        <v>1936</v>
      </c>
      <c r="R307" s="566"/>
      <c r="S307" s="48"/>
      <c r="T307" s="48"/>
      <c r="U307" s="48"/>
      <c r="V307" s="48"/>
      <c r="W307" s="48"/>
      <c r="X307" s="48"/>
      <c r="Y307" s="48"/>
      <c r="Z307" s="48"/>
      <c r="AA307" s="48"/>
      <c r="AB307" s="48"/>
      <c r="AC307" s="48"/>
      <c r="AD307" s="91"/>
      <c r="AE307" s="91"/>
      <c r="AF307" s="91"/>
      <c r="AG307" s="91"/>
    </row>
    <row r="308" spans="1:33">
      <c r="A308" s="548">
        <v>46066</v>
      </c>
      <c r="B308" s="534">
        <v>306</v>
      </c>
      <c r="C308" s="534">
        <v>62324</v>
      </c>
      <c r="D308" s="534">
        <v>15721532</v>
      </c>
      <c r="E308" s="50" t="s">
        <v>1937</v>
      </c>
      <c r="F308" s="534">
        <v>50</v>
      </c>
      <c r="G308" s="49" t="s">
        <v>1938</v>
      </c>
      <c r="H308" s="49" t="s">
        <v>326</v>
      </c>
      <c r="I308" s="534" t="s">
        <v>1939</v>
      </c>
      <c r="J308" s="50" t="s">
        <v>238</v>
      </c>
      <c r="K308" s="549">
        <v>46066</v>
      </c>
      <c r="L308" s="43" t="s">
        <v>1940</v>
      </c>
      <c r="M308" s="534" t="s">
        <v>312</v>
      </c>
      <c r="N308" s="49" t="s">
        <v>601</v>
      </c>
      <c r="O308" s="53">
        <v>46073</v>
      </c>
      <c r="P308" s="546"/>
      <c r="Q308" s="546" t="s">
        <v>1941</v>
      </c>
      <c r="R308" s="566"/>
      <c r="S308" s="49"/>
      <c r="T308" s="49"/>
      <c r="U308" s="49"/>
      <c r="V308" s="49"/>
      <c r="W308" s="49"/>
      <c r="X308" s="49"/>
      <c r="Y308" s="49"/>
      <c r="Z308" s="49"/>
      <c r="AA308" s="49"/>
      <c r="AB308" s="49"/>
      <c r="AC308" s="49"/>
      <c r="AD308" s="91"/>
      <c r="AE308" s="91"/>
      <c r="AF308" s="91"/>
      <c r="AG308" s="91"/>
    </row>
    <row r="309" spans="1:33">
      <c r="A309" s="549"/>
      <c r="B309" s="534">
        <v>307</v>
      </c>
      <c r="C309" s="565">
        <v>178036</v>
      </c>
      <c r="D309" s="565">
        <v>10366096</v>
      </c>
      <c r="E309" s="430" t="s">
        <v>1942</v>
      </c>
      <c r="F309" s="565">
        <v>51</v>
      </c>
      <c r="G309" s="325" t="s">
        <v>1943</v>
      </c>
      <c r="H309" s="325" t="s">
        <v>237</v>
      </c>
      <c r="I309" s="565">
        <v>982182546</v>
      </c>
      <c r="J309" s="48" t="s">
        <v>1209</v>
      </c>
      <c r="K309" s="549">
        <v>46066</v>
      </c>
      <c r="L309" s="49" t="s">
        <v>1944</v>
      </c>
      <c r="M309" s="534" t="s">
        <v>230</v>
      </c>
      <c r="N309" s="49" t="s">
        <v>601</v>
      </c>
      <c r="O309" s="437">
        <v>46084</v>
      </c>
      <c r="P309" s="546" t="s">
        <v>292</v>
      </c>
      <c r="Q309" s="816" t="s">
        <v>334</v>
      </c>
      <c r="R309" s="539"/>
      <c r="S309" s="54"/>
      <c r="T309" s="54"/>
      <c r="U309" s="54"/>
      <c r="V309" s="54"/>
      <c r="W309" s="54"/>
      <c r="X309" s="54"/>
      <c r="Y309" s="54"/>
      <c r="Z309" s="54"/>
      <c r="AA309" s="54"/>
      <c r="AB309" s="54"/>
      <c r="AC309" s="54"/>
      <c r="AD309" s="91"/>
      <c r="AE309" s="91"/>
      <c r="AF309" s="91"/>
      <c r="AG309" s="91"/>
    </row>
    <row r="310" spans="1:33">
      <c r="A310" s="549"/>
      <c r="B310" s="534">
        <v>308</v>
      </c>
      <c r="C310" s="565">
        <v>378182</v>
      </c>
      <c r="D310" s="565">
        <v>16007400</v>
      </c>
      <c r="E310" s="430" t="s">
        <v>1945</v>
      </c>
      <c r="F310" s="565">
        <v>57</v>
      </c>
      <c r="G310" s="325" t="s">
        <v>1946</v>
      </c>
      <c r="H310" s="325" t="s">
        <v>271</v>
      </c>
      <c r="I310" s="565">
        <v>989703306</v>
      </c>
      <c r="J310" s="48" t="s">
        <v>164</v>
      </c>
      <c r="K310" s="549">
        <v>46066</v>
      </c>
      <c r="L310" s="54" t="s">
        <v>1947</v>
      </c>
      <c r="M310" s="534" t="s">
        <v>230</v>
      </c>
      <c r="N310" s="49" t="s">
        <v>1730</v>
      </c>
      <c r="O310" s="53">
        <v>46073</v>
      </c>
      <c r="P310" s="414" t="s">
        <v>1630</v>
      </c>
      <c r="Q310" s="471" t="s">
        <v>358</v>
      </c>
      <c r="R310" s="539"/>
      <c r="S310" s="54"/>
      <c r="T310" s="54"/>
      <c r="U310" s="54"/>
      <c r="V310" s="54"/>
      <c r="W310" s="54"/>
      <c r="X310" s="54"/>
      <c r="Y310" s="54"/>
      <c r="Z310" s="54"/>
      <c r="AA310" s="54"/>
      <c r="AB310" s="54"/>
      <c r="AC310" s="54"/>
      <c r="AD310" s="91"/>
      <c r="AE310" s="91"/>
      <c r="AF310" s="91"/>
      <c r="AG310" s="91"/>
    </row>
    <row r="311" spans="1:33">
      <c r="A311" s="549"/>
      <c r="B311" s="534">
        <v>309</v>
      </c>
      <c r="C311" s="565">
        <v>522936</v>
      </c>
      <c r="D311" s="565">
        <v>16020748</v>
      </c>
      <c r="E311" s="430" t="s">
        <v>1948</v>
      </c>
      <c r="F311" s="565">
        <v>48</v>
      </c>
      <c r="G311" s="325" t="s">
        <v>1949</v>
      </c>
      <c r="H311" s="325" t="s">
        <v>271</v>
      </c>
      <c r="I311" s="565">
        <v>916899076</v>
      </c>
      <c r="J311" s="254" t="s">
        <v>1620</v>
      </c>
      <c r="K311" s="549">
        <v>46066</v>
      </c>
      <c r="L311" s="43" t="s">
        <v>1950</v>
      </c>
      <c r="M311" s="534" t="s">
        <v>260</v>
      </c>
      <c r="N311" s="49" t="s">
        <v>241</v>
      </c>
      <c r="O311" s="53">
        <v>46073</v>
      </c>
      <c r="P311" s="535" t="s">
        <v>1951</v>
      </c>
      <c r="Q311" s="471" t="s">
        <v>358</v>
      </c>
      <c r="R311" s="539"/>
      <c r="S311" s="54"/>
      <c r="T311" s="54"/>
      <c r="U311" s="54"/>
      <c r="V311" s="54"/>
      <c r="W311" s="54"/>
      <c r="X311" s="54"/>
      <c r="Y311" s="54"/>
      <c r="Z311" s="54"/>
      <c r="AA311" s="54"/>
      <c r="AB311" s="54"/>
      <c r="AC311" s="54"/>
      <c r="AD311" s="91"/>
      <c r="AE311" s="91"/>
      <c r="AF311" s="91"/>
      <c r="AG311" s="91"/>
    </row>
    <row r="312" spans="1:33" ht="24.75">
      <c r="A312" s="549"/>
      <c r="B312" s="534">
        <v>310</v>
      </c>
      <c r="C312" s="565">
        <v>117608</v>
      </c>
      <c r="D312" s="565">
        <v>15714513</v>
      </c>
      <c r="E312" s="430" t="s">
        <v>1952</v>
      </c>
      <c r="F312" s="565">
        <v>60</v>
      </c>
      <c r="G312" s="325" t="s">
        <v>1953</v>
      </c>
      <c r="H312" s="325" t="s">
        <v>326</v>
      </c>
      <c r="I312" s="565">
        <v>959364873</v>
      </c>
      <c r="J312" s="48" t="s">
        <v>238</v>
      </c>
      <c r="K312" s="549">
        <v>46066</v>
      </c>
      <c r="L312" s="54" t="s">
        <v>1954</v>
      </c>
      <c r="M312" s="534" t="s">
        <v>260</v>
      </c>
      <c r="N312" s="49" t="s">
        <v>241</v>
      </c>
      <c r="O312" s="53">
        <v>46073</v>
      </c>
      <c r="P312" s="546"/>
      <c r="Q312" s="546" t="s">
        <v>1609</v>
      </c>
      <c r="R312" s="539"/>
      <c r="S312" s="54"/>
      <c r="T312" s="54"/>
      <c r="U312" s="54"/>
      <c r="V312" s="54"/>
      <c r="W312" s="54"/>
      <c r="X312" s="54"/>
      <c r="Y312" s="54"/>
      <c r="Z312" s="54"/>
      <c r="AA312" s="54"/>
      <c r="AB312" s="54"/>
      <c r="AC312" s="54"/>
      <c r="AD312" s="91"/>
      <c r="AE312" s="91"/>
      <c r="AF312" s="91"/>
      <c r="AG312" s="91"/>
    </row>
    <row r="313" spans="1:33">
      <c r="A313" s="544"/>
      <c r="B313" s="534">
        <v>311</v>
      </c>
      <c r="C313" s="566">
        <v>522937</v>
      </c>
      <c r="D313" s="564">
        <v>16013588</v>
      </c>
      <c r="E313" s="430" t="s">
        <v>1955</v>
      </c>
      <c r="F313" s="564">
        <v>65</v>
      </c>
      <c r="G313" s="430" t="s">
        <v>1956</v>
      </c>
      <c r="H313" s="430" t="s">
        <v>461</v>
      </c>
      <c r="I313" s="564">
        <v>975425335</v>
      </c>
      <c r="J313" s="48" t="s">
        <v>162</v>
      </c>
      <c r="K313" s="549">
        <v>46066</v>
      </c>
      <c r="L313" s="43" t="s">
        <v>1957</v>
      </c>
      <c r="M313" s="534" t="s">
        <v>312</v>
      </c>
      <c r="N313" s="49" t="s">
        <v>884</v>
      </c>
      <c r="O313" s="53">
        <v>46073</v>
      </c>
      <c r="P313" s="546" t="s">
        <v>1330</v>
      </c>
      <c r="Q313" s="471" t="s">
        <v>358</v>
      </c>
      <c r="R313" s="566"/>
      <c r="S313" s="48"/>
      <c r="T313" s="48"/>
      <c r="U313" s="48"/>
      <c r="V313" s="48"/>
      <c r="W313" s="48"/>
      <c r="X313" s="48"/>
      <c r="Y313" s="48"/>
      <c r="Z313" s="48"/>
      <c r="AA313" s="48"/>
      <c r="AB313" s="48"/>
      <c r="AC313" s="48"/>
      <c r="AD313" s="91"/>
      <c r="AE313" s="91"/>
      <c r="AF313" s="91"/>
      <c r="AG313" s="91"/>
    </row>
    <row r="314" spans="1:33">
      <c r="A314" s="534"/>
      <c r="B314" s="534">
        <v>312</v>
      </c>
      <c r="C314" s="534">
        <v>467177</v>
      </c>
      <c r="D314" s="534" t="s">
        <v>1958</v>
      </c>
      <c r="E314" s="50" t="s">
        <v>1959</v>
      </c>
      <c r="F314" s="534">
        <v>46</v>
      </c>
      <c r="G314" s="49" t="s">
        <v>1960</v>
      </c>
      <c r="H314" s="49" t="s">
        <v>222</v>
      </c>
      <c r="I314" s="534">
        <v>925157688</v>
      </c>
      <c r="J314" s="50" t="s">
        <v>283</v>
      </c>
      <c r="K314" s="549">
        <v>46066</v>
      </c>
      <c r="L314" s="49" t="s">
        <v>1961</v>
      </c>
      <c r="M314" s="534" t="s">
        <v>312</v>
      </c>
      <c r="N314" s="49" t="s">
        <v>884</v>
      </c>
      <c r="O314" s="437">
        <v>46086</v>
      </c>
      <c r="P314" s="534" t="s">
        <v>1962</v>
      </c>
      <c r="Q314" s="825">
        <v>46082</v>
      </c>
      <c r="R314" s="566" t="s">
        <v>318</v>
      </c>
      <c r="S314" s="49"/>
      <c r="T314" s="49"/>
      <c r="U314" s="49"/>
      <c r="V314" s="49"/>
      <c r="W314" s="49"/>
      <c r="X314" s="49"/>
      <c r="Y314" s="49"/>
      <c r="Z314" s="49"/>
      <c r="AA314" s="49"/>
      <c r="AB314" s="49"/>
      <c r="AC314" s="49"/>
      <c r="AD314" s="91"/>
      <c r="AE314" s="91"/>
      <c r="AF314" s="91"/>
      <c r="AG314" s="91"/>
    </row>
    <row r="315" spans="1:33" ht="24.75">
      <c r="A315" s="550"/>
      <c r="B315" s="534">
        <v>313</v>
      </c>
      <c r="C315" s="568">
        <v>257059</v>
      </c>
      <c r="D315" s="479">
        <v>43781080</v>
      </c>
      <c r="E315" s="58" t="s">
        <v>1963</v>
      </c>
      <c r="F315" s="479">
        <v>42</v>
      </c>
      <c r="G315" s="213" t="s">
        <v>1964</v>
      </c>
      <c r="H315" s="213" t="s">
        <v>237</v>
      </c>
      <c r="I315" s="479">
        <v>980762853</v>
      </c>
      <c r="J315" s="50" t="s">
        <v>429</v>
      </c>
      <c r="K315" s="599">
        <v>46065</v>
      </c>
      <c r="L315" s="214" t="s">
        <v>1965</v>
      </c>
      <c r="M315" s="534" t="s">
        <v>260</v>
      </c>
      <c r="N315" s="49" t="s">
        <v>241</v>
      </c>
      <c r="O315" s="437">
        <v>46073</v>
      </c>
      <c r="P315" s="546" t="s">
        <v>292</v>
      </c>
      <c r="Q315" s="471" t="s">
        <v>358</v>
      </c>
      <c r="R315" s="568"/>
      <c r="S315" s="214"/>
      <c r="T315" s="214"/>
      <c r="U315" s="214"/>
      <c r="V315" s="214"/>
      <c r="W315" s="214"/>
      <c r="X315" s="214"/>
      <c r="Y315" s="214"/>
      <c r="Z315" s="214"/>
      <c r="AA315" s="214"/>
      <c r="AB315" s="214"/>
      <c r="AC315" s="214"/>
      <c r="AD315" s="91"/>
      <c r="AE315" s="91"/>
      <c r="AF315" s="91"/>
      <c r="AG315" s="91"/>
    </row>
    <row r="316" spans="1:33">
      <c r="A316" s="549"/>
      <c r="B316" s="534">
        <v>314</v>
      </c>
      <c r="C316" s="565">
        <v>226623</v>
      </c>
      <c r="D316" s="565">
        <v>44992238</v>
      </c>
      <c r="E316" s="430" t="s">
        <v>1966</v>
      </c>
      <c r="F316" s="565">
        <v>40</v>
      </c>
      <c r="G316" s="325" t="s">
        <v>1967</v>
      </c>
      <c r="H316" s="325" t="s">
        <v>246</v>
      </c>
      <c r="I316" s="565">
        <v>935079227</v>
      </c>
      <c r="J316" s="48" t="s">
        <v>247</v>
      </c>
      <c r="K316" s="549">
        <v>46066</v>
      </c>
      <c r="L316" s="54" t="s">
        <v>1156</v>
      </c>
      <c r="M316" s="534" t="s">
        <v>260</v>
      </c>
      <c r="N316" s="49" t="s">
        <v>241</v>
      </c>
      <c r="O316" s="437">
        <v>46076</v>
      </c>
      <c r="P316" s="546" t="s">
        <v>251</v>
      </c>
      <c r="Q316" s="814">
        <v>46082</v>
      </c>
      <c r="R316" s="539" t="s">
        <v>242</v>
      </c>
      <c r="S316" s="54"/>
      <c r="T316" s="54"/>
      <c r="U316" s="54"/>
      <c r="V316" s="54"/>
      <c r="W316" s="54"/>
      <c r="X316" s="54"/>
      <c r="Y316" s="54"/>
      <c r="Z316" s="54"/>
      <c r="AA316" s="54"/>
      <c r="AB316" s="54"/>
      <c r="AC316" s="54"/>
      <c r="AD316" s="91"/>
      <c r="AE316" s="91"/>
      <c r="AF316" s="91"/>
      <c r="AG316" s="91"/>
    </row>
    <row r="317" spans="1:33" ht="24.75">
      <c r="A317" s="534"/>
      <c r="B317" s="534">
        <v>315</v>
      </c>
      <c r="C317" s="534">
        <v>52945</v>
      </c>
      <c r="D317" s="534">
        <v>42322617</v>
      </c>
      <c r="E317" s="50" t="s">
        <v>1968</v>
      </c>
      <c r="F317" s="534">
        <v>40</v>
      </c>
      <c r="G317" s="49" t="s">
        <v>1969</v>
      </c>
      <c r="H317" s="49" t="s">
        <v>461</v>
      </c>
      <c r="I317" s="534">
        <v>910020752</v>
      </c>
      <c r="J317" s="50" t="s">
        <v>1970</v>
      </c>
      <c r="K317" s="549">
        <v>46066</v>
      </c>
      <c r="L317" s="49" t="s">
        <v>458</v>
      </c>
      <c r="M317" s="534" t="s">
        <v>260</v>
      </c>
      <c r="N317" s="49" t="s">
        <v>241</v>
      </c>
      <c r="O317" s="53">
        <v>46073</v>
      </c>
      <c r="P317" s="615" t="s">
        <v>1971</v>
      </c>
      <c r="Q317" s="471" t="s">
        <v>358</v>
      </c>
      <c r="R317" s="566"/>
      <c r="S317" s="49"/>
      <c r="T317" s="49"/>
      <c r="U317" s="49"/>
      <c r="V317" s="49"/>
      <c r="W317" s="49"/>
      <c r="X317" s="49"/>
      <c r="Y317" s="49"/>
      <c r="Z317" s="49"/>
      <c r="AA317" s="49"/>
      <c r="AB317" s="49"/>
      <c r="AC317" s="49"/>
      <c r="AD317" s="91"/>
      <c r="AE317" s="91"/>
      <c r="AF317" s="91"/>
      <c r="AG317" s="91"/>
    </row>
    <row r="318" spans="1:33" ht="24.75">
      <c r="A318" s="549"/>
      <c r="B318" s="534">
        <v>316</v>
      </c>
      <c r="C318" s="565">
        <v>522946</v>
      </c>
      <c r="D318" s="565">
        <v>16023102</v>
      </c>
      <c r="E318" s="430" t="s">
        <v>1972</v>
      </c>
      <c r="F318" s="565">
        <v>47</v>
      </c>
      <c r="G318" s="325" t="s">
        <v>1973</v>
      </c>
      <c r="H318" s="325" t="s">
        <v>461</v>
      </c>
      <c r="I318" s="565" t="s">
        <v>1974</v>
      </c>
      <c r="J318" s="50" t="s">
        <v>1970</v>
      </c>
      <c r="K318" s="549">
        <v>46066</v>
      </c>
      <c r="L318" s="43" t="s">
        <v>1156</v>
      </c>
      <c r="M318" s="534" t="s">
        <v>260</v>
      </c>
      <c r="N318" s="49" t="s">
        <v>241</v>
      </c>
      <c r="O318" s="53">
        <v>46073</v>
      </c>
      <c r="P318" s="615" t="s">
        <v>1971</v>
      </c>
      <c r="Q318" s="471" t="s">
        <v>358</v>
      </c>
      <c r="R318" s="539"/>
      <c r="S318" s="54"/>
      <c r="T318" s="54"/>
      <c r="U318" s="54"/>
      <c r="V318" s="54"/>
      <c r="W318" s="54"/>
      <c r="X318" s="54"/>
      <c r="Y318" s="54"/>
      <c r="Z318" s="54"/>
      <c r="AA318" s="54"/>
      <c r="AB318" s="54"/>
      <c r="AC318" s="54"/>
      <c r="AD318" s="91"/>
      <c r="AE318" s="91"/>
      <c r="AF318" s="91"/>
      <c r="AG318" s="91"/>
    </row>
    <row r="319" spans="1:33" ht="24.75">
      <c r="A319" s="534"/>
      <c r="B319" s="534">
        <v>317</v>
      </c>
      <c r="C319" s="534">
        <v>522947</v>
      </c>
      <c r="D319" s="534">
        <v>10680997</v>
      </c>
      <c r="E319" s="50" t="s">
        <v>1975</v>
      </c>
      <c r="F319" s="534">
        <v>48</v>
      </c>
      <c r="G319" s="49" t="s">
        <v>1976</v>
      </c>
      <c r="H319" s="49" t="s">
        <v>461</v>
      </c>
      <c r="I319" s="534">
        <v>926354011</v>
      </c>
      <c r="J319" s="50" t="s">
        <v>1970</v>
      </c>
      <c r="K319" s="549">
        <v>46066</v>
      </c>
      <c r="L319" s="49" t="s">
        <v>584</v>
      </c>
      <c r="M319" s="534" t="s">
        <v>230</v>
      </c>
      <c r="N319" s="49" t="s">
        <v>241</v>
      </c>
      <c r="O319" s="53">
        <v>46073</v>
      </c>
      <c r="P319" s="615" t="s">
        <v>1971</v>
      </c>
      <c r="Q319" s="471" t="s">
        <v>358</v>
      </c>
      <c r="R319" s="566"/>
      <c r="S319" s="49"/>
      <c r="T319" s="49"/>
      <c r="U319" s="49"/>
      <c r="V319" s="49"/>
      <c r="W319" s="49"/>
      <c r="X319" s="49"/>
      <c r="Y319" s="49"/>
      <c r="Z319" s="49"/>
      <c r="AA319" s="49"/>
      <c r="AB319" s="49"/>
      <c r="AC319" s="49"/>
      <c r="AD319" s="91"/>
      <c r="AE319" s="91"/>
      <c r="AF319" s="91"/>
      <c r="AG319" s="91"/>
    </row>
    <row r="320" spans="1:33" ht="24.75">
      <c r="A320" s="549"/>
      <c r="B320" s="534">
        <v>318</v>
      </c>
      <c r="C320" s="565">
        <v>522940</v>
      </c>
      <c r="D320" s="565">
        <v>40459061</v>
      </c>
      <c r="E320" s="430" t="s">
        <v>1977</v>
      </c>
      <c r="F320" s="565">
        <v>46</v>
      </c>
      <c r="G320" s="325" t="s">
        <v>1978</v>
      </c>
      <c r="H320" s="325" t="s">
        <v>461</v>
      </c>
      <c r="I320" s="565">
        <v>921426157</v>
      </c>
      <c r="J320" s="50" t="s">
        <v>1970</v>
      </c>
      <c r="K320" s="549">
        <v>46066</v>
      </c>
      <c r="L320" s="54" t="s">
        <v>458</v>
      </c>
      <c r="M320" s="534" t="s">
        <v>260</v>
      </c>
      <c r="N320" s="49" t="s">
        <v>241</v>
      </c>
      <c r="O320" s="53">
        <v>46073</v>
      </c>
      <c r="P320" s="615" t="s">
        <v>1971</v>
      </c>
      <c r="Q320" s="471" t="s">
        <v>358</v>
      </c>
      <c r="R320" s="539"/>
      <c r="S320" s="54"/>
      <c r="T320" s="54"/>
      <c r="U320" s="54"/>
      <c r="V320" s="54"/>
      <c r="W320" s="54"/>
      <c r="X320" s="54"/>
      <c r="Y320" s="54"/>
      <c r="Z320" s="54"/>
      <c r="AA320" s="54"/>
      <c r="AB320" s="54"/>
      <c r="AC320" s="54"/>
      <c r="AD320" s="91"/>
      <c r="AE320" s="91"/>
      <c r="AF320" s="91"/>
      <c r="AG320" s="91"/>
    </row>
    <row r="321" spans="1:33" ht="24.75">
      <c r="A321" s="549"/>
      <c r="B321" s="534">
        <v>319</v>
      </c>
      <c r="C321" s="565">
        <v>522941</v>
      </c>
      <c r="D321" s="565">
        <v>15749723</v>
      </c>
      <c r="E321" s="430" t="s">
        <v>1979</v>
      </c>
      <c r="F321" s="565">
        <v>52</v>
      </c>
      <c r="G321" s="325" t="s">
        <v>1980</v>
      </c>
      <c r="H321" s="325" t="s">
        <v>461</v>
      </c>
      <c r="I321" s="565">
        <v>917070311</v>
      </c>
      <c r="J321" s="50" t="s">
        <v>1970</v>
      </c>
      <c r="K321" s="549">
        <v>46066</v>
      </c>
      <c r="L321" s="54" t="s">
        <v>458</v>
      </c>
      <c r="M321" s="534" t="s">
        <v>260</v>
      </c>
      <c r="N321" s="49" t="s">
        <v>241</v>
      </c>
      <c r="O321" s="53">
        <v>46073</v>
      </c>
      <c r="P321" s="615" t="s">
        <v>1971</v>
      </c>
      <c r="Q321" s="471" t="s">
        <v>358</v>
      </c>
      <c r="R321" s="539"/>
      <c r="S321" s="54"/>
      <c r="T321" s="54"/>
      <c r="U321" s="54"/>
      <c r="V321" s="54"/>
      <c r="W321" s="54"/>
      <c r="X321" s="54"/>
      <c r="Y321" s="54"/>
      <c r="Z321" s="54"/>
      <c r="AA321" s="54"/>
      <c r="AB321" s="54"/>
      <c r="AC321" s="54"/>
      <c r="AD321" s="91"/>
      <c r="AE321" s="91"/>
      <c r="AF321" s="91"/>
      <c r="AG321" s="91"/>
    </row>
    <row r="322" spans="1:33" ht="24.75">
      <c r="A322" s="549"/>
      <c r="B322" s="534">
        <v>320</v>
      </c>
      <c r="C322" s="565">
        <v>522943</v>
      </c>
      <c r="D322" s="565">
        <v>23019320</v>
      </c>
      <c r="E322" s="430" t="s">
        <v>1981</v>
      </c>
      <c r="F322" s="565">
        <v>48</v>
      </c>
      <c r="G322" s="325" t="s">
        <v>1982</v>
      </c>
      <c r="H322" s="325" t="s">
        <v>461</v>
      </c>
      <c r="I322" s="565">
        <v>910444277</v>
      </c>
      <c r="J322" s="50" t="s">
        <v>1970</v>
      </c>
      <c r="K322" s="549">
        <v>46066</v>
      </c>
      <c r="L322" s="43" t="s">
        <v>1109</v>
      </c>
      <c r="M322" s="534" t="s">
        <v>260</v>
      </c>
      <c r="N322" s="49" t="s">
        <v>241</v>
      </c>
      <c r="O322" s="53">
        <v>46073</v>
      </c>
      <c r="P322" s="615" t="s">
        <v>1971</v>
      </c>
      <c r="Q322" s="471" t="s">
        <v>358</v>
      </c>
      <c r="R322" s="539"/>
      <c r="S322" s="54"/>
      <c r="T322" s="54"/>
      <c r="U322" s="54"/>
      <c r="V322" s="54"/>
      <c r="W322" s="54"/>
      <c r="X322" s="54"/>
      <c r="Y322" s="54"/>
      <c r="Z322" s="54"/>
      <c r="AA322" s="54"/>
      <c r="AB322" s="54"/>
      <c r="AC322" s="54"/>
      <c r="AD322" s="91"/>
      <c r="AE322" s="91"/>
      <c r="AF322" s="91"/>
      <c r="AG322" s="91"/>
    </row>
    <row r="323" spans="1:33">
      <c r="A323" s="320"/>
      <c r="B323" s="534">
        <v>321</v>
      </c>
      <c r="C323" s="320">
        <v>194669</v>
      </c>
      <c r="D323" s="320">
        <v>157420413</v>
      </c>
      <c r="E323" s="244" t="s">
        <v>1983</v>
      </c>
      <c r="F323" s="320">
        <v>52</v>
      </c>
      <c r="G323" s="43" t="s">
        <v>1984</v>
      </c>
      <c r="H323" s="43" t="s">
        <v>237</v>
      </c>
      <c r="I323" s="320">
        <v>935017208</v>
      </c>
      <c r="J323" s="244" t="s">
        <v>429</v>
      </c>
      <c r="K323" s="549">
        <v>46066</v>
      </c>
      <c r="L323" s="43" t="s">
        <v>523</v>
      </c>
      <c r="M323" s="534" t="s">
        <v>230</v>
      </c>
      <c r="N323" s="49" t="s">
        <v>601</v>
      </c>
      <c r="O323" s="437">
        <v>46073</v>
      </c>
      <c r="P323" s="546" t="s">
        <v>292</v>
      </c>
      <c r="Q323" s="471" t="s">
        <v>358</v>
      </c>
      <c r="R323" s="320"/>
      <c r="S323" s="43"/>
      <c r="T323" s="43"/>
      <c r="U323" s="43"/>
      <c r="V323" s="43"/>
      <c r="W323" s="43"/>
      <c r="X323" s="43"/>
      <c r="Y323" s="43"/>
      <c r="Z323" s="43"/>
      <c r="AA323" s="43"/>
      <c r="AB323" s="43"/>
      <c r="AC323" s="43"/>
      <c r="AD323" s="91"/>
      <c r="AE323" s="91"/>
      <c r="AF323" s="91"/>
      <c r="AG323" s="91"/>
    </row>
    <row r="324" spans="1:33" ht="24.75">
      <c r="A324" s="549"/>
      <c r="B324" s="534">
        <v>322</v>
      </c>
      <c r="C324" s="565">
        <v>522953</v>
      </c>
      <c r="D324" s="565">
        <v>16002043</v>
      </c>
      <c r="E324" s="430" t="s">
        <v>1985</v>
      </c>
      <c r="F324" s="565">
        <v>56</v>
      </c>
      <c r="G324" s="325" t="s">
        <v>1986</v>
      </c>
      <c r="H324" s="325" t="s">
        <v>461</v>
      </c>
      <c r="I324" s="565">
        <v>931828287</v>
      </c>
      <c r="J324" s="48" t="s">
        <v>162</v>
      </c>
      <c r="K324" s="549">
        <v>46066</v>
      </c>
      <c r="L324" s="54" t="s">
        <v>683</v>
      </c>
      <c r="M324" s="534" t="s">
        <v>312</v>
      </c>
      <c r="N324" s="49" t="s">
        <v>241</v>
      </c>
      <c r="O324" s="53">
        <v>46073</v>
      </c>
      <c r="P324" s="546" t="s">
        <v>1330</v>
      </c>
      <c r="Q324" s="471" t="s">
        <v>358</v>
      </c>
      <c r="R324" s="539"/>
      <c r="S324" s="54"/>
      <c r="T324" s="54"/>
      <c r="U324" s="54"/>
      <c r="V324" s="54"/>
      <c r="W324" s="54"/>
      <c r="X324" s="54"/>
      <c r="Y324" s="54"/>
      <c r="Z324" s="54"/>
      <c r="AA324" s="54"/>
      <c r="AB324" s="54"/>
      <c r="AC324" s="54"/>
      <c r="AD324" s="91"/>
      <c r="AE324" s="91"/>
      <c r="AF324" s="91"/>
      <c r="AG324" s="91"/>
    </row>
    <row r="325" spans="1:33" ht="24.75">
      <c r="A325" s="549"/>
      <c r="B325" s="534">
        <v>323</v>
      </c>
      <c r="C325" s="565">
        <v>522953</v>
      </c>
      <c r="D325" s="565">
        <v>15746636</v>
      </c>
      <c r="E325" s="430" t="s">
        <v>1987</v>
      </c>
      <c r="F325" s="565">
        <v>53</v>
      </c>
      <c r="G325" s="325" t="s">
        <v>1988</v>
      </c>
      <c r="H325" s="325" t="s">
        <v>461</v>
      </c>
      <c r="I325" s="565">
        <v>977706261</v>
      </c>
      <c r="J325" s="48" t="s">
        <v>162</v>
      </c>
      <c r="K325" s="549">
        <v>46066</v>
      </c>
      <c r="L325" s="43" t="s">
        <v>1989</v>
      </c>
      <c r="M325" s="534" t="s">
        <v>230</v>
      </c>
      <c r="N325" s="49" t="s">
        <v>884</v>
      </c>
      <c r="O325" s="53">
        <v>46073</v>
      </c>
      <c r="P325" s="546" t="s">
        <v>1330</v>
      </c>
      <c r="Q325" s="471" t="s">
        <v>358</v>
      </c>
      <c r="R325" s="539"/>
      <c r="S325" s="54"/>
      <c r="T325" s="54"/>
      <c r="U325" s="54"/>
      <c r="V325" s="54"/>
      <c r="W325" s="54"/>
      <c r="X325" s="54"/>
      <c r="Y325" s="54"/>
      <c r="Z325" s="54"/>
      <c r="AA325" s="54"/>
      <c r="AB325" s="54"/>
      <c r="AC325" s="54"/>
      <c r="AD325" s="91"/>
      <c r="AE325" s="91"/>
      <c r="AF325" s="91"/>
      <c r="AG325" s="91"/>
    </row>
    <row r="326" spans="1:33">
      <c r="A326" s="534"/>
      <c r="B326" s="534">
        <v>324</v>
      </c>
      <c r="C326" s="534">
        <v>190363</v>
      </c>
      <c r="D326" s="534" t="s">
        <v>1990</v>
      </c>
      <c r="E326" s="50" t="s">
        <v>1991</v>
      </c>
      <c r="F326" s="534">
        <v>57</v>
      </c>
      <c r="G326" s="49" t="s">
        <v>1992</v>
      </c>
      <c r="H326" s="49" t="s">
        <v>278</v>
      </c>
      <c r="I326" s="534">
        <v>992258062</v>
      </c>
      <c r="J326" s="50" t="s">
        <v>238</v>
      </c>
      <c r="K326" s="549">
        <v>46066</v>
      </c>
      <c r="L326" s="43" t="s">
        <v>1109</v>
      </c>
      <c r="M326" s="534" t="s">
        <v>260</v>
      </c>
      <c r="N326" s="49" t="s">
        <v>241</v>
      </c>
      <c r="O326" s="53">
        <v>46073</v>
      </c>
      <c r="P326" s="546"/>
      <c r="Q326" s="546" t="s">
        <v>1993</v>
      </c>
      <c r="R326" s="566"/>
      <c r="S326" s="49"/>
      <c r="T326" s="49"/>
      <c r="U326" s="49"/>
      <c r="V326" s="49"/>
      <c r="W326" s="49"/>
      <c r="X326" s="49"/>
      <c r="Y326" s="49"/>
      <c r="Z326" s="49"/>
      <c r="AA326" s="49"/>
      <c r="AB326" s="49"/>
      <c r="AC326" s="49"/>
      <c r="AD326" s="91"/>
      <c r="AE326" s="91"/>
      <c r="AF326" s="91"/>
      <c r="AG326" s="91"/>
    </row>
    <row r="327" spans="1:33">
      <c r="A327" s="534"/>
      <c r="B327" s="534">
        <v>325</v>
      </c>
      <c r="C327" s="534">
        <v>522957</v>
      </c>
      <c r="D327" s="534">
        <v>42081243</v>
      </c>
      <c r="E327" s="50" t="s">
        <v>1994</v>
      </c>
      <c r="F327" s="534">
        <v>42</v>
      </c>
      <c r="G327" s="49" t="s">
        <v>1995</v>
      </c>
      <c r="H327" s="49" t="s">
        <v>461</v>
      </c>
      <c r="I327" s="534">
        <v>985454049</v>
      </c>
      <c r="J327" s="50" t="s">
        <v>162</v>
      </c>
      <c r="K327" s="549">
        <v>46066</v>
      </c>
      <c r="L327" s="49" t="s">
        <v>1109</v>
      </c>
      <c r="M327" s="534" t="s">
        <v>260</v>
      </c>
      <c r="N327" s="49" t="s">
        <v>241</v>
      </c>
      <c r="O327" s="53">
        <v>46073</v>
      </c>
      <c r="P327" s="546" t="s">
        <v>1330</v>
      </c>
      <c r="Q327" s="471" t="s">
        <v>358</v>
      </c>
      <c r="R327" s="539"/>
      <c r="S327" s="49"/>
      <c r="T327" s="49"/>
      <c r="U327" s="49"/>
      <c r="V327" s="49"/>
      <c r="W327" s="49"/>
      <c r="X327" s="49"/>
      <c r="Y327" s="49"/>
      <c r="Z327" s="49"/>
      <c r="AA327" s="49"/>
      <c r="AB327" s="49"/>
      <c r="AC327" s="49"/>
      <c r="AD327" s="91"/>
      <c r="AE327" s="91"/>
      <c r="AF327" s="91"/>
      <c r="AG327" s="91"/>
    </row>
    <row r="328" spans="1:33" ht="24.75">
      <c r="A328" s="540" t="s">
        <v>513</v>
      </c>
      <c r="B328" s="534">
        <v>326</v>
      </c>
      <c r="C328" s="569">
        <v>224746</v>
      </c>
      <c r="D328" s="479">
        <v>41180281</v>
      </c>
      <c r="E328" s="58" t="s">
        <v>1996</v>
      </c>
      <c r="F328" s="479">
        <v>43</v>
      </c>
      <c r="G328" s="430" t="s">
        <v>1997</v>
      </c>
      <c r="H328" s="430" t="s">
        <v>1217</v>
      </c>
      <c r="I328" s="479">
        <v>940225422</v>
      </c>
      <c r="J328" s="58" t="s">
        <v>1905</v>
      </c>
      <c r="K328" s="549">
        <v>46066</v>
      </c>
      <c r="L328" s="49" t="s">
        <v>1998</v>
      </c>
      <c r="M328" s="534" t="s">
        <v>260</v>
      </c>
      <c r="N328" s="49" t="s">
        <v>601</v>
      </c>
      <c r="O328" s="437">
        <v>46073</v>
      </c>
      <c r="P328" s="546" t="s">
        <v>292</v>
      </c>
      <c r="Q328" s="809" t="s">
        <v>385</v>
      </c>
      <c r="R328" s="566"/>
      <c r="S328" s="49"/>
      <c r="T328" s="49"/>
      <c r="U328" s="49"/>
      <c r="V328" s="49"/>
      <c r="W328" s="49"/>
      <c r="X328" s="49"/>
      <c r="Y328" s="49"/>
      <c r="Z328" s="49"/>
      <c r="AA328" s="49"/>
      <c r="AB328" s="49"/>
      <c r="AC328" s="49"/>
      <c r="AD328" s="91"/>
      <c r="AE328" s="91"/>
      <c r="AF328" s="91"/>
      <c r="AG328" s="91"/>
    </row>
    <row r="329" spans="1:33">
      <c r="A329" s="546"/>
      <c r="B329" s="534">
        <v>327</v>
      </c>
      <c r="C329" s="569">
        <v>221091</v>
      </c>
      <c r="D329" s="479">
        <v>15694364</v>
      </c>
      <c r="E329" s="58" t="s">
        <v>1934</v>
      </c>
      <c r="F329" s="479">
        <v>55</v>
      </c>
      <c r="G329" s="430" t="s">
        <v>1935</v>
      </c>
      <c r="H329" s="430" t="s">
        <v>301</v>
      </c>
      <c r="I329" s="479">
        <v>994218694</v>
      </c>
      <c r="J329" s="58" t="s">
        <v>1905</v>
      </c>
      <c r="K329" s="549">
        <v>46066</v>
      </c>
      <c r="L329" s="49" t="s">
        <v>1999</v>
      </c>
      <c r="M329" s="534" t="s">
        <v>260</v>
      </c>
      <c r="N329" s="49" t="s">
        <v>241</v>
      </c>
      <c r="O329" s="437">
        <v>46084</v>
      </c>
      <c r="P329" s="546" t="s">
        <v>2000</v>
      </c>
      <c r="Q329" s="813" t="s">
        <v>339</v>
      </c>
      <c r="R329" s="566"/>
      <c r="S329" s="49"/>
      <c r="T329" s="49"/>
      <c r="U329" s="49"/>
      <c r="V329" s="49"/>
      <c r="W329" s="49"/>
      <c r="X329" s="49"/>
      <c r="Y329" s="49"/>
      <c r="Z329" s="49"/>
      <c r="AA329" s="49"/>
      <c r="AB329" s="49"/>
      <c r="AC329" s="49"/>
      <c r="AD329" s="91"/>
      <c r="AE329" s="91"/>
      <c r="AF329" s="91"/>
      <c r="AG329" s="91"/>
    </row>
    <row r="330" spans="1:33">
      <c r="A330" s="539"/>
      <c r="B330" s="534">
        <v>328</v>
      </c>
      <c r="C330" s="539">
        <v>522960</v>
      </c>
      <c r="D330" s="565">
        <v>45123804</v>
      </c>
      <c r="E330" s="430" t="s">
        <v>2001</v>
      </c>
      <c r="F330" s="565">
        <v>40</v>
      </c>
      <c r="G330" s="325" t="s">
        <v>2002</v>
      </c>
      <c r="H330" s="54" t="s">
        <v>271</v>
      </c>
      <c r="I330" s="565">
        <v>998715531</v>
      </c>
      <c r="J330" s="48" t="s">
        <v>164</v>
      </c>
      <c r="K330" s="549">
        <v>46066</v>
      </c>
      <c r="L330" s="54" t="s">
        <v>2003</v>
      </c>
      <c r="M330" s="534" t="s">
        <v>260</v>
      </c>
      <c r="N330" s="49" t="s">
        <v>241</v>
      </c>
      <c r="O330" s="53">
        <v>46073</v>
      </c>
      <c r="P330" s="414" t="s">
        <v>1630</v>
      </c>
      <c r="Q330" s="471" t="s">
        <v>358</v>
      </c>
      <c r="R330" s="539"/>
      <c r="S330" s="54"/>
      <c r="T330" s="54"/>
      <c r="U330" s="54"/>
      <c r="V330" s="54"/>
      <c r="W330" s="54"/>
      <c r="X330" s="54"/>
      <c r="Y330" s="54"/>
      <c r="Z330" s="54"/>
      <c r="AA330" s="54"/>
      <c r="AB330" s="54"/>
      <c r="AC330" s="54"/>
      <c r="AD330" s="91"/>
      <c r="AE330" s="91"/>
      <c r="AF330" s="91"/>
      <c r="AG330" s="91"/>
    </row>
    <row r="331" spans="1:33">
      <c r="A331" s="534"/>
      <c r="B331" s="534">
        <v>329</v>
      </c>
      <c r="C331" s="569">
        <v>123926</v>
      </c>
      <c r="D331" s="534">
        <v>15638905</v>
      </c>
      <c r="E331" s="50" t="s">
        <v>2004</v>
      </c>
      <c r="F331" s="534">
        <v>59</v>
      </c>
      <c r="G331" s="49" t="s">
        <v>2005</v>
      </c>
      <c r="H331" s="49" t="s">
        <v>432</v>
      </c>
      <c r="I331" s="534">
        <v>975196463</v>
      </c>
      <c r="J331" s="50" t="s">
        <v>588</v>
      </c>
      <c r="K331" s="549">
        <v>46066</v>
      </c>
      <c r="L331" s="49" t="s">
        <v>2006</v>
      </c>
      <c r="M331" s="534" t="s">
        <v>260</v>
      </c>
      <c r="N331" s="49" t="s">
        <v>601</v>
      </c>
      <c r="O331" s="437">
        <v>46073</v>
      </c>
      <c r="P331" s="546" t="s">
        <v>292</v>
      </c>
      <c r="Q331" s="809" t="s">
        <v>334</v>
      </c>
      <c r="R331" s="566"/>
      <c r="S331" s="49"/>
      <c r="T331" s="49"/>
      <c r="U331" s="49"/>
      <c r="V331" s="49"/>
      <c r="W331" s="49"/>
      <c r="X331" s="49"/>
      <c r="Y331" s="49"/>
      <c r="Z331" s="49"/>
      <c r="AA331" s="49"/>
      <c r="AB331" s="49"/>
      <c r="AC331" s="49"/>
      <c r="AD331" s="91"/>
      <c r="AE331" s="91"/>
      <c r="AF331" s="91"/>
      <c r="AG331" s="91"/>
    </row>
    <row r="332" spans="1:33">
      <c r="A332" s="534"/>
      <c r="B332" s="534">
        <v>330</v>
      </c>
      <c r="C332" s="569">
        <v>163941</v>
      </c>
      <c r="D332" s="534">
        <v>15744748</v>
      </c>
      <c r="E332" s="50" t="s">
        <v>2007</v>
      </c>
      <c r="F332" s="534">
        <v>55</v>
      </c>
      <c r="G332" s="325" t="s">
        <v>2008</v>
      </c>
      <c r="H332" s="325" t="s">
        <v>301</v>
      </c>
      <c r="I332" s="565">
        <v>981202811</v>
      </c>
      <c r="J332" s="48" t="s">
        <v>380</v>
      </c>
      <c r="K332" s="549">
        <v>46066</v>
      </c>
      <c r="L332" s="49" t="s">
        <v>2009</v>
      </c>
      <c r="M332" s="534" t="s">
        <v>312</v>
      </c>
      <c r="N332" s="49" t="s">
        <v>241</v>
      </c>
      <c r="O332" s="437">
        <v>46093</v>
      </c>
      <c r="P332" s="546" t="s">
        <v>1873</v>
      </c>
      <c r="Q332" s="809" t="s">
        <v>334</v>
      </c>
      <c r="R332" s="566"/>
      <c r="S332" s="49"/>
      <c r="T332" s="49"/>
      <c r="U332" s="49"/>
      <c r="V332" s="49"/>
      <c r="W332" s="49"/>
      <c r="X332" s="49"/>
      <c r="Y332" s="49"/>
      <c r="Z332" s="49"/>
      <c r="AA332" s="49"/>
      <c r="AB332" s="49"/>
      <c r="AC332" s="49"/>
      <c r="AD332" s="91"/>
      <c r="AE332" s="91"/>
      <c r="AF332" s="91"/>
      <c r="AG332" s="91"/>
    </row>
    <row r="333" spans="1:33">
      <c r="A333" s="534"/>
      <c r="B333" s="534">
        <v>331</v>
      </c>
      <c r="C333" s="534">
        <v>38401</v>
      </c>
      <c r="D333" s="534">
        <v>15584300</v>
      </c>
      <c r="E333" s="50" t="s">
        <v>2010</v>
      </c>
      <c r="F333" s="534">
        <v>68</v>
      </c>
      <c r="G333" s="49" t="s">
        <v>2011</v>
      </c>
      <c r="H333" s="49" t="s">
        <v>278</v>
      </c>
      <c r="I333" s="534">
        <v>928255977</v>
      </c>
      <c r="J333" s="50" t="s">
        <v>238</v>
      </c>
      <c r="K333" s="549">
        <v>46066</v>
      </c>
      <c r="L333" s="49" t="s">
        <v>2012</v>
      </c>
      <c r="M333" s="534" t="s">
        <v>260</v>
      </c>
      <c r="N333" s="49" t="s">
        <v>241</v>
      </c>
      <c r="O333" s="53">
        <v>46073</v>
      </c>
      <c r="P333" s="546"/>
      <c r="Q333" s="546" t="s">
        <v>1609</v>
      </c>
      <c r="R333" s="566"/>
      <c r="S333" s="49"/>
      <c r="T333" s="49"/>
      <c r="U333" s="49"/>
      <c r="V333" s="49"/>
      <c r="W333" s="49"/>
      <c r="X333" s="49"/>
      <c r="Y333" s="49"/>
      <c r="Z333" s="49"/>
      <c r="AA333" s="49"/>
      <c r="AB333" s="49"/>
      <c r="AC333" s="49"/>
      <c r="AD333" s="91"/>
      <c r="AE333" s="91"/>
      <c r="AF333" s="91"/>
      <c r="AG333" s="91"/>
    </row>
    <row r="334" spans="1:33">
      <c r="A334" s="534"/>
      <c r="B334" s="534">
        <v>332</v>
      </c>
      <c r="C334" s="534">
        <v>12170</v>
      </c>
      <c r="D334" s="534">
        <v>40035499</v>
      </c>
      <c r="E334" s="50" t="s">
        <v>2013</v>
      </c>
      <c r="F334" s="534">
        <v>47</v>
      </c>
      <c r="G334" s="49" t="s">
        <v>1581</v>
      </c>
      <c r="H334" s="49" t="s">
        <v>237</v>
      </c>
      <c r="I334" s="534">
        <v>927458244</v>
      </c>
      <c r="J334" s="49" t="s">
        <v>384</v>
      </c>
      <c r="K334" s="544">
        <v>46065</v>
      </c>
      <c r="L334" s="49" t="s">
        <v>2014</v>
      </c>
      <c r="M334" s="534" t="s">
        <v>260</v>
      </c>
      <c r="N334" s="49" t="s">
        <v>241</v>
      </c>
      <c r="O334" s="437">
        <v>46073</v>
      </c>
      <c r="P334" s="546" t="s">
        <v>292</v>
      </c>
      <c r="Q334" s="802">
        <v>46082</v>
      </c>
      <c r="R334" s="808">
        <v>46082</v>
      </c>
      <c r="S334" s="49"/>
      <c r="T334" s="49"/>
      <c r="U334" s="49"/>
      <c r="V334" s="49"/>
      <c r="W334" s="49"/>
      <c r="X334" s="49"/>
      <c r="Y334" s="49"/>
      <c r="Z334" s="49"/>
      <c r="AA334" s="49"/>
      <c r="AB334" s="49"/>
      <c r="AC334" s="49"/>
      <c r="AD334" s="91"/>
      <c r="AE334" s="91"/>
      <c r="AF334" s="91"/>
      <c r="AG334" s="91"/>
    </row>
    <row r="335" spans="1:33">
      <c r="A335" s="549"/>
      <c r="B335" s="534">
        <v>333</v>
      </c>
      <c r="C335" s="539">
        <v>254104</v>
      </c>
      <c r="D335" s="565">
        <v>41056613</v>
      </c>
      <c r="E335" s="430" t="s">
        <v>2015</v>
      </c>
      <c r="F335" s="565">
        <v>44</v>
      </c>
      <c r="G335" s="325" t="s">
        <v>2016</v>
      </c>
      <c r="H335" s="325" t="s">
        <v>278</v>
      </c>
      <c r="I335" s="565">
        <v>985701293</v>
      </c>
      <c r="J335" s="48" t="s">
        <v>223</v>
      </c>
      <c r="K335" s="549">
        <v>46066</v>
      </c>
      <c r="L335" s="54" t="s">
        <v>2017</v>
      </c>
      <c r="M335" s="534" t="s">
        <v>260</v>
      </c>
      <c r="N335" s="49" t="s">
        <v>241</v>
      </c>
      <c r="O335" s="437">
        <v>46073</v>
      </c>
      <c r="P335" s="546" t="s">
        <v>292</v>
      </c>
      <c r="Q335" s="802">
        <v>46082</v>
      </c>
      <c r="R335" s="806" t="s">
        <v>228</v>
      </c>
      <c r="S335" s="54"/>
      <c r="T335" s="54"/>
      <c r="U335" s="54"/>
      <c r="V335" s="54"/>
      <c r="W335" s="54"/>
      <c r="X335" s="54"/>
      <c r="Y335" s="54"/>
      <c r="Z335" s="54"/>
      <c r="AA335" s="54"/>
      <c r="AB335" s="54"/>
      <c r="AC335" s="54"/>
      <c r="AD335" s="91"/>
      <c r="AE335" s="91"/>
      <c r="AF335" s="91"/>
      <c r="AG335" s="91"/>
    </row>
    <row r="336" spans="1:33" ht="24.75">
      <c r="A336" s="549"/>
      <c r="B336" s="534">
        <v>334</v>
      </c>
      <c r="C336" s="539">
        <v>378522</v>
      </c>
      <c r="D336" s="565">
        <v>43227457</v>
      </c>
      <c r="E336" s="430" t="s">
        <v>2018</v>
      </c>
      <c r="F336" s="565">
        <v>55</v>
      </c>
      <c r="G336" s="325" t="s">
        <v>2019</v>
      </c>
      <c r="H336" s="325" t="s">
        <v>246</v>
      </c>
      <c r="I336" s="565">
        <v>932715940</v>
      </c>
      <c r="J336" s="54" t="s">
        <v>707</v>
      </c>
      <c r="K336" s="549">
        <v>46066</v>
      </c>
      <c r="L336" s="54" t="s">
        <v>718</v>
      </c>
      <c r="M336" s="534" t="s">
        <v>312</v>
      </c>
      <c r="N336" s="49" t="s">
        <v>601</v>
      </c>
      <c r="O336" s="437">
        <v>46073</v>
      </c>
      <c r="P336" s="546" t="s">
        <v>292</v>
      </c>
      <c r="Q336" s="807">
        <v>46082</v>
      </c>
      <c r="R336" s="539" t="s">
        <v>242</v>
      </c>
      <c r="S336" s="54"/>
      <c r="T336" s="54"/>
      <c r="U336" s="54"/>
      <c r="V336" s="54"/>
      <c r="W336" s="54"/>
      <c r="X336" s="54"/>
      <c r="Y336" s="54"/>
      <c r="Z336" s="54"/>
      <c r="AA336" s="54"/>
      <c r="AB336" s="54"/>
      <c r="AC336" s="54"/>
      <c r="AD336" s="91"/>
      <c r="AE336" s="91"/>
      <c r="AF336" s="91"/>
      <c r="AG336" s="91"/>
    </row>
    <row r="337" spans="1:33">
      <c r="A337" s="534"/>
      <c r="B337" s="534">
        <v>335</v>
      </c>
      <c r="C337" s="534">
        <v>277852</v>
      </c>
      <c r="D337" s="534">
        <v>15758604</v>
      </c>
      <c r="E337" s="50" t="s">
        <v>2020</v>
      </c>
      <c r="F337" s="534">
        <v>48</v>
      </c>
      <c r="G337" s="49" t="s">
        <v>2021</v>
      </c>
      <c r="H337" s="49" t="s">
        <v>432</v>
      </c>
      <c r="I337" s="534">
        <v>977299702</v>
      </c>
      <c r="J337" s="49" t="s">
        <v>588</v>
      </c>
      <c r="K337" s="549">
        <v>46066</v>
      </c>
      <c r="L337" s="49" t="s">
        <v>2022</v>
      </c>
      <c r="M337" s="534" t="s">
        <v>260</v>
      </c>
      <c r="N337" s="49" t="s">
        <v>241</v>
      </c>
      <c r="O337" s="437">
        <v>46073</v>
      </c>
      <c r="P337" s="546" t="s">
        <v>292</v>
      </c>
      <c r="Q337" s="807">
        <v>46082</v>
      </c>
      <c r="R337" s="808">
        <v>46082</v>
      </c>
      <c r="S337" s="49"/>
      <c r="T337" s="49"/>
      <c r="U337" s="49"/>
      <c r="V337" s="49"/>
      <c r="W337" s="49"/>
      <c r="X337" s="49"/>
      <c r="Y337" s="49"/>
      <c r="Z337" s="49"/>
      <c r="AA337" s="49"/>
      <c r="AB337" s="49"/>
      <c r="AC337" s="49"/>
      <c r="AD337" s="91"/>
      <c r="AE337" s="91"/>
      <c r="AF337" s="91"/>
      <c r="AG337" s="91"/>
    </row>
    <row r="338" spans="1:33">
      <c r="A338" s="539"/>
      <c r="B338" s="534">
        <v>336</v>
      </c>
      <c r="C338" s="539">
        <v>293871</v>
      </c>
      <c r="D338" s="565">
        <v>31924503</v>
      </c>
      <c r="E338" s="430" t="s">
        <v>2023</v>
      </c>
      <c r="F338" s="565">
        <v>50</v>
      </c>
      <c r="G338" s="325" t="s">
        <v>2024</v>
      </c>
      <c r="H338" s="54" t="s">
        <v>326</v>
      </c>
      <c r="I338" s="565">
        <v>940336052</v>
      </c>
      <c r="J338" s="54" t="s">
        <v>328</v>
      </c>
      <c r="K338" s="543">
        <v>46063</v>
      </c>
      <c r="L338" s="54" t="s">
        <v>683</v>
      </c>
      <c r="M338" s="534" t="s">
        <v>312</v>
      </c>
      <c r="N338" s="49" t="s">
        <v>601</v>
      </c>
      <c r="O338" s="437">
        <v>46073</v>
      </c>
      <c r="P338" s="546" t="s">
        <v>292</v>
      </c>
      <c r="Q338" s="807">
        <v>46082</v>
      </c>
      <c r="R338" s="539" t="s">
        <v>242</v>
      </c>
      <c r="S338" s="54"/>
      <c r="T338" s="54"/>
      <c r="U338" s="54"/>
      <c r="V338" s="54"/>
      <c r="W338" s="54"/>
      <c r="X338" s="54"/>
      <c r="Y338" s="54"/>
      <c r="Z338" s="54"/>
      <c r="AA338" s="54"/>
      <c r="AB338" s="54"/>
      <c r="AC338" s="54"/>
      <c r="AD338" s="91"/>
      <c r="AE338" s="91"/>
      <c r="AF338" s="91"/>
      <c r="AG338" s="91"/>
    </row>
    <row r="339" spans="1:33" ht="24.75">
      <c r="A339" s="549"/>
      <c r="B339" s="534">
        <v>337</v>
      </c>
      <c r="C339" s="539">
        <v>379999</v>
      </c>
      <c r="D339" s="565">
        <v>42000379</v>
      </c>
      <c r="E339" s="430" t="s">
        <v>2025</v>
      </c>
      <c r="F339" s="565">
        <v>45</v>
      </c>
      <c r="G339" s="325" t="s">
        <v>2026</v>
      </c>
      <c r="H339" s="325" t="s">
        <v>288</v>
      </c>
      <c r="I339" s="565">
        <v>955160874</v>
      </c>
      <c r="J339" s="54" t="s">
        <v>347</v>
      </c>
      <c r="K339" s="549">
        <v>46066</v>
      </c>
      <c r="L339" s="54" t="s">
        <v>845</v>
      </c>
      <c r="M339" s="534" t="s">
        <v>260</v>
      </c>
      <c r="N339" s="49" t="s">
        <v>241</v>
      </c>
      <c r="O339" s="437">
        <v>46073</v>
      </c>
      <c r="P339" s="546" t="s">
        <v>292</v>
      </c>
      <c r="Q339" s="809" t="s">
        <v>334</v>
      </c>
      <c r="R339" s="539"/>
      <c r="S339" s="54"/>
      <c r="T339" s="54"/>
      <c r="U339" s="54"/>
      <c r="V339" s="54"/>
      <c r="W339" s="54"/>
      <c r="X339" s="54"/>
      <c r="Y339" s="54"/>
      <c r="Z339" s="54"/>
      <c r="AA339" s="54"/>
      <c r="AB339" s="54"/>
      <c r="AC339" s="54"/>
      <c r="AD339" s="91"/>
      <c r="AE339" s="91"/>
      <c r="AF339" s="91"/>
      <c r="AG339" s="91"/>
    </row>
    <row r="340" spans="1:33" ht="24.75">
      <c r="A340" s="549"/>
      <c r="B340" s="534">
        <v>338</v>
      </c>
      <c r="C340" s="539">
        <v>17170</v>
      </c>
      <c r="D340" s="565">
        <v>15606927</v>
      </c>
      <c r="E340" s="430" t="s">
        <v>2027</v>
      </c>
      <c r="F340" s="565">
        <v>62</v>
      </c>
      <c r="G340" s="325" t="s">
        <v>2028</v>
      </c>
      <c r="H340" s="325" t="s">
        <v>222</v>
      </c>
      <c r="I340" s="565">
        <v>974825696</v>
      </c>
      <c r="J340" s="54" t="s">
        <v>283</v>
      </c>
      <c r="K340" s="549">
        <v>46066</v>
      </c>
      <c r="L340" s="54" t="s">
        <v>2029</v>
      </c>
      <c r="M340" s="534" t="s">
        <v>312</v>
      </c>
      <c r="N340" s="49" t="s">
        <v>884</v>
      </c>
      <c r="O340" s="437">
        <v>46073</v>
      </c>
      <c r="P340" s="546" t="s">
        <v>292</v>
      </c>
      <c r="Q340" s="825">
        <v>46082</v>
      </c>
      <c r="R340" s="539" t="s">
        <v>318</v>
      </c>
      <c r="S340" s="54"/>
      <c r="T340" s="54"/>
      <c r="U340" s="54"/>
      <c r="V340" s="54"/>
      <c r="W340" s="54"/>
      <c r="X340" s="54"/>
      <c r="Y340" s="54"/>
      <c r="Z340" s="54"/>
      <c r="AA340" s="54"/>
      <c r="AB340" s="54"/>
      <c r="AC340" s="54"/>
      <c r="AD340" s="91"/>
      <c r="AE340" s="91"/>
      <c r="AF340" s="91"/>
      <c r="AG340" s="91"/>
    </row>
    <row r="341" spans="1:33">
      <c r="A341" s="534"/>
      <c r="B341" s="534">
        <v>339</v>
      </c>
      <c r="C341" s="534">
        <v>522965</v>
      </c>
      <c r="D341" s="534">
        <v>15953338</v>
      </c>
      <c r="E341" s="50" t="s">
        <v>2030</v>
      </c>
      <c r="F341" s="534">
        <v>60</v>
      </c>
      <c r="G341" s="49" t="s">
        <v>2031</v>
      </c>
      <c r="H341" s="49" t="s">
        <v>461</v>
      </c>
      <c r="I341" s="534">
        <v>947368726</v>
      </c>
      <c r="J341" s="49" t="s">
        <v>162</v>
      </c>
      <c r="K341" s="549">
        <v>46066</v>
      </c>
      <c r="L341" s="49" t="s">
        <v>2032</v>
      </c>
      <c r="M341" s="534" t="s">
        <v>230</v>
      </c>
      <c r="N341" s="49" t="s">
        <v>884</v>
      </c>
      <c r="O341" s="53">
        <v>46080</v>
      </c>
      <c r="P341" s="546" t="s">
        <v>1330</v>
      </c>
      <c r="Q341" s="471" t="s">
        <v>358</v>
      </c>
      <c r="R341" s="566"/>
      <c r="S341" s="49"/>
      <c r="T341" s="49"/>
      <c r="U341" s="49"/>
      <c r="V341" s="49"/>
      <c r="W341" s="49"/>
      <c r="X341" s="49"/>
      <c r="Y341" s="49"/>
      <c r="Z341" s="49"/>
      <c r="AA341" s="49"/>
      <c r="AB341" s="49"/>
      <c r="AC341" s="49"/>
      <c r="AD341" s="91"/>
      <c r="AE341" s="91"/>
      <c r="AF341" s="91"/>
      <c r="AG341" s="91"/>
    </row>
    <row r="342" spans="1:33">
      <c r="A342" s="546"/>
      <c r="B342" s="534">
        <v>340</v>
      </c>
      <c r="C342" s="534">
        <v>193509</v>
      </c>
      <c r="D342" s="479">
        <v>15762417</v>
      </c>
      <c r="E342" s="58" t="s">
        <v>2033</v>
      </c>
      <c r="F342" s="479">
        <v>48</v>
      </c>
      <c r="G342" s="430" t="s">
        <v>2034</v>
      </c>
      <c r="H342" s="430" t="s">
        <v>301</v>
      </c>
      <c r="I342" s="479">
        <v>928357840</v>
      </c>
      <c r="J342" s="47" t="s">
        <v>380</v>
      </c>
      <c r="K342" s="544"/>
      <c r="L342" s="49" t="s">
        <v>824</v>
      </c>
      <c r="M342" s="534" t="s">
        <v>260</v>
      </c>
      <c r="N342" s="49" t="s">
        <v>241</v>
      </c>
      <c r="O342" s="437">
        <v>46093</v>
      </c>
      <c r="P342" s="546" t="s">
        <v>1873</v>
      </c>
      <c r="Q342" s="809" t="s">
        <v>334</v>
      </c>
      <c r="R342" s="566"/>
      <c r="S342" s="49"/>
      <c r="T342" s="49"/>
      <c r="U342" s="49"/>
      <c r="V342" s="49"/>
      <c r="W342" s="49"/>
      <c r="X342" s="49"/>
      <c r="Y342" s="49"/>
      <c r="Z342" s="49"/>
      <c r="AA342" s="49"/>
      <c r="AB342" s="49"/>
      <c r="AC342" s="49"/>
      <c r="AD342" s="91"/>
      <c r="AE342" s="91"/>
      <c r="AF342" s="91"/>
      <c r="AG342" s="91"/>
    </row>
    <row r="343" spans="1:33" ht="24.75">
      <c r="A343" s="549"/>
      <c r="B343" s="534">
        <v>341</v>
      </c>
      <c r="C343" s="539">
        <v>341439</v>
      </c>
      <c r="D343" s="565">
        <v>15721409</v>
      </c>
      <c r="E343" s="430" t="s">
        <v>2035</v>
      </c>
      <c r="F343" s="565">
        <v>52</v>
      </c>
      <c r="G343" s="325" t="s">
        <v>2036</v>
      </c>
      <c r="H343" s="325" t="s">
        <v>326</v>
      </c>
      <c r="I343" s="565">
        <v>970379390</v>
      </c>
      <c r="J343" s="54" t="s">
        <v>375</v>
      </c>
      <c r="K343" s="549">
        <v>46066</v>
      </c>
      <c r="L343" s="54" t="s">
        <v>2037</v>
      </c>
      <c r="M343" s="534" t="s">
        <v>260</v>
      </c>
      <c r="N343" s="49" t="s">
        <v>241</v>
      </c>
      <c r="O343" s="437">
        <v>46073</v>
      </c>
      <c r="P343" s="546" t="s">
        <v>292</v>
      </c>
      <c r="Q343" s="816" t="s">
        <v>2038</v>
      </c>
      <c r="R343" s="539"/>
      <c r="S343" s="54"/>
      <c r="T343" s="54"/>
      <c r="U343" s="54"/>
      <c r="V343" s="54"/>
      <c r="W343" s="54"/>
      <c r="X343" s="54"/>
      <c r="Y343" s="54"/>
      <c r="Z343" s="54"/>
      <c r="AA343" s="54"/>
      <c r="AB343" s="54"/>
      <c r="AC343" s="54"/>
      <c r="AD343" s="91"/>
      <c r="AE343" s="91"/>
      <c r="AF343" s="91"/>
      <c r="AG343" s="91"/>
    </row>
    <row r="344" spans="1:33">
      <c r="A344" s="534"/>
      <c r="B344" s="534">
        <v>342</v>
      </c>
      <c r="C344" s="534">
        <v>522967</v>
      </c>
      <c r="D344" s="534">
        <v>40053952</v>
      </c>
      <c r="E344" s="50" t="s">
        <v>2039</v>
      </c>
      <c r="F344" s="534">
        <v>47</v>
      </c>
      <c r="G344" s="49" t="s">
        <v>2040</v>
      </c>
      <c r="H344" s="49" t="s">
        <v>461</v>
      </c>
      <c r="I344" s="534">
        <v>961720799</v>
      </c>
      <c r="J344" s="49" t="s">
        <v>162</v>
      </c>
      <c r="K344" s="549">
        <v>46066</v>
      </c>
      <c r="L344" s="49" t="s">
        <v>620</v>
      </c>
      <c r="M344" s="534" t="s">
        <v>260</v>
      </c>
      <c r="N344" s="49" t="s">
        <v>241</v>
      </c>
      <c r="O344" s="53">
        <v>46073</v>
      </c>
      <c r="P344" s="546" t="s">
        <v>1330</v>
      </c>
      <c r="Q344" s="471" t="s">
        <v>358</v>
      </c>
      <c r="R344" s="566"/>
      <c r="S344" s="49"/>
      <c r="T344" s="49"/>
      <c r="U344" s="49"/>
      <c r="V344" s="49"/>
      <c r="W344" s="49"/>
      <c r="X344" s="49"/>
      <c r="Y344" s="49"/>
      <c r="Z344" s="49"/>
      <c r="AA344" s="49"/>
      <c r="AB344" s="49"/>
      <c r="AC344" s="49"/>
      <c r="AD344" s="91"/>
      <c r="AE344" s="91"/>
      <c r="AF344" s="91"/>
      <c r="AG344" s="91"/>
    </row>
    <row r="345" spans="1:33">
      <c r="A345" s="549"/>
      <c r="B345" s="534">
        <v>343</v>
      </c>
      <c r="C345" s="539">
        <v>212648</v>
      </c>
      <c r="D345" s="565">
        <v>15765666</v>
      </c>
      <c r="E345" s="430" t="s">
        <v>2041</v>
      </c>
      <c r="F345" s="565">
        <v>47</v>
      </c>
      <c r="G345" s="325" t="s">
        <v>2042</v>
      </c>
      <c r="H345" s="325" t="s">
        <v>461</v>
      </c>
      <c r="I345" s="565">
        <v>987521613</v>
      </c>
      <c r="J345" s="54" t="s">
        <v>162</v>
      </c>
      <c r="K345" s="549">
        <v>46066</v>
      </c>
      <c r="L345" s="54" t="s">
        <v>2043</v>
      </c>
      <c r="M345" s="534" t="s">
        <v>312</v>
      </c>
      <c r="N345" s="49" t="s">
        <v>884</v>
      </c>
      <c r="O345" s="53">
        <v>46073</v>
      </c>
      <c r="P345" s="546" t="s">
        <v>1330</v>
      </c>
      <c r="Q345" s="471" t="s">
        <v>358</v>
      </c>
      <c r="R345" s="539"/>
      <c r="S345" s="54"/>
      <c r="T345" s="54"/>
      <c r="U345" s="54"/>
      <c r="V345" s="54"/>
      <c r="W345" s="54"/>
      <c r="X345" s="54"/>
      <c r="Y345" s="54"/>
      <c r="Z345" s="54"/>
      <c r="AA345" s="54"/>
      <c r="AB345" s="54"/>
      <c r="AC345" s="54"/>
      <c r="AD345" s="91"/>
      <c r="AE345" s="91"/>
      <c r="AF345" s="91"/>
      <c r="AG345" s="91"/>
    </row>
    <row r="346" spans="1:33" ht="24.75">
      <c r="A346" s="546"/>
      <c r="B346" s="534">
        <v>344</v>
      </c>
      <c r="C346" s="534">
        <v>221067</v>
      </c>
      <c r="D346" s="479">
        <v>80564639</v>
      </c>
      <c r="E346" s="58" t="s">
        <v>2044</v>
      </c>
      <c r="F346" s="479">
        <v>48</v>
      </c>
      <c r="G346" s="430" t="s">
        <v>2045</v>
      </c>
      <c r="H346" s="430" t="s">
        <v>461</v>
      </c>
      <c r="I346" s="479">
        <v>967027701</v>
      </c>
      <c r="J346" s="47" t="s">
        <v>162</v>
      </c>
      <c r="K346" s="600">
        <v>46066</v>
      </c>
      <c r="L346" s="49" t="s">
        <v>458</v>
      </c>
      <c r="M346" s="534" t="s">
        <v>260</v>
      </c>
      <c r="N346" s="49" t="s">
        <v>241</v>
      </c>
      <c r="O346" s="53">
        <v>46073</v>
      </c>
      <c r="P346" s="546" t="s">
        <v>1330</v>
      </c>
      <c r="Q346" s="471" t="s">
        <v>358</v>
      </c>
      <c r="R346" s="566"/>
      <c r="S346" s="49"/>
      <c r="T346" s="49"/>
      <c r="U346" s="49"/>
      <c r="V346" s="49"/>
      <c r="W346" s="49"/>
      <c r="X346" s="49"/>
      <c r="Y346" s="49"/>
      <c r="Z346" s="49"/>
      <c r="AA346" s="49"/>
      <c r="AB346" s="49"/>
      <c r="AC346" s="49"/>
      <c r="AD346" s="91"/>
      <c r="AE346" s="91"/>
      <c r="AF346" s="91"/>
      <c r="AG346" s="91"/>
    </row>
    <row r="347" spans="1:33">
      <c r="A347" s="549"/>
      <c r="B347" s="534">
        <v>345</v>
      </c>
      <c r="C347" s="539">
        <v>267016</v>
      </c>
      <c r="D347" s="565">
        <v>41328188</v>
      </c>
      <c r="E347" s="430" t="s">
        <v>2046</v>
      </c>
      <c r="F347" s="565">
        <v>42</v>
      </c>
      <c r="G347" s="325" t="s">
        <v>2047</v>
      </c>
      <c r="H347" s="325" t="s">
        <v>461</v>
      </c>
      <c r="I347" s="565">
        <v>987521613</v>
      </c>
      <c r="J347" s="54" t="s">
        <v>162</v>
      </c>
      <c r="K347" s="600">
        <v>46066</v>
      </c>
      <c r="L347" s="54" t="s">
        <v>458</v>
      </c>
      <c r="M347" s="534" t="s">
        <v>260</v>
      </c>
      <c r="N347" s="49" t="s">
        <v>241</v>
      </c>
      <c r="O347" s="53">
        <v>46073</v>
      </c>
      <c r="P347" s="546" t="s">
        <v>1330</v>
      </c>
      <c r="Q347" s="471" t="s">
        <v>358</v>
      </c>
      <c r="R347" s="539"/>
      <c r="S347" s="54"/>
      <c r="T347" s="54"/>
      <c r="U347" s="54"/>
      <c r="V347" s="54"/>
      <c r="W347" s="54"/>
      <c r="X347" s="54"/>
      <c r="Y347" s="54"/>
      <c r="Z347" s="54"/>
      <c r="AA347" s="54"/>
      <c r="AB347" s="54"/>
      <c r="AC347" s="54"/>
      <c r="AD347" s="91"/>
      <c r="AE347" s="91"/>
      <c r="AF347" s="91"/>
      <c r="AG347" s="91"/>
    </row>
    <row r="348" spans="1:33">
      <c r="A348" s="533">
        <v>46067</v>
      </c>
      <c r="B348" s="534">
        <v>346</v>
      </c>
      <c r="C348" s="534">
        <v>145938</v>
      </c>
      <c r="D348" s="534">
        <v>15759354</v>
      </c>
      <c r="E348" s="50" t="s">
        <v>2048</v>
      </c>
      <c r="F348" s="534">
        <v>49</v>
      </c>
      <c r="G348" s="49" t="s">
        <v>2049</v>
      </c>
      <c r="H348" s="49" t="s">
        <v>278</v>
      </c>
      <c r="I348" s="534">
        <v>923410940</v>
      </c>
      <c r="J348" s="49" t="s">
        <v>238</v>
      </c>
      <c r="K348" s="535">
        <v>46067</v>
      </c>
      <c r="L348" s="49" t="s">
        <v>2050</v>
      </c>
      <c r="M348" s="534" t="s">
        <v>260</v>
      </c>
      <c r="N348" s="49" t="s">
        <v>241</v>
      </c>
      <c r="O348" s="53">
        <v>46073</v>
      </c>
      <c r="P348" s="534"/>
      <c r="Q348" s="534" t="s">
        <v>2051</v>
      </c>
      <c r="R348" s="534"/>
      <c r="S348" s="49"/>
      <c r="T348" s="49"/>
      <c r="U348" s="49"/>
      <c r="V348" s="49"/>
      <c r="W348" s="49"/>
      <c r="X348" s="49"/>
      <c r="Y348" s="49"/>
      <c r="Z348" s="49"/>
      <c r="AA348" s="49"/>
      <c r="AB348" s="49"/>
      <c r="AC348" s="49"/>
      <c r="AD348" s="91"/>
      <c r="AE348" s="91"/>
      <c r="AF348" s="91"/>
      <c r="AG348" s="91"/>
    </row>
    <row r="349" spans="1:33">
      <c r="A349" s="534"/>
      <c r="B349" s="534">
        <v>347</v>
      </c>
      <c r="C349" s="534">
        <v>522982</v>
      </c>
      <c r="D349" s="534" t="s">
        <v>2052</v>
      </c>
      <c r="E349" s="50" t="s">
        <v>2053</v>
      </c>
      <c r="F349" s="534">
        <v>46</v>
      </c>
      <c r="G349" s="49" t="s">
        <v>2054</v>
      </c>
      <c r="H349" s="49" t="s">
        <v>278</v>
      </c>
      <c r="I349" s="534">
        <v>977201127</v>
      </c>
      <c r="J349" s="49" t="s">
        <v>238</v>
      </c>
      <c r="K349" s="535">
        <v>46067</v>
      </c>
      <c r="L349" s="49" t="s">
        <v>2055</v>
      </c>
      <c r="M349" s="534" t="s">
        <v>312</v>
      </c>
      <c r="N349" s="49" t="s">
        <v>317</v>
      </c>
      <c r="O349" s="53">
        <v>46080</v>
      </c>
      <c r="P349" s="534"/>
      <c r="Q349" s="534" t="s">
        <v>1479</v>
      </c>
      <c r="R349" s="534"/>
      <c r="S349" s="49"/>
      <c r="T349" s="49"/>
      <c r="U349" s="49"/>
      <c r="V349" s="49"/>
      <c r="W349" s="49"/>
      <c r="X349" s="49"/>
      <c r="Y349" s="49"/>
      <c r="Z349" s="49"/>
      <c r="AA349" s="49"/>
      <c r="AB349" s="49"/>
      <c r="AC349" s="49"/>
      <c r="AD349" s="91"/>
      <c r="AE349" s="91"/>
      <c r="AF349" s="91"/>
      <c r="AG349" s="91"/>
    </row>
    <row r="350" spans="1:33">
      <c r="A350" s="534"/>
      <c r="B350" s="534">
        <v>348</v>
      </c>
      <c r="C350" s="534">
        <v>522978</v>
      </c>
      <c r="D350" s="534">
        <v>15992507</v>
      </c>
      <c r="E350" s="50" t="s">
        <v>2056</v>
      </c>
      <c r="F350" s="534">
        <v>50</v>
      </c>
      <c r="G350" s="49" t="s">
        <v>2057</v>
      </c>
      <c r="H350" s="49" t="s">
        <v>271</v>
      </c>
      <c r="I350" s="534">
        <v>929321873</v>
      </c>
      <c r="J350" s="49" t="s">
        <v>164</v>
      </c>
      <c r="K350" s="535">
        <v>46067</v>
      </c>
      <c r="L350" s="49" t="s">
        <v>2058</v>
      </c>
      <c r="M350" s="534" t="s">
        <v>260</v>
      </c>
      <c r="N350" s="49" t="s">
        <v>241</v>
      </c>
      <c r="O350" s="53">
        <v>46073</v>
      </c>
      <c r="P350" s="414" t="s">
        <v>1630</v>
      </c>
      <c r="Q350" s="471" t="s">
        <v>358</v>
      </c>
      <c r="R350" s="534"/>
      <c r="S350" s="49"/>
      <c r="T350" s="49"/>
      <c r="U350" s="49"/>
      <c r="V350" s="49"/>
      <c r="W350" s="49"/>
      <c r="X350" s="49"/>
      <c r="Y350" s="49"/>
      <c r="Z350" s="49"/>
      <c r="AA350" s="49"/>
      <c r="AB350" s="49"/>
      <c r="AC350" s="49"/>
      <c r="AD350" s="91"/>
      <c r="AE350" s="91"/>
      <c r="AF350" s="91"/>
      <c r="AG350" s="91"/>
    </row>
    <row r="351" spans="1:33">
      <c r="A351" s="534"/>
      <c r="B351" s="534">
        <v>349</v>
      </c>
      <c r="C351" s="534">
        <v>38293</v>
      </c>
      <c r="D351" s="534">
        <v>15614085</v>
      </c>
      <c r="E351" s="50" t="s">
        <v>2059</v>
      </c>
      <c r="F351" s="534">
        <v>69</v>
      </c>
      <c r="G351" s="49" t="s">
        <v>2060</v>
      </c>
      <c r="H351" s="49" t="s">
        <v>326</v>
      </c>
      <c r="I351" s="534" t="s">
        <v>2061</v>
      </c>
      <c r="J351" s="49" t="s">
        <v>375</v>
      </c>
      <c r="K351" s="535">
        <v>46067</v>
      </c>
      <c r="L351" s="49" t="s">
        <v>1098</v>
      </c>
      <c r="M351" s="534" t="s">
        <v>230</v>
      </c>
      <c r="N351" s="49" t="s">
        <v>601</v>
      </c>
      <c r="O351" s="437">
        <v>46087</v>
      </c>
      <c r="P351" s="546" t="s">
        <v>2062</v>
      </c>
      <c r="Q351" s="807">
        <v>46082</v>
      </c>
      <c r="R351" s="566" t="s">
        <v>242</v>
      </c>
      <c r="S351" s="49"/>
      <c r="T351" s="49"/>
      <c r="U351" s="49"/>
      <c r="V351" s="49"/>
      <c r="W351" s="49"/>
      <c r="X351" s="49"/>
      <c r="Y351" s="49"/>
      <c r="Z351" s="49"/>
      <c r="AA351" s="49"/>
      <c r="AB351" s="49"/>
      <c r="AC351" s="49"/>
      <c r="AD351" s="91"/>
      <c r="AE351" s="91"/>
      <c r="AF351" s="91"/>
      <c r="AG351" s="91"/>
    </row>
    <row r="352" spans="1:33">
      <c r="A352" s="534"/>
      <c r="B352" s="534">
        <v>350</v>
      </c>
      <c r="C352" s="534">
        <v>297218</v>
      </c>
      <c r="D352" s="534">
        <v>15758641</v>
      </c>
      <c r="E352" s="242" t="s">
        <v>2063</v>
      </c>
      <c r="F352" s="534">
        <v>48</v>
      </c>
      <c r="G352" s="49" t="s">
        <v>2064</v>
      </c>
      <c r="H352" s="49" t="s">
        <v>432</v>
      </c>
      <c r="I352" s="534">
        <v>995562791</v>
      </c>
      <c r="J352" s="49" t="s">
        <v>1209</v>
      </c>
      <c r="K352" s="535">
        <v>46067</v>
      </c>
      <c r="L352" s="49" t="s">
        <v>458</v>
      </c>
      <c r="M352" s="534" t="s">
        <v>260</v>
      </c>
      <c r="N352" s="49" t="s">
        <v>241</v>
      </c>
      <c r="O352" s="437">
        <v>46083</v>
      </c>
      <c r="P352" s="546" t="s">
        <v>292</v>
      </c>
      <c r="Q352" s="816" t="s">
        <v>334</v>
      </c>
      <c r="R352" s="534"/>
      <c r="S352" s="49"/>
      <c r="T352" s="49"/>
      <c r="U352" s="49"/>
      <c r="V352" s="49"/>
      <c r="W352" s="49"/>
      <c r="X352" s="49"/>
      <c r="Y352" s="49"/>
      <c r="Z352" s="49"/>
      <c r="AA352" s="49"/>
      <c r="AB352" s="49"/>
      <c r="AC352" s="49"/>
      <c r="AD352" s="91"/>
      <c r="AE352" s="91"/>
      <c r="AF352" s="91"/>
      <c r="AG352" s="91"/>
    </row>
    <row r="353" spans="1:33">
      <c r="A353" s="534"/>
      <c r="B353" s="534">
        <v>351</v>
      </c>
      <c r="C353" s="534">
        <v>69349</v>
      </c>
      <c r="D353" s="534">
        <v>32930825</v>
      </c>
      <c r="E353" s="50" t="s">
        <v>2065</v>
      </c>
      <c r="F353" s="534">
        <v>54</v>
      </c>
      <c r="G353" s="49" t="s">
        <v>2066</v>
      </c>
      <c r="H353" s="49" t="s">
        <v>222</v>
      </c>
      <c r="I353" s="534">
        <v>967983694</v>
      </c>
      <c r="J353" s="49" t="s">
        <v>283</v>
      </c>
      <c r="K353" s="535">
        <v>46067</v>
      </c>
      <c r="L353" s="49" t="s">
        <v>683</v>
      </c>
      <c r="M353" s="534" t="s">
        <v>312</v>
      </c>
      <c r="N353" s="49" t="s">
        <v>601</v>
      </c>
      <c r="O353" s="437">
        <v>46073</v>
      </c>
      <c r="P353" s="546" t="s">
        <v>292</v>
      </c>
      <c r="Q353" s="829" t="s">
        <v>710</v>
      </c>
      <c r="R353" s="534"/>
      <c r="S353" s="49"/>
      <c r="T353" s="49"/>
      <c r="U353" s="49"/>
      <c r="V353" s="49"/>
      <c r="W353" s="49"/>
      <c r="X353" s="49"/>
      <c r="Y353" s="49"/>
      <c r="Z353" s="49"/>
      <c r="AA353" s="49"/>
      <c r="AB353" s="49"/>
      <c r="AC353" s="49"/>
      <c r="AD353" s="91"/>
      <c r="AE353" s="91"/>
      <c r="AF353" s="91"/>
      <c r="AG353" s="91"/>
    </row>
    <row r="354" spans="1:33">
      <c r="A354" s="534"/>
      <c r="B354" s="534">
        <v>352</v>
      </c>
      <c r="C354" s="534">
        <v>522977</v>
      </c>
      <c r="D354" s="539">
        <v>15975448</v>
      </c>
      <c r="E354" s="48" t="s">
        <v>2067</v>
      </c>
      <c r="F354" s="539">
        <v>59</v>
      </c>
      <c r="G354" s="54" t="s">
        <v>2068</v>
      </c>
      <c r="H354" s="54" t="s">
        <v>271</v>
      </c>
      <c r="I354" s="539">
        <v>993992095</v>
      </c>
      <c r="J354" s="49" t="s">
        <v>164</v>
      </c>
      <c r="K354" s="535">
        <v>46067</v>
      </c>
      <c r="L354" s="49" t="s">
        <v>683</v>
      </c>
      <c r="M354" s="534" t="s">
        <v>312</v>
      </c>
      <c r="N354" s="49" t="s">
        <v>601</v>
      </c>
      <c r="O354" s="53">
        <v>46073</v>
      </c>
      <c r="P354" s="414" t="s">
        <v>1630</v>
      </c>
      <c r="Q354" s="471" t="s">
        <v>358</v>
      </c>
      <c r="R354" s="534"/>
      <c r="S354" s="49"/>
      <c r="T354" s="49"/>
      <c r="U354" s="49"/>
      <c r="V354" s="49"/>
      <c r="W354" s="49"/>
      <c r="X354" s="49"/>
      <c r="Y354" s="49"/>
      <c r="Z354" s="49"/>
      <c r="AA354" s="49"/>
      <c r="AB354" s="49"/>
      <c r="AC354" s="49"/>
      <c r="AD354" s="91"/>
      <c r="AE354" s="91"/>
      <c r="AF354" s="91"/>
      <c r="AG354" s="91"/>
    </row>
    <row r="355" spans="1:33">
      <c r="A355" s="534"/>
      <c r="B355" s="534">
        <v>353</v>
      </c>
      <c r="C355" s="534">
        <v>346512</v>
      </c>
      <c r="D355" s="534">
        <v>41677067</v>
      </c>
      <c r="E355" s="50" t="s">
        <v>2069</v>
      </c>
      <c r="F355" s="534">
        <v>42</v>
      </c>
      <c r="G355" s="49" t="s">
        <v>2070</v>
      </c>
      <c r="H355" s="49" t="s">
        <v>2071</v>
      </c>
      <c r="I355" s="534">
        <v>963819065</v>
      </c>
      <c r="J355" s="49" t="s">
        <v>238</v>
      </c>
      <c r="K355" s="535">
        <v>46067</v>
      </c>
      <c r="L355" s="49" t="s">
        <v>2072</v>
      </c>
      <c r="M355" s="534" t="s">
        <v>260</v>
      </c>
      <c r="N355" s="49" t="s">
        <v>241</v>
      </c>
      <c r="O355" s="53">
        <v>46073</v>
      </c>
      <c r="P355" s="534"/>
      <c r="Q355" s="534" t="s">
        <v>1612</v>
      </c>
      <c r="R355" s="534"/>
      <c r="S355" s="49"/>
      <c r="T355" s="49"/>
      <c r="U355" s="49"/>
      <c r="V355" s="49"/>
      <c r="W355" s="49"/>
      <c r="X355" s="49"/>
      <c r="Y355" s="49"/>
      <c r="Z355" s="49"/>
      <c r="AA355" s="49"/>
      <c r="AB355" s="49"/>
      <c r="AC355" s="49"/>
      <c r="AD355" s="91"/>
      <c r="AE355" s="91"/>
      <c r="AF355" s="91"/>
      <c r="AG355" s="91"/>
    </row>
    <row r="356" spans="1:33">
      <c r="A356" s="534"/>
      <c r="B356" s="534">
        <v>354</v>
      </c>
      <c r="C356" s="534">
        <v>63653</v>
      </c>
      <c r="D356" s="534">
        <v>15641139</v>
      </c>
      <c r="E356" s="50" t="s">
        <v>2073</v>
      </c>
      <c r="F356" s="534">
        <v>52</v>
      </c>
      <c r="G356" s="49" t="s">
        <v>2074</v>
      </c>
      <c r="H356" s="49" t="s">
        <v>326</v>
      </c>
      <c r="I356" s="534">
        <v>959827587</v>
      </c>
      <c r="J356" s="49" t="s">
        <v>375</v>
      </c>
      <c r="K356" s="535">
        <v>46067</v>
      </c>
      <c r="L356" s="49" t="s">
        <v>523</v>
      </c>
      <c r="M356" s="534" t="s">
        <v>230</v>
      </c>
      <c r="N356" s="49" t="s">
        <v>601</v>
      </c>
      <c r="O356" s="437">
        <v>46073</v>
      </c>
      <c r="P356" s="546" t="s">
        <v>292</v>
      </c>
      <c r="Q356" s="807">
        <v>46082</v>
      </c>
      <c r="R356" s="534" t="s">
        <v>242</v>
      </c>
      <c r="S356" s="49"/>
      <c r="T356" s="49"/>
      <c r="U356" s="49"/>
      <c r="V356" s="49"/>
      <c r="W356" s="49"/>
      <c r="X356" s="49"/>
      <c r="Y356" s="49"/>
      <c r="Z356" s="49"/>
      <c r="AA356" s="49"/>
      <c r="AB356" s="49"/>
      <c r="AC356" s="49"/>
      <c r="AD356" s="91"/>
      <c r="AE356" s="91"/>
      <c r="AF356" s="91"/>
      <c r="AG356" s="91"/>
    </row>
    <row r="357" spans="1:33">
      <c r="A357" s="534"/>
      <c r="B357" s="534">
        <v>355</v>
      </c>
      <c r="C357" s="534">
        <v>522980</v>
      </c>
      <c r="D357" s="534">
        <v>80145235</v>
      </c>
      <c r="E357" s="50" t="s">
        <v>2075</v>
      </c>
      <c r="F357" s="534">
        <v>55</v>
      </c>
      <c r="G357" s="49" t="s">
        <v>2076</v>
      </c>
      <c r="H357" s="49" t="s">
        <v>271</v>
      </c>
      <c r="I357" s="534">
        <v>917349720</v>
      </c>
      <c r="J357" s="49" t="s">
        <v>164</v>
      </c>
      <c r="K357" s="535">
        <v>46067</v>
      </c>
      <c r="L357" s="49" t="s">
        <v>2077</v>
      </c>
      <c r="M357" s="534" t="s">
        <v>312</v>
      </c>
      <c r="N357" s="49" t="s">
        <v>601</v>
      </c>
      <c r="O357" s="53">
        <v>46073</v>
      </c>
      <c r="P357" s="414" t="s">
        <v>1630</v>
      </c>
      <c r="Q357" s="471" t="s">
        <v>358</v>
      </c>
      <c r="R357" s="534"/>
      <c r="S357" s="49"/>
      <c r="T357" s="49"/>
      <c r="U357" s="49"/>
      <c r="V357" s="49"/>
      <c r="W357" s="49"/>
      <c r="X357" s="49"/>
      <c r="Y357" s="49"/>
      <c r="Z357" s="49"/>
      <c r="AA357" s="49"/>
      <c r="AB357" s="49"/>
      <c r="AC357" s="49"/>
      <c r="AD357" s="91"/>
      <c r="AE357" s="91"/>
      <c r="AF357" s="91"/>
      <c r="AG357" s="91"/>
    </row>
    <row r="358" spans="1:33">
      <c r="A358" s="534"/>
      <c r="B358" s="534">
        <v>356</v>
      </c>
      <c r="C358" s="534">
        <v>522981</v>
      </c>
      <c r="D358" s="534" t="s">
        <v>2078</v>
      </c>
      <c r="E358" s="50" t="s">
        <v>2079</v>
      </c>
      <c r="F358" s="534">
        <v>57</v>
      </c>
      <c r="G358" s="49" t="s">
        <v>2080</v>
      </c>
      <c r="H358" s="49" t="s">
        <v>288</v>
      </c>
      <c r="I358" s="534">
        <v>925478230</v>
      </c>
      <c r="J358" s="49" t="s">
        <v>238</v>
      </c>
      <c r="K358" s="535">
        <v>46067</v>
      </c>
      <c r="L358" s="49" t="s">
        <v>2081</v>
      </c>
      <c r="M358" s="534" t="s">
        <v>260</v>
      </c>
      <c r="N358" s="49" t="s">
        <v>241</v>
      </c>
      <c r="O358" s="53">
        <v>46080</v>
      </c>
      <c r="P358" s="546"/>
      <c r="Q358" s="546" t="s">
        <v>1479</v>
      </c>
      <c r="R358" s="566"/>
      <c r="S358" s="49"/>
      <c r="T358" s="49"/>
      <c r="U358" s="49"/>
      <c r="V358" s="49"/>
      <c r="W358" s="49"/>
      <c r="X358" s="49"/>
      <c r="Y358" s="49"/>
      <c r="Z358" s="49"/>
      <c r="AA358" s="49"/>
      <c r="AB358" s="49"/>
      <c r="AC358" s="49"/>
      <c r="AD358" s="91"/>
      <c r="AE358" s="91"/>
      <c r="AF358" s="91"/>
      <c r="AG358" s="91"/>
    </row>
    <row r="359" spans="1:33" ht="50.25">
      <c r="A359" s="534"/>
      <c r="B359" s="534">
        <v>357</v>
      </c>
      <c r="C359" s="534">
        <v>277313</v>
      </c>
      <c r="D359" s="534">
        <v>41574647</v>
      </c>
      <c r="E359" s="50" t="s">
        <v>2082</v>
      </c>
      <c r="F359" s="534">
        <v>43</v>
      </c>
      <c r="G359" s="49" t="s">
        <v>2083</v>
      </c>
      <c r="H359" s="49" t="s">
        <v>326</v>
      </c>
      <c r="I359" s="534" t="s">
        <v>2084</v>
      </c>
      <c r="J359" s="49" t="s">
        <v>238</v>
      </c>
      <c r="K359" s="535">
        <v>46067</v>
      </c>
      <c r="L359" s="52" t="s">
        <v>2085</v>
      </c>
      <c r="M359" s="534" t="s">
        <v>260</v>
      </c>
      <c r="N359" s="49" t="s">
        <v>2086</v>
      </c>
      <c r="O359" s="53">
        <v>46073</v>
      </c>
      <c r="P359" s="546"/>
      <c r="Q359" s="634"/>
      <c r="R359" s="643" t="s">
        <v>1410</v>
      </c>
      <c r="S359" s="49"/>
      <c r="T359" s="49"/>
      <c r="U359" s="49"/>
      <c r="V359" s="49"/>
      <c r="W359" s="49"/>
      <c r="X359" s="49"/>
      <c r="Y359" s="49"/>
      <c r="Z359" s="49"/>
      <c r="AA359" s="49"/>
      <c r="AB359" s="49"/>
      <c r="AC359" s="49"/>
      <c r="AD359" s="91"/>
      <c r="AE359" s="91"/>
      <c r="AF359" s="91"/>
      <c r="AG359" s="91"/>
    </row>
    <row r="360" spans="1:33">
      <c r="A360" s="534"/>
      <c r="B360" s="534">
        <v>358</v>
      </c>
      <c r="C360" s="534">
        <v>157452</v>
      </c>
      <c r="D360" s="534">
        <v>80618453</v>
      </c>
      <c r="E360" s="50" t="s">
        <v>2087</v>
      </c>
      <c r="F360" s="534">
        <v>47</v>
      </c>
      <c r="G360" s="49" t="s">
        <v>2088</v>
      </c>
      <c r="H360" s="49" t="s">
        <v>326</v>
      </c>
      <c r="I360" s="534">
        <v>951187558</v>
      </c>
      <c r="J360" s="49" t="s">
        <v>238</v>
      </c>
      <c r="K360" s="535">
        <v>46067</v>
      </c>
      <c r="L360" s="49" t="s">
        <v>683</v>
      </c>
      <c r="M360" s="534" t="s">
        <v>312</v>
      </c>
      <c r="N360" s="49" t="s">
        <v>601</v>
      </c>
      <c r="O360" s="53">
        <v>46073</v>
      </c>
      <c r="P360" s="546"/>
      <c r="Q360" s="634"/>
      <c r="R360" s="566"/>
      <c r="S360" s="49"/>
      <c r="T360" s="49"/>
      <c r="U360" s="49"/>
      <c r="V360" s="49"/>
      <c r="W360" s="49"/>
      <c r="X360" s="49"/>
      <c r="Y360" s="49"/>
      <c r="Z360" s="49"/>
      <c r="AA360" s="49"/>
      <c r="AB360" s="49"/>
      <c r="AC360" s="49"/>
      <c r="AD360" s="91"/>
      <c r="AE360" s="91"/>
      <c r="AF360" s="91"/>
      <c r="AG360" s="91"/>
    </row>
    <row r="361" spans="1:33">
      <c r="A361" s="534"/>
      <c r="B361" s="534">
        <v>359</v>
      </c>
      <c r="C361" s="534">
        <v>143281</v>
      </c>
      <c r="D361" s="534">
        <v>15721531</v>
      </c>
      <c r="E361" s="50" t="s">
        <v>2089</v>
      </c>
      <c r="F361" s="534">
        <v>50</v>
      </c>
      <c r="G361" s="49" t="s">
        <v>2090</v>
      </c>
      <c r="H361" s="49" t="s">
        <v>326</v>
      </c>
      <c r="I361" s="534" t="s">
        <v>2091</v>
      </c>
      <c r="J361" s="49" t="s">
        <v>328</v>
      </c>
      <c r="K361" s="535">
        <v>46067</v>
      </c>
      <c r="L361" s="49" t="s">
        <v>1098</v>
      </c>
      <c r="M361" s="534" t="s">
        <v>230</v>
      </c>
      <c r="N361" s="49" t="s">
        <v>241</v>
      </c>
      <c r="O361" s="437">
        <v>46073</v>
      </c>
      <c r="P361" s="546" t="s">
        <v>292</v>
      </c>
      <c r="Q361" s="803" t="s">
        <v>334</v>
      </c>
      <c r="R361" s="566"/>
      <c r="S361" s="49"/>
      <c r="T361" s="49"/>
      <c r="U361" s="49"/>
      <c r="V361" s="49"/>
      <c r="W361" s="49"/>
      <c r="X361" s="49"/>
      <c r="Y361" s="49"/>
      <c r="Z361" s="49"/>
      <c r="AA361" s="49"/>
      <c r="AB361" s="49"/>
      <c r="AC361" s="49"/>
      <c r="AD361" s="91"/>
      <c r="AE361" s="91"/>
      <c r="AF361" s="91"/>
      <c r="AG361" s="91"/>
    </row>
    <row r="362" spans="1:33">
      <c r="A362" s="534"/>
      <c r="B362" s="534">
        <v>360</v>
      </c>
      <c r="C362" s="534">
        <v>185856</v>
      </c>
      <c r="D362" s="534">
        <v>15730949</v>
      </c>
      <c r="E362" s="50" t="s">
        <v>2092</v>
      </c>
      <c r="F362" s="534">
        <v>56</v>
      </c>
      <c r="G362" s="49" t="s">
        <v>2093</v>
      </c>
      <c r="H362" s="49" t="s">
        <v>301</v>
      </c>
      <c r="I362" s="534">
        <v>991253536</v>
      </c>
      <c r="J362" s="49" t="s">
        <v>238</v>
      </c>
      <c r="K362" s="535">
        <v>46067</v>
      </c>
      <c r="L362" s="49" t="s">
        <v>845</v>
      </c>
      <c r="M362" s="534" t="s">
        <v>260</v>
      </c>
      <c r="N362" s="49" t="s">
        <v>1676</v>
      </c>
      <c r="O362" s="53">
        <v>46073</v>
      </c>
      <c r="P362" s="534"/>
      <c r="Q362" s="634"/>
      <c r="R362" s="534"/>
      <c r="S362" s="49"/>
      <c r="T362" s="49"/>
      <c r="U362" s="49"/>
      <c r="V362" s="49"/>
      <c r="W362" s="49"/>
      <c r="X362" s="49"/>
      <c r="Y362" s="49"/>
      <c r="Z362" s="49"/>
      <c r="AA362" s="49"/>
      <c r="AB362" s="49"/>
      <c r="AC362" s="49"/>
      <c r="AD362" s="91"/>
      <c r="AE362" s="91"/>
      <c r="AF362" s="91"/>
      <c r="AG362" s="91"/>
    </row>
    <row r="363" spans="1:33">
      <c r="A363" s="534"/>
      <c r="B363" s="534">
        <v>361</v>
      </c>
      <c r="C363" s="534">
        <v>522984</v>
      </c>
      <c r="D363" s="534">
        <v>15755267</v>
      </c>
      <c r="E363" s="50" t="s">
        <v>2094</v>
      </c>
      <c r="F363" s="534">
        <v>52</v>
      </c>
      <c r="G363" s="49" t="s">
        <v>2095</v>
      </c>
      <c r="H363" s="49" t="s">
        <v>271</v>
      </c>
      <c r="I363" s="534" t="s">
        <v>2096</v>
      </c>
      <c r="J363" s="49" t="s">
        <v>164</v>
      </c>
      <c r="K363" s="535">
        <v>46067</v>
      </c>
      <c r="L363" s="49" t="s">
        <v>458</v>
      </c>
      <c r="M363" s="534" t="s">
        <v>260</v>
      </c>
      <c r="N363" s="49" t="s">
        <v>1676</v>
      </c>
      <c r="O363" s="53">
        <v>46073</v>
      </c>
      <c r="P363" s="414" t="s">
        <v>1630</v>
      </c>
      <c r="Q363" s="471" t="s">
        <v>358</v>
      </c>
      <c r="R363" s="566"/>
      <c r="S363" s="49"/>
      <c r="T363" s="49"/>
      <c r="U363" s="49"/>
      <c r="V363" s="49"/>
      <c r="W363" s="49"/>
      <c r="X363" s="49"/>
      <c r="Y363" s="49"/>
      <c r="Z363" s="49"/>
      <c r="AA363" s="49"/>
      <c r="AB363" s="49"/>
      <c r="AC363" s="49"/>
      <c r="AD363" s="91"/>
      <c r="AE363" s="91"/>
      <c r="AF363" s="91"/>
      <c r="AG363" s="91"/>
    </row>
    <row r="364" spans="1:33">
      <c r="A364" s="534"/>
      <c r="B364" s="534">
        <v>362</v>
      </c>
      <c r="C364" s="534">
        <v>87336</v>
      </c>
      <c r="D364" s="534">
        <v>15731750</v>
      </c>
      <c r="E364" s="50" t="s">
        <v>2097</v>
      </c>
      <c r="F364" s="534">
        <v>53</v>
      </c>
      <c r="G364" s="49" t="s">
        <v>2098</v>
      </c>
      <c r="H364" s="49" t="s">
        <v>301</v>
      </c>
      <c r="I364" s="534">
        <v>984278505</v>
      </c>
      <c r="J364" s="49" t="s">
        <v>289</v>
      </c>
      <c r="K364" s="535">
        <v>46067</v>
      </c>
      <c r="L364" s="49" t="s">
        <v>458</v>
      </c>
      <c r="M364" s="534" t="s">
        <v>260</v>
      </c>
      <c r="N364" s="49" t="s">
        <v>241</v>
      </c>
      <c r="O364" s="437">
        <v>46073</v>
      </c>
      <c r="P364" s="546" t="s">
        <v>292</v>
      </c>
      <c r="Q364" s="817">
        <v>46082</v>
      </c>
      <c r="R364" s="534" t="s">
        <v>242</v>
      </c>
      <c r="S364" s="49"/>
      <c r="T364" s="49"/>
      <c r="U364" s="49"/>
      <c r="V364" s="49"/>
      <c r="W364" s="49"/>
      <c r="X364" s="49"/>
      <c r="Y364" s="49"/>
      <c r="Z364" s="49"/>
      <c r="AA364" s="49"/>
      <c r="AB364" s="49"/>
      <c r="AC364" s="49"/>
      <c r="AD364" s="91"/>
      <c r="AE364" s="91"/>
      <c r="AF364" s="91"/>
      <c r="AG364" s="91"/>
    </row>
    <row r="365" spans="1:33">
      <c r="A365" s="534"/>
      <c r="B365" s="534">
        <v>363</v>
      </c>
      <c r="C365" s="534">
        <v>42475</v>
      </c>
      <c r="D365" s="534">
        <v>15610685</v>
      </c>
      <c r="E365" s="50" t="s">
        <v>2099</v>
      </c>
      <c r="F365" s="534">
        <v>64</v>
      </c>
      <c r="G365" s="49" t="s">
        <v>2100</v>
      </c>
      <c r="H365" s="49" t="s">
        <v>278</v>
      </c>
      <c r="I365" s="534">
        <v>949198851</v>
      </c>
      <c r="J365" s="49" t="s">
        <v>238</v>
      </c>
      <c r="K365" s="535">
        <v>46067</v>
      </c>
      <c r="L365" s="49" t="s">
        <v>458</v>
      </c>
      <c r="M365" s="534" t="s">
        <v>260</v>
      </c>
      <c r="N365" s="49" t="s">
        <v>1676</v>
      </c>
      <c r="O365" s="53">
        <v>46073</v>
      </c>
      <c r="P365" s="546"/>
      <c r="Q365" s="634"/>
      <c r="R365" s="566"/>
      <c r="S365" s="49"/>
      <c r="T365" s="49"/>
      <c r="U365" s="49"/>
      <c r="V365" s="49"/>
      <c r="W365" s="49"/>
      <c r="X365" s="49"/>
      <c r="Y365" s="49"/>
      <c r="Z365" s="49"/>
      <c r="AA365" s="49"/>
      <c r="AB365" s="49"/>
      <c r="AC365" s="49"/>
      <c r="AD365" s="91"/>
      <c r="AE365" s="91"/>
      <c r="AF365" s="91"/>
      <c r="AG365" s="91"/>
    </row>
    <row r="366" spans="1:33">
      <c r="A366" s="534"/>
      <c r="B366" s="534">
        <v>364</v>
      </c>
      <c r="C366" s="534">
        <v>90002</v>
      </c>
      <c r="D366" s="534">
        <v>15695484</v>
      </c>
      <c r="E366" s="50" t="s">
        <v>2101</v>
      </c>
      <c r="F366" s="534">
        <v>63</v>
      </c>
      <c r="G366" s="49" t="s">
        <v>2102</v>
      </c>
      <c r="H366" s="49" t="s">
        <v>246</v>
      </c>
      <c r="I366" s="534">
        <v>956764977</v>
      </c>
      <c r="J366" s="49" t="s">
        <v>1312</v>
      </c>
      <c r="K366" s="535">
        <v>46067</v>
      </c>
      <c r="L366" s="49" t="s">
        <v>683</v>
      </c>
      <c r="M366" s="534" t="s">
        <v>312</v>
      </c>
      <c r="N366" s="49" t="s">
        <v>601</v>
      </c>
      <c r="O366" s="437">
        <v>46073</v>
      </c>
      <c r="P366" s="546" t="s">
        <v>292</v>
      </c>
      <c r="Q366" s="802">
        <v>46082</v>
      </c>
      <c r="R366" s="534" t="s">
        <v>242</v>
      </c>
      <c r="S366" s="49"/>
      <c r="T366" s="49"/>
      <c r="U366" s="49"/>
      <c r="V366" s="49"/>
      <c r="W366" s="49"/>
      <c r="X366" s="49"/>
      <c r="Y366" s="49"/>
      <c r="Z366" s="49"/>
      <c r="AA366" s="49"/>
      <c r="AB366" s="49"/>
      <c r="AC366" s="49"/>
      <c r="AD366" s="91"/>
      <c r="AE366" s="91"/>
      <c r="AF366" s="91"/>
      <c r="AG366" s="91"/>
    </row>
    <row r="367" spans="1:33">
      <c r="A367" s="533">
        <v>46069</v>
      </c>
      <c r="B367" s="534">
        <v>365</v>
      </c>
      <c r="C367" s="534">
        <v>522417</v>
      </c>
      <c r="D367" s="534">
        <v>41539827</v>
      </c>
      <c r="E367" s="50" t="s">
        <v>2103</v>
      </c>
      <c r="F367" s="534">
        <v>43</v>
      </c>
      <c r="G367" s="49" t="s">
        <v>2104</v>
      </c>
      <c r="H367" s="49" t="s">
        <v>237</v>
      </c>
      <c r="I367" s="534">
        <v>948904974</v>
      </c>
      <c r="J367" s="49" t="s">
        <v>238</v>
      </c>
      <c r="K367" s="535">
        <v>46069</v>
      </c>
      <c r="L367" s="49" t="s">
        <v>584</v>
      </c>
      <c r="M367" s="534" t="s">
        <v>260</v>
      </c>
      <c r="N367" s="49" t="s">
        <v>1676</v>
      </c>
      <c r="O367" s="53">
        <v>46073</v>
      </c>
      <c r="P367" s="534"/>
      <c r="Q367" s="534" t="s">
        <v>1438</v>
      </c>
      <c r="R367" s="534"/>
      <c r="S367" s="49"/>
      <c r="T367" s="49"/>
      <c r="U367" s="49"/>
      <c r="V367" s="49"/>
      <c r="W367" s="49"/>
      <c r="X367" s="49"/>
      <c r="Y367" s="49"/>
      <c r="Z367" s="49"/>
      <c r="AA367" s="49"/>
      <c r="AB367" s="49"/>
      <c r="AC367" s="49"/>
      <c r="AD367" s="91"/>
      <c r="AE367" s="91"/>
      <c r="AF367" s="91"/>
      <c r="AG367" s="91"/>
    </row>
    <row r="368" spans="1:33">
      <c r="A368" s="534"/>
      <c r="B368" s="534">
        <v>366</v>
      </c>
      <c r="C368" s="534">
        <v>523033</v>
      </c>
      <c r="D368" s="573">
        <v>43810009</v>
      </c>
      <c r="E368" s="582" t="s">
        <v>2105</v>
      </c>
      <c r="F368" s="573">
        <v>40</v>
      </c>
      <c r="G368" s="431" t="s">
        <v>2106</v>
      </c>
      <c r="H368" s="431" t="s">
        <v>1885</v>
      </c>
      <c r="I368" s="573">
        <v>982244102</v>
      </c>
      <c r="J368" s="49" t="s">
        <v>164</v>
      </c>
      <c r="K368" s="535">
        <v>46069</v>
      </c>
      <c r="L368" s="49" t="s">
        <v>584</v>
      </c>
      <c r="M368" s="534" t="s">
        <v>230</v>
      </c>
      <c r="N368" s="49" t="s">
        <v>1676</v>
      </c>
      <c r="O368" s="53">
        <v>46073</v>
      </c>
      <c r="P368" s="414" t="s">
        <v>1630</v>
      </c>
      <c r="Q368" s="471" t="s">
        <v>358</v>
      </c>
      <c r="R368" s="534"/>
      <c r="S368" s="49"/>
      <c r="T368" s="49"/>
      <c r="U368" s="49"/>
      <c r="V368" s="49"/>
      <c r="W368" s="49"/>
      <c r="X368" s="49"/>
      <c r="Y368" s="49"/>
      <c r="Z368" s="49"/>
      <c r="AA368" s="49"/>
      <c r="AB368" s="49"/>
      <c r="AC368" s="49"/>
      <c r="AD368" s="91"/>
      <c r="AE368" s="91"/>
      <c r="AF368" s="91"/>
      <c r="AG368" s="91"/>
    </row>
    <row r="369" spans="1:33">
      <c r="A369" s="534"/>
      <c r="B369" s="534">
        <v>367</v>
      </c>
      <c r="C369" s="534">
        <v>523034</v>
      </c>
      <c r="D369" s="534">
        <v>15974478</v>
      </c>
      <c r="E369" s="50" t="s">
        <v>2107</v>
      </c>
      <c r="F369" s="534">
        <v>69</v>
      </c>
      <c r="G369" s="49" t="s">
        <v>2108</v>
      </c>
      <c r="H369" s="49" t="s">
        <v>911</v>
      </c>
      <c r="I369" s="534">
        <v>954095330</v>
      </c>
      <c r="J369" s="49" t="s">
        <v>421</v>
      </c>
      <c r="K369" s="535">
        <v>46069</v>
      </c>
      <c r="L369" s="49" t="s">
        <v>1794</v>
      </c>
      <c r="M369" s="534" t="s">
        <v>312</v>
      </c>
      <c r="N369" s="49" t="s">
        <v>807</v>
      </c>
      <c r="O369" s="53">
        <v>46073</v>
      </c>
      <c r="P369" s="546" t="s">
        <v>1602</v>
      </c>
      <c r="Q369" s="471" t="s">
        <v>358</v>
      </c>
      <c r="R369" s="534"/>
      <c r="S369" s="49"/>
      <c r="T369" s="49"/>
      <c r="U369" s="49"/>
      <c r="V369" s="49"/>
      <c r="W369" s="49"/>
      <c r="X369" s="49"/>
      <c r="Y369" s="49"/>
      <c r="Z369" s="49"/>
      <c r="AA369" s="49"/>
      <c r="AB369" s="49"/>
      <c r="AC369" s="49"/>
      <c r="AD369" s="91"/>
      <c r="AE369" s="91"/>
      <c r="AF369" s="91"/>
      <c r="AG369" s="91"/>
    </row>
    <row r="370" spans="1:33">
      <c r="A370" s="534"/>
      <c r="B370" s="534">
        <v>368</v>
      </c>
      <c r="C370" s="534">
        <v>158497</v>
      </c>
      <c r="D370" s="479">
        <v>15741727</v>
      </c>
      <c r="E370" s="58" t="s">
        <v>2109</v>
      </c>
      <c r="F370" s="479">
        <v>52</v>
      </c>
      <c r="G370" s="49" t="s">
        <v>2110</v>
      </c>
      <c r="H370" s="49" t="s">
        <v>237</v>
      </c>
      <c r="I370" s="479">
        <v>960465257</v>
      </c>
      <c r="J370" s="49" t="s">
        <v>1105</v>
      </c>
      <c r="K370" s="535">
        <v>46069</v>
      </c>
      <c r="L370" s="49" t="s">
        <v>747</v>
      </c>
      <c r="M370" s="534" t="s">
        <v>230</v>
      </c>
      <c r="N370" s="49" t="s">
        <v>807</v>
      </c>
      <c r="O370" s="437">
        <v>46090</v>
      </c>
      <c r="P370" s="546" t="s">
        <v>1478</v>
      </c>
      <c r="Q370" s="807">
        <v>46082</v>
      </c>
      <c r="R370" s="534" t="s">
        <v>318</v>
      </c>
      <c r="S370" s="49"/>
      <c r="T370" s="49"/>
      <c r="U370" s="49"/>
      <c r="V370" s="49"/>
      <c r="W370" s="49"/>
      <c r="X370" s="49"/>
      <c r="Y370" s="49"/>
      <c r="Z370" s="49"/>
      <c r="AA370" s="49"/>
      <c r="AB370" s="49"/>
      <c r="AC370" s="49"/>
      <c r="AD370" s="91"/>
      <c r="AE370" s="91"/>
      <c r="AF370" s="91"/>
      <c r="AG370" s="91"/>
    </row>
    <row r="371" spans="1:33">
      <c r="A371" s="534"/>
      <c r="B371" s="534">
        <v>369</v>
      </c>
      <c r="C371" s="534">
        <v>113388</v>
      </c>
      <c r="D371" s="534">
        <v>15609649</v>
      </c>
      <c r="E371" s="50" t="s">
        <v>2111</v>
      </c>
      <c r="F371" s="534">
        <v>60</v>
      </c>
      <c r="G371" s="49" t="s">
        <v>2112</v>
      </c>
      <c r="H371" s="49" t="s">
        <v>278</v>
      </c>
      <c r="I371" s="534">
        <v>986323261</v>
      </c>
      <c r="J371" s="49" t="s">
        <v>238</v>
      </c>
      <c r="K371" s="535">
        <v>46069</v>
      </c>
      <c r="L371" s="49" t="s">
        <v>584</v>
      </c>
      <c r="M371" s="534" t="s">
        <v>230</v>
      </c>
      <c r="N371" s="49" t="s">
        <v>1676</v>
      </c>
      <c r="O371" s="53">
        <v>46073</v>
      </c>
      <c r="P371" s="546"/>
      <c r="Q371" s="546" t="s">
        <v>1518</v>
      </c>
      <c r="R371" s="566"/>
      <c r="S371" s="49"/>
      <c r="T371" s="49"/>
      <c r="U371" s="49"/>
      <c r="V371" s="49"/>
      <c r="W371" s="49"/>
      <c r="X371" s="49"/>
      <c r="Y371" s="49"/>
      <c r="Z371" s="49"/>
      <c r="AA371" s="49"/>
      <c r="AB371" s="49"/>
      <c r="AC371" s="49"/>
      <c r="AD371" s="91"/>
      <c r="AE371" s="91"/>
      <c r="AF371" s="91"/>
      <c r="AG371" s="91"/>
    </row>
    <row r="372" spans="1:33">
      <c r="A372" s="534"/>
      <c r="B372" s="534">
        <v>370</v>
      </c>
      <c r="C372" s="534">
        <v>328249</v>
      </c>
      <c r="D372" s="534">
        <v>43094847</v>
      </c>
      <c r="E372" s="50" t="s">
        <v>2113</v>
      </c>
      <c r="F372" s="534">
        <v>40</v>
      </c>
      <c r="G372" s="49" t="s">
        <v>2114</v>
      </c>
      <c r="H372" s="49" t="s">
        <v>246</v>
      </c>
      <c r="I372" s="534">
        <v>963273069</v>
      </c>
      <c r="J372" s="49" t="s">
        <v>707</v>
      </c>
      <c r="K372" s="535">
        <v>46069</v>
      </c>
      <c r="L372" s="49" t="s">
        <v>747</v>
      </c>
      <c r="M372" s="534" t="s">
        <v>230</v>
      </c>
      <c r="N372" s="49" t="s">
        <v>2115</v>
      </c>
      <c r="O372" s="437">
        <v>46083</v>
      </c>
      <c r="P372" s="539" t="s">
        <v>292</v>
      </c>
      <c r="Q372" s="807">
        <v>46082</v>
      </c>
      <c r="R372" s="534" t="s">
        <v>318</v>
      </c>
      <c r="S372" s="49"/>
      <c r="T372" s="49"/>
      <c r="U372" s="49"/>
      <c r="V372" s="49"/>
      <c r="W372" s="49"/>
      <c r="X372" s="49"/>
      <c r="Y372" s="49"/>
      <c r="Z372" s="49"/>
      <c r="AA372" s="49"/>
      <c r="AB372" s="49"/>
      <c r="AC372" s="49"/>
      <c r="AD372" s="91"/>
      <c r="AE372" s="91"/>
      <c r="AF372" s="91"/>
      <c r="AG372" s="91"/>
    </row>
    <row r="373" spans="1:33">
      <c r="A373" s="534"/>
      <c r="B373" s="534">
        <v>371</v>
      </c>
      <c r="C373" s="534">
        <v>221098</v>
      </c>
      <c r="D373" s="534">
        <v>33826021</v>
      </c>
      <c r="E373" s="50" t="s">
        <v>2116</v>
      </c>
      <c r="F373" s="534">
        <v>49</v>
      </c>
      <c r="G373" s="49" t="s">
        <v>2117</v>
      </c>
      <c r="H373" s="49" t="s">
        <v>278</v>
      </c>
      <c r="I373" s="534">
        <v>989038202</v>
      </c>
      <c r="J373" s="49" t="s">
        <v>238</v>
      </c>
      <c r="K373" s="535">
        <v>46069</v>
      </c>
      <c r="L373" s="49" t="s">
        <v>576</v>
      </c>
      <c r="M373" s="534" t="s">
        <v>312</v>
      </c>
      <c r="N373" s="49" t="s">
        <v>241</v>
      </c>
      <c r="O373" s="53">
        <v>46073</v>
      </c>
      <c r="P373" s="534"/>
      <c r="Q373" s="634"/>
      <c r="R373" s="534"/>
      <c r="S373" s="49"/>
      <c r="T373" s="49"/>
      <c r="U373" s="49"/>
      <c r="V373" s="49"/>
      <c r="W373" s="49"/>
      <c r="X373" s="49"/>
      <c r="Y373" s="49"/>
      <c r="Z373" s="49"/>
      <c r="AA373" s="49"/>
      <c r="AB373" s="49"/>
      <c r="AC373" s="49"/>
      <c r="AD373" s="91"/>
      <c r="AE373" s="91"/>
      <c r="AF373" s="91"/>
      <c r="AG373" s="91"/>
    </row>
    <row r="374" spans="1:33">
      <c r="A374" s="534" t="s">
        <v>2118</v>
      </c>
      <c r="B374" s="534">
        <v>372</v>
      </c>
      <c r="C374" s="534">
        <v>523039</v>
      </c>
      <c r="D374" s="534">
        <v>46027669</v>
      </c>
      <c r="E374" s="50" t="s">
        <v>2119</v>
      </c>
      <c r="F374" s="534">
        <v>42</v>
      </c>
      <c r="G374" s="49" t="s">
        <v>2120</v>
      </c>
      <c r="H374" s="49" t="s">
        <v>271</v>
      </c>
      <c r="I374" s="534">
        <v>958198520</v>
      </c>
      <c r="J374" s="49" t="s">
        <v>164</v>
      </c>
      <c r="K374" s="535">
        <v>46069</v>
      </c>
      <c r="L374" s="49" t="s">
        <v>584</v>
      </c>
      <c r="M374" s="534" t="s">
        <v>260</v>
      </c>
      <c r="N374" s="49" t="s">
        <v>1676</v>
      </c>
      <c r="O374" s="53">
        <v>46073</v>
      </c>
      <c r="P374" s="414" t="s">
        <v>1630</v>
      </c>
      <c r="Q374" s="471" t="s">
        <v>358</v>
      </c>
      <c r="R374" s="534"/>
      <c r="S374" s="49"/>
      <c r="T374" s="49"/>
      <c r="U374" s="49"/>
      <c r="V374" s="49"/>
      <c r="W374" s="49"/>
      <c r="X374" s="49"/>
      <c r="Y374" s="49"/>
      <c r="Z374" s="49"/>
      <c r="AA374" s="49"/>
      <c r="AB374" s="49"/>
      <c r="AC374" s="49"/>
      <c r="AD374" s="91"/>
      <c r="AE374" s="91"/>
      <c r="AF374" s="91"/>
      <c r="AG374" s="91"/>
    </row>
    <row r="375" spans="1:33">
      <c r="A375" s="534"/>
      <c r="B375" s="534">
        <v>373</v>
      </c>
      <c r="C375" s="534">
        <v>523041</v>
      </c>
      <c r="D375" s="573">
        <v>40014324</v>
      </c>
      <c r="E375" s="582" t="s">
        <v>2121</v>
      </c>
      <c r="F375" s="573">
        <v>48</v>
      </c>
      <c r="G375" s="431" t="s">
        <v>2122</v>
      </c>
      <c r="H375" s="431" t="s">
        <v>1885</v>
      </c>
      <c r="I375" s="573">
        <v>993857651</v>
      </c>
      <c r="J375" s="49" t="s">
        <v>164</v>
      </c>
      <c r="K375" s="535">
        <v>46069</v>
      </c>
      <c r="L375" s="49" t="s">
        <v>584</v>
      </c>
      <c r="M375" s="534" t="s">
        <v>230</v>
      </c>
      <c r="N375" s="49" t="s">
        <v>1676</v>
      </c>
      <c r="O375" s="53">
        <v>46073</v>
      </c>
      <c r="P375" s="414" t="s">
        <v>1630</v>
      </c>
      <c r="Q375" s="471" t="s">
        <v>358</v>
      </c>
      <c r="R375" s="534"/>
      <c r="S375" s="49"/>
      <c r="T375" s="49"/>
      <c r="U375" s="49"/>
      <c r="V375" s="49"/>
      <c r="W375" s="49"/>
      <c r="X375" s="49"/>
      <c r="Y375" s="49"/>
      <c r="Z375" s="49"/>
      <c r="AA375" s="49"/>
      <c r="AB375" s="49"/>
      <c r="AC375" s="49"/>
      <c r="AD375" s="91"/>
      <c r="AE375" s="91"/>
      <c r="AF375" s="91"/>
      <c r="AG375" s="91"/>
    </row>
    <row r="376" spans="1:33">
      <c r="A376" s="534"/>
      <c r="B376" s="534">
        <v>374</v>
      </c>
      <c r="C376" s="534"/>
      <c r="D376" s="479">
        <v>40096570</v>
      </c>
      <c r="E376" s="58" t="s">
        <v>2123</v>
      </c>
      <c r="F376" s="479">
        <v>46</v>
      </c>
      <c r="G376" s="49" t="s">
        <v>2124</v>
      </c>
      <c r="H376" s="49" t="s">
        <v>237</v>
      </c>
      <c r="I376" s="479" t="s">
        <v>2125</v>
      </c>
      <c r="J376" s="49" t="s">
        <v>1105</v>
      </c>
      <c r="K376" s="535">
        <v>46070</v>
      </c>
      <c r="L376" s="49" t="s">
        <v>747</v>
      </c>
      <c r="M376" s="534" t="s">
        <v>230</v>
      </c>
      <c r="N376" s="49" t="s">
        <v>2115</v>
      </c>
      <c r="O376" s="437">
        <v>46090</v>
      </c>
      <c r="P376" s="546" t="s">
        <v>1478</v>
      </c>
      <c r="Q376" s="807">
        <v>46082</v>
      </c>
      <c r="R376" s="534" t="s">
        <v>318</v>
      </c>
      <c r="S376" s="49"/>
      <c r="T376" s="49"/>
      <c r="U376" s="49"/>
      <c r="V376" s="49"/>
      <c r="W376" s="49"/>
      <c r="X376" s="49"/>
      <c r="Y376" s="49"/>
      <c r="Z376" s="49"/>
      <c r="AA376" s="49"/>
      <c r="AB376" s="49"/>
      <c r="AC376" s="49"/>
      <c r="AD376" s="91"/>
      <c r="AE376" s="91"/>
      <c r="AF376" s="91"/>
      <c r="AG376" s="91"/>
    </row>
    <row r="377" spans="1:33">
      <c r="A377" s="534"/>
      <c r="B377" s="534">
        <v>375</v>
      </c>
      <c r="C377" s="534">
        <v>40721</v>
      </c>
      <c r="D377" s="573">
        <v>15725297</v>
      </c>
      <c r="E377" s="582" t="s">
        <v>2126</v>
      </c>
      <c r="F377" s="573">
        <v>55</v>
      </c>
      <c r="G377" s="431" t="s">
        <v>2127</v>
      </c>
      <c r="H377" s="431" t="s">
        <v>278</v>
      </c>
      <c r="I377" s="573">
        <v>989312044</v>
      </c>
      <c r="J377" s="49" t="s">
        <v>707</v>
      </c>
      <c r="K377" s="535">
        <v>46069</v>
      </c>
      <c r="L377" s="49" t="s">
        <v>1098</v>
      </c>
      <c r="M377" s="534" t="s">
        <v>230</v>
      </c>
      <c r="N377" s="49" t="s">
        <v>2115</v>
      </c>
      <c r="O377" s="437">
        <v>46083</v>
      </c>
      <c r="P377" s="539" t="s">
        <v>292</v>
      </c>
      <c r="Q377" s="807">
        <v>46082</v>
      </c>
      <c r="R377" s="534" t="s">
        <v>318</v>
      </c>
      <c r="S377" s="49"/>
      <c r="T377" s="49"/>
      <c r="U377" s="49"/>
      <c r="V377" s="49"/>
      <c r="W377" s="49"/>
      <c r="X377" s="49"/>
      <c r="Y377" s="49"/>
      <c r="Z377" s="49"/>
      <c r="AA377" s="49"/>
      <c r="AB377" s="49"/>
      <c r="AC377" s="49"/>
      <c r="AD377" s="91"/>
      <c r="AE377" s="91"/>
      <c r="AF377" s="91"/>
      <c r="AG377" s="91"/>
    </row>
    <row r="378" spans="1:33">
      <c r="A378" s="534"/>
      <c r="B378" s="534">
        <v>376</v>
      </c>
      <c r="C378" s="534">
        <v>292735</v>
      </c>
      <c r="D378" s="534">
        <v>15649194</v>
      </c>
      <c r="E378" s="50" t="s">
        <v>2128</v>
      </c>
      <c r="F378" s="534">
        <v>54</v>
      </c>
      <c r="G378" s="49" t="s">
        <v>2129</v>
      </c>
      <c r="H378" s="49" t="s">
        <v>278</v>
      </c>
      <c r="I378" s="534">
        <v>935892169</v>
      </c>
      <c r="J378" s="49" t="s">
        <v>238</v>
      </c>
      <c r="K378" s="535">
        <v>46069</v>
      </c>
      <c r="L378" s="49" t="s">
        <v>1156</v>
      </c>
      <c r="M378" s="534" t="s">
        <v>230</v>
      </c>
      <c r="N378" s="49" t="s">
        <v>1676</v>
      </c>
      <c r="O378" s="53">
        <v>46073</v>
      </c>
      <c r="P378" s="546"/>
      <c r="Q378" s="546" t="s">
        <v>1612</v>
      </c>
      <c r="R378" s="566"/>
      <c r="S378" s="49"/>
      <c r="T378" s="49"/>
      <c r="U378" s="49"/>
      <c r="V378" s="49"/>
      <c r="W378" s="49"/>
      <c r="X378" s="49"/>
      <c r="Y378" s="49"/>
      <c r="Z378" s="49"/>
      <c r="AA378" s="49"/>
      <c r="AB378" s="49"/>
      <c r="AC378" s="49"/>
      <c r="AD378" s="91"/>
      <c r="AE378" s="91"/>
      <c r="AF378" s="91"/>
      <c r="AG378" s="91"/>
    </row>
    <row r="379" spans="1:33">
      <c r="A379" s="534"/>
      <c r="B379" s="534">
        <v>377</v>
      </c>
      <c r="C379" s="534">
        <v>523046</v>
      </c>
      <c r="D379" s="534">
        <v>15751229</v>
      </c>
      <c r="E379" s="50" t="s">
        <v>2130</v>
      </c>
      <c r="F379" s="534">
        <v>51</v>
      </c>
      <c r="G379" s="49" t="s">
        <v>2131</v>
      </c>
      <c r="H379" s="49" t="s">
        <v>461</v>
      </c>
      <c r="I379" s="534">
        <v>973316027</v>
      </c>
      <c r="J379" s="49" t="s">
        <v>162</v>
      </c>
      <c r="K379" s="535">
        <v>46069</v>
      </c>
      <c r="L379" s="49" t="s">
        <v>2132</v>
      </c>
      <c r="M379" s="534" t="s">
        <v>312</v>
      </c>
      <c r="N379" s="49" t="s">
        <v>1676</v>
      </c>
      <c r="O379" s="53">
        <v>46073</v>
      </c>
      <c r="P379" s="546" t="s">
        <v>1330</v>
      </c>
      <c r="Q379" s="471" t="s">
        <v>358</v>
      </c>
      <c r="R379" s="566"/>
      <c r="S379" s="49"/>
      <c r="T379" s="49"/>
      <c r="U379" s="49"/>
      <c r="V379" s="49"/>
      <c r="W379" s="49"/>
      <c r="X379" s="49"/>
      <c r="Y379" s="49"/>
      <c r="Z379" s="49"/>
      <c r="AA379" s="49"/>
      <c r="AB379" s="49"/>
      <c r="AC379" s="49"/>
      <c r="AD379" s="91"/>
      <c r="AE379" s="91"/>
      <c r="AF379" s="91"/>
      <c r="AG379" s="91"/>
    </row>
    <row r="380" spans="1:33">
      <c r="A380" s="534"/>
      <c r="B380" s="534">
        <v>378</v>
      </c>
      <c r="C380" s="534">
        <v>98545</v>
      </c>
      <c r="D380" s="534">
        <v>15759562</v>
      </c>
      <c r="E380" s="50" t="s">
        <v>2133</v>
      </c>
      <c r="F380" s="534">
        <v>50</v>
      </c>
      <c r="G380" s="49" t="s">
        <v>2134</v>
      </c>
      <c r="H380" s="49" t="s">
        <v>278</v>
      </c>
      <c r="I380" s="534">
        <v>96522344</v>
      </c>
      <c r="J380" s="49" t="s">
        <v>238</v>
      </c>
      <c r="K380" s="535">
        <v>46069</v>
      </c>
      <c r="L380" s="49" t="s">
        <v>584</v>
      </c>
      <c r="M380" s="534" t="s">
        <v>260</v>
      </c>
      <c r="N380" s="49" t="s">
        <v>1676</v>
      </c>
      <c r="O380" s="53">
        <v>46073</v>
      </c>
      <c r="P380" s="546"/>
      <c r="Q380" s="546" t="s">
        <v>2135</v>
      </c>
      <c r="R380" s="566"/>
      <c r="S380" s="49"/>
      <c r="T380" s="49"/>
      <c r="U380" s="49"/>
      <c r="V380" s="49"/>
      <c r="W380" s="49"/>
      <c r="X380" s="49"/>
      <c r="Y380" s="49"/>
      <c r="Z380" s="49"/>
      <c r="AA380" s="49"/>
      <c r="AB380" s="49"/>
      <c r="AC380" s="49"/>
      <c r="AD380" s="91"/>
      <c r="AE380" s="91"/>
      <c r="AF380" s="91"/>
      <c r="AG380" s="91"/>
    </row>
    <row r="381" spans="1:33">
      <c r="A381" s="534"/>
      <c r="B381" s="534">
        <v>379</v>
      </c>
      <c r="C381" s="534">
        <v>105327</v>
      </c>
      <c r="D381" s="534">
        <v>15611646</v>
      </c>
      <c r="E381" s="50" t="s">
        <v>2136</v>
      </c>
      <c r="F381" s="534">
        <v>59</v>
      </c>
      <c r="G381" s="49" t="s">
        <v>2137</v>
      </c>
      <c r="H381" s="49" t="s">
        <v>278</v>
      </c>
      <c r="I381" s="534">
        <v>955525356</v>
      </c>
      <c r="J381" s="49" t="s">
        <v>579</v>
      </c>
      <c r="K381" s="535">
        <v>46069</v>
      </c>
      <c r="L381" s="49" t="s">
        <v>584</v>
      </c>
      <c r="M381" s="534" t="s">
        <v>230</v>
      </c>
      <c r="N381" s="49" t="s">
        <v>1676</v>
      </c>
      <c r="O381" s="437">
        <v>46083</v>
      </c>
      <c r="P381" s="546" t="s">
        <v>292</v>
      </c>
      <c r="Q381" s="807">
        <v>46082</v>
      </c>
      <c r="R381" s="566" t="s">
        <v>242</v>
      </c>
      <c r="S381" s="49"/>
      <c r="T381" s="49"/>
      <c r="U381" s="49"/>
      <c r="V381" s="49"/>
      <c r="W381" s="49"/>
      <c r="X381" s="49"/>
      <c r="Y381" s="49"/>
      <c r="Z381" s="49"/>
      <c r="AA381" s="49"/>
      <c r="AB381" s="49"/>
      <c r="AC381" s="49"/>
      <c r="AD381" s="91"/>
      <c r="AE381" s="91"/>
      <c r="AF381" s="91"/>
      <c r="AG381" s="91"/>
    </row>
    <row r="382" spans="1:33">
      <c r="A382" s="534"/>
      <c r="B382" s="534">
        <v>380</v>
      </c>
      <c r="C382" s="534">
        <v>236099</v>
      </c>
      <c r="D382" s="534">
        <v>41713347</v>
      </c>
      <c r="E382" s="50" t="s">
        <v>2138</v>
      </c>
      <c r="F382" s="534">
        <v>43</v>
      </c>
      <c r="G382" s="49" t="s">
        <v>2139</v>
      </c>
      <c r="H382" s="49" t="s">
        <v>222</v>
      </c>
      <c r="I382" s="534">
        <v>92389072</v>
      </c>
      <c r="J382" s="49" t="s">
        <v>238</v>
      </c>
      <c r="K382" s="535">
        <v>46069</v>
      </c>
      <c r="L382" s="49" t="s">
        <v>747</v>
      </c>
      <c r="M382" s="534" t="s">
        <v>230</v>
      </c>
      <c r="N382" s="49" t="s">
        <v>2115</v>
      </c>
      <c r="O382" s="445">
        <v>46094</v>
      </c>
      <c r="P382" s="534"/>
      <c r="Q382" s="534" t="s">
        <v>1667</v>
      </c>
      <c r="R382" s="534"/>
      <c r="S382" s="49"/>
      <c r="T382" s="49"/>
      <c r="U382" s="49"/>
      <c r="V382" s="49"/>
      <c r="W382" s="49"/>
      <c r="X382" s="49"/>
      <c r="Y382" s="49"/>
      <c r="Z382" s="49"/>
      <c r="AA382" s="49"/>
      <c r="AB382" s="49"/>
      <c r="AC382" s="49"/>
      <c r="AD382" s="91"/>
      <c r="AE382" s="91"/>
      <c r="AF382" s="91"/>
      <c r="AG382" s="91"/>
    </row>
    <row r="383" spans="1:33">
      <c r="A383" s="540" t="s">
        <v>513</v>
      </c>
      <c r="B383" s="534">
        <v>381</v>
      </c>
      <c r="C383" s="534">
        <v>206800</v>
      </c>
      <c r="D383" s="534">
        <v>15762121</v>
      </c>
      <c r="E383" s="50" t="s">
        <v>2140</v>
      </c>
      <c r="F383" s="534">
        <v>49</v>
      </c>
      <c r="G383" s="49" t="s">
        <v>2141</v>
      </c>
      <c r="H383" s="49" t="s">
        <v>222</v>
      </c>
      <c r="I383" s="534">
        <v>923105942</v>
      </c>
      <c r="J383" s="49" t="s">
        <v>283</v>
      </c>
      <c r="K383" s="535">
        <v>46069</v>
      </c>
      <c r="L383" s="49" t="s">
        <v>584</v>
      </c>
      <c r="M383" s="534" t="s">
        <v>260</v>
      </c>
      <c r="N383" s="49" t="s">
        <v>1676</v>
      </c>
      <c r="O383" s="437">
        <v>46086</v>
      </c>
      <c r="P383" s="534" t="s">
        <v>1962</v>
      </c>
      <c r="Q383" s="816" t="s">
        <v>334</v>
      </c>
      <c r="R383" s="534"/>
      <c r="S383" s="49"/>
      <c r="T383" s="49"/>
      <c r="U383" s="49"/>
      <c r="V383" s="49"/>
      <c r="W383" s="49"/>
      <c r="X383" s="49"/>
      <c r="Y383" s="49"/>
      <c r="Z383" s="49"/>
      <c r="AA383" s="49"/>
      <c r="AB383" s="49"/>
      <c r="AC383" s="49"/>
      <c r="AD383" s="91"/>
      <c r="AE383" s="91"/>
      <c r="AF383" s="91"/>
      <c r="AG383" s="91"/>
    </row>
    <row r="384" spans="1:33">
      <c r="A384" s="534"/>
      <c r="B384" s="534">
        <v>382</v>
      </c>
      <c r="C384" s="534">
        <v>190195</v>
      </c>
      <c r="D384" s="534" t="s">
        <v>2142</v>
      </c>
      <c r="E384" s="50" t="s">
        <v>2143</v>
      </c>
      <c r="F384" s="534">
        <v>56</v>
      </c>
      <c r="G384" s="49" t="s">
        <v>2144</v>
      </c>
      <c r="H384" s="49" t="s">
        <v>237</v>
      </c>
      <c r="I384" s="534">
        <v>940716368</v>
      </c>
      <c r="J384" s="49" t="s">
        <v>238</v>
      </c>
      <c r="K384" s="535">
        <v>46069</v>
      </c>
      <c r="L384" s="49" t="s">
        <v>1908</v>
      </c>
      <c r="M384" s="534" t="s">
        <v>312</v>
      </c>
      <c r="N384" s="49" t="s">
        <v>1676</v>
      </c>
      <c r="O384" s="53">
        <v>46073</v>
      </c>
      <c r="P384" s="534"/>
      <c r="Q384" s="534" t="s">
        <v>2145</v>
      </c>
      <c r="R384" s="534"/>
      <c r="S384" s="49"/>
      <c r="T384" s="49"/>
      <c r="U384" s="49"/>
      <c r="V384" s="49"/>
      <c r="W384" s="49"/>
      <c r="X384" s="49"/>
      <c r="Y384" s="49"/>
      <c r="Z384" s="49"/>
      <c r="AA384" s="49"/>
      <c r="AB384" s="49"/>
      <c r="AC384" s="49"/>
      <c r="AD384" s="91"/>
      <c r="AE384" s="91"/>
      <c r="AF384" s="91"/>
      <c r="AG384" s="91"/>
    </row>
    <row r="385" spans="1:33">
      <c r="A385" s="534"/>
      <c r="B385" s="534">
        <v>383</v>
      </c>
      <c r="C385" s="534">
        <v>523058</v>
      </c>
      <c r="D385" s="534" t="s">
        <v>2146</v>
      </c>
      <c r="E385" s="50" t="s">
        <v>2147</v>
      </c>
      <c r="F385" s="534">
        <v>59</v>
      </c>
      <c r="G385" s="49" t="s">
        <v>2148</v>
      </c>
      <c r="H385" s="49" t="s">
        <v>2149</v>
      </c>
      <c r="I385" s="534">
        <v>982339991</v>
      </c>
      <c r="J385" s="49" t="s">
        <v>2150</v>
      </c>
      <c r="K385" s="535">
        <v>46069</v>
      </c>
      <c r="L385" s="49" t="s">
        <v>584</v>
      </c>
      <c r="M385" s="534" t="s">
        <v>230</v>
      </c>
      <c r="N385" s="49" t="s">
        <v>1676</v>
      </c>
      <c r="O385" s="53">
        <v>46073</v>
      </c>
      <c r="P385" s="566" t="s">
        <v>1621</v>
      </c>
      <c r="Q385" s="471" t="s">
        <v>358</v>
      </c>
      <c r="R385" s="534"/>
      <c r="S385" s="49"/>
      <c r="T385" s="49"/>
      <c r="U385" s="49"/>
      <c r="V385" s="49"/>
      <c r="W385" s="49"/>
      <c r="X385" s="49"/>
      <c r="Y385" s="49"/>
      <c r="Z385" s="49"/>
      <c r="AA385" s="49"/>
      <c r="AB385" s="49"/>
      <c r="AC385" s="49"/>
      <c r="AD385" s="91"/>
      <c r="AE385" s="91"/>
      <c r="AF385" s="91"/>
      <c r="AG385" s="91"/>
    </row>
    <row r="386" spans="1:33">
      <c r="A386" s="533">
        <v>46071</v>
      </c>
      <c r="B386" s="534">
        <v>384</v>
      </c>
      <c r="C386" s="534">
        <v>31600</v>
      </c>
      <c r="D386" s="534">
        <v>15758698</v>
      </c>
      <c r="E386" s="50" t="s">
        <v>2151</v>
      </c>
      <c r="F386" s="534">
        <v>52</v>
      </c>
      <c r="G386" s="49" t="s">
        <v>2152</v>
      </c>
      <c r="H386" s="49" t="s">
        <v>1581</v>
      </c>
      <c r="I386" s="534">
        <v>902184135</v>
      </c>
      <c r="J386" s="49" t="s">
        <v>384</v>
      </c>
      <c r="K386" s="535">
        <v>46071</v>
      </c>
      <c r="L386" s="43" t="s">
        <v>1156</v>
      </c>
      <c r="M386" s="534" t="s">
        <v>230</v>
      </c>
      <c r="N386" s="49" t="s">
        <v>2153</v>
      </c>
      <c r="O386" s="437">
        <v>46086</v>
      </c>
      <c r="P386" s="419" t="s">
        <v>2154</v>
      </c>
      <c r="Q386" s="802">
        <v>46082</v>
      </c>
      <c r="R386" s="808">
        <v>46082</v>
      </c>
      <c r="S386" s="49"/>
      <c r="T386" s="49"/>
      <c r="U386" s="49"/>
      <c r="V386" s="49"/>
      <c r="W386" s="49"/>
      <c r="X386" s="49"/>
      <c r="Y386" s="49"/>
      <c r="Z386" s="49"/>
      <c r="AA386" s="49"/>
      <c r="AB386" s="49"/>
      <c r="AC386" s="49"/>
      <c r="AD386" s="91"/>
      <c r="AE386" s="91"/>
      <c r="AF386" s="91"/>
      <c r="AG386" s="91"/>
    </row>
    <row r="387" spans="1:33">
      <c r="A387" s="534"/>
      <c r="B387" s="534">
        <v>385</v>
      </c>
      <c r="C387" s="534">
        <v>149907</v>
      </c>
      <c r="D387" s="534">
        <v>15691560</v>
      </c>
      <c r="E387" s="50" t="s">
        <v>2155</v>
      </c>
      <c r="F387" s="534">
        <v>60</v>
      </c>
      <c r="G387" s="49" t="s">
        <v>2156</v>
      </c>
      <c r="H387" s="49" t="s">
        <v>237</v>
      </c>
      <c r="I387" s="534">
        <v>986300862</v>
      </c>
      <c r="J387" s="49" t="s">
        <v>289</v>
      </c>
      <c r="K387" s="535">
        <v>46069</v>
      </c>
      <c r="L387" s="49" t="s">
        <v>747</v>
      </c>
      <c r="M387" s="534" t="s">
        <v>230</v>
      </c>
      <c r="N387" s="49" t="s">
        <v>2115</v>
      </c>
      <c r="O387" s="446">
        <v>46078</v>
      </c>
      <c r="P387" s="555" t="s">
        <v>2157</v>
      </c>
      <c r="Q387" s="807">
        <v>46082</v>
      </c>
      <c r="R387" s="534" t="s">
        <v>318</v>
      </c>
      <c r="S387" s="49"/>
      <c r="T387" s="49"/>
      <c r="U387" s="49"/>
      <c r="V387" s="49"/>
      <c r="W387" s="49"/>
      <c r="X387" s="49"/>
      <c r="Y387" s="49"/>
      <c r="Z387" s="49"/>
      <c r="AA387" s="49"/>
      <c r="AB387" s="49"/>
      <c r="AC387" s="49"/>
      <c r="AD387" s="91"/>
      <c r="AE387" s="91"/>
      <c r="AF387" s="91"/>
      <c r="AG387" s="91"/>
    </row>
    <row r="388" spans="1:33">
      <c r="A388" s="534"/>
      <c r="B388" s="534">
        <v>386</v>
      </c>
      <c r="C388" s="534">
        <v>161811</v>
      </c>
      <c r="D388" s="534">
        <v>15720569</v>
      </c>
      <c r="E388" s="50" t="s">
        <v>2158</v>
      </c>
      <c r="F388" s="534">
        <v>52</v>
      </c>
      <c r="G388" s="49" t="s">
        <v>2159</v>
      </c>
      <c r="H388" s="49" t="s">
        <v>326</v>
      </c>
      <c r="I388" s="534">
        <v>913967106</v>
      </c>
      <c r="J388" s="49" t="s">
        <v>375</v>
      </c>
      <c r="K388" s="535">
        <v>46069</v>
      </c>
      <c r="L388" s="49" t="s">
        <v>747</v>
      </c>
      <c r="M388" s="534" t="s">
        <v>230</v>
      </c>
      <c r="N388" s="49" t="s">
        <v>2115</v>
      </c>
      <c r="O388" s="437">
        <v>46087</v>
      </c>
      <c r="P388" s="546" t="s">
        <v>2062</v>
      </c>
      <c r="Q388" s="807">
        <v>46082</v>
      </c>
      <c r="R388" s="534" t="s">
        <v>318</v>
      </c>
      <c r="S388" s="49"/>
      <c r="T388" s="49"/>
      <c r="U388" s="49"/>
      <c r="V388" s="49"/>
      <c r="W388" s="49"/>
      <c r="X388" s="49"/>
      <c r="Y388" s="49"/>
      <c r="Z388" s="49"/>
      <c r="AA388" s="49"/>
      <c r="AB388" s="49"/>
      <c r="AC388" s="49"/>
      <c r="AD388" s="91"/>
      <c r="AE388" s="91"/>
      <c r="AF388" s="91"/>
      <c r="AG388" s="91"/>
    </row>
    <row r="389" spans="1:33">
      <c r="A389" s="534"/>
      <c r="B389" s="534">
        <v>387</v>
      </c>
      <c r="C389" s="534">
        <v>523061</v>
      </c>
      <c r="D389" s="534">
        <v>15595092</v>
      </c>
      <c r="E389" s="50" t="s">
        <v>2160</v>
      </c>
      <c r="F389" s="534">
        <v>62</v>
      </c>
      <c r="G389" s="49" t="s">
        <v>2161</v>
      </c>
      <c r="H389" s="49" t="s">
        <v>222</v>
      </c>
      <c r="I389" s="534">
        <v>915119474</v>
      </c>
      <c r="J389" s="49" t="s">
        <v>588</v>
      </c>
      <c r="K389" s="535">
        <v>46069</v>
      </c>
      <c r="L389" s="49" t="s">
        <v>1156</v>
      </c>
      <c r="M389" s="534" t="s">
        <v>230</v>
      </c>
      <c r="N389" s="49" t="s">
        <v>1676</v>
      </c>
      <c r="O389" s="437">
        <v>46083</v>
      </c>
      <c r="P389" s="546" t="s">
        <v>292</v>
      </c>
      <c r="Q389" s="807">
        <v>46082</v>
      </c>
      <c r="R389" s="534" t="s">
        <v>242</v>
      </c>
      <c r="S389" s="49"/>
      <c r="T389" s="49"/>
      <c r="U389" s="49"/>
      <c r="V389" s="49"/>
      <c r="W389" s="49"/>
      <c r="X389" s="49"/>
      <c r="Y389" s="49"/>
      <c r="Z389" s="49"/>
      <c r="AA389" s="49"/>
      <c r="AB389" s="49"/>
      <c r="AC389" s="49"/>
      <c r="AD389" s="91"/>
      <c r="AE389" s="91"/>
      <c r="AF389" s="91"/>
      <c r="AG389" s="91"/>
    </row>
    <row r="390" spans="1:33">
      <c r="A390" s="534"/>
      <c r="B390" s="534">
        <v>388</v>
      </c>
      <c r="C390" s="534">
        <v>266317</v>
      </c>
      <c r="D390" s="574">
        <v>15618857</v>
      </c>
      <c r="E390" s="244" t="s">
        <v>2162</v>
      </c>
      <c r="F390" s="534">
        <v>63</v>
      </c>
      <c r="G390" s="49" t="s">
        <v>2163</v>
      </c>
      <c r="H390" s="49" t="s">
        <v>237</v>
      </c>
      <c r="I390" s="534">
        <v>975199954</v>
      </c>
      <c r="J390" s="49" t="s">
        <v>742</v>
      </c>
      <c r="K390" s="535">
        <v>46069</v>
      </c>
      <c r="L390" s="49" t="s">
        <v>2164</v>
      </c>
      <c r="M390" s="534" t="s">
        <v>312</v>
      </c>
      <c r="N390" s="49" t="s">
        <v>1676</v>
      </c>
      <c r="O390" s="437">
        <v>46094</v>
      </c>
      <c r="P390" s="546" t="s">
        <v>2165</v>
      </c>
      <c r="Q390" s="823">
        <v>46082</v>
      </c>
      <c r="R390" s="566" t="s">
        <v>242</v>
      </c>
      <c r="S390" s="49"/>
      <c r="T390" s="49"/>
      <c r="U390" s="49"/>
      <c r="V390" s="49"/>
      <c r="W390" s="49"/>
      <c r="X390" s="49"/>
      <c r="Y390" s="49"/>
      <c r="Z390" s="49"/>
      <c r="AA390" s="49"/>
      <c r="AB390" s="49"/>
      <c r="AC390" s="49"/>
      <c r="AD390" s="91"/>
      <c r="AE390" s="91"/>
      <c r="AF390" s="91"/>
      <c r="AG390" s="91"/>
    </row>
    <row r="391" spans="1:33">
      <c r="A391" s="474"/>
      <c r="B391" s="534">
        <v>389</v>
      </c>
      <c r="C391" s="474">
        <v>228747</v>
      </c>
      <c r="D391" s="474">
        <v>15729350</v>
      </c>
      <c r="E391" s="137" t="s">
        <v>397</v>
      </c>
      <c r="F391" s="474">
        <v>53</v>
      </c>
      <c r="G391" s="132" t="s">
        <v>398</v>
      </c>
      <c r="H391" s="132" t="s">
        <v>278</v>
      </c>
      <c r="I391" s="474">
        <v>924360710</v>
      </c>
      <c r="J391" s="132" t="s">
        <v>238</v>
      </c>
      <c r="K391" s="495">
        <v>46031</v>
      </c>
      <c r="L391" s="132" t="s">
        <v>399</v>
      </c>
      <c r="M391" s="320" t="s">
        <v>260</v>
      </c>
      <c r="N391" s="132" t="s">
        <v>400</v>
      </c>
      <c r="O391" s="447">
        <v>46038</v>
      </c>
      <c r="P391" s="476"/>
      <c r="Q391" s="476" t="s">
        <v>2166</v>
      </c>
      <c r="R391" s="644">
        <v>46060</v>
      </c>
      <c r="S391" s="132" t="s">
        <v>401</v>
      </c>
      <c r="T391" s="132" t="s">
        <v>312</v>
      </c>
      <c r="U391" s="132"/>
      <c r="V391" s="133">
        <v>46069</v>
      </c>
      <c r="W391" s="132" t="s">
        <v>402</v>
      </c>
      <c r="X391" s="132" t="s">
        <v>225</v>
      </c>
      <c r="Y391" s="436" t="s">
        <v>403</v>
      </c>
      <c r="Z391" s="133">
        <v>46090</v>
      </c>
      <c r="AA391" s="132"/>
      <c r="AB391" s="132"/>
      <c r="AC391" s="132"/>
      <c r="AD391" s="91"/>
      <c r="AE391" s="91"/>
      <c r="AF391" s="91"/>
      <c r="AG391" s="91"/>
    </row>
    <row r="392" spans="1:33">
      <c r="A392" s="533">
        <v>46070</v>
      </c>
      <c r="B392" s="534">
        <v>390</v>
      </c>
      <c r="C392" s="534">
        <v>495529</v>
      </c>
      <c r="D392" s="479">
        <v>40945874</v>
      </c>
      <c r="E392" s="58" t="s">
        <v>2167</v>
      </c>
      <c r="F392" s="479">
        <v>44</v>
      </c>
      <c r="G392" s="49" t="s">
        <v>2168</v>
      </c>
      <c r="H392" s="49" t="s">
        <v>301</v>
      </c>
      <c r="I392" s="479">
        <v>959273420</v>
      </c>
      <c r="J392" s="49" t="s">
        <v>302</v>
      </c>
      <c r="K392" s="535">
        <v>46070</v>
      </c>
      <c r="L392" s="49" t="s">
        <v>376</v>
      </c>
      <c r="M392" s="534" t="s">
        <v>230</v>
      </c>
      <c r="N392" s="49" t="s">
        <v>2115</v>
      </c>
      <c r="O392" s="437">
        <v>46086</v>
      </c>
      <c r="P392" s="546" t="s">
        <v>2169</v>
      </c>
      <c r="Q392" s="807">
        <v>46082</v>
      </c>
      <c r="R392" s="534" t="s">
        <v>318</v>
      </c>
      <c r="S392" s="49"/>
      <c r="T392" s="49"/>
      <c r="U392" s="49"/>
      <c r="V392" s="49"/>
      <c r="W392" s="49"/>
      <c r="X392" s="49"/>
      <c r="Y392" s="49"/>
      <c r="Z392" s="49"/>
      <c r="AA392" s="49"/>
      <c r="AB392" s="49"/>
      <c r="AC392" s="49"/>
      <c r="AD392" s="91"/>
      <c r="AE392" s="91"/>
      <c r="AF392" s="91"/>
      <c r="AG392" s="91"/>
    </row>
    <row r="393" spans="1:33">
      <c r="A393" s="534"/>
      <c r="B393" s="534">
        <v>391</v>
      </c>
      <c r="C393" s="534">
        <v>37911</v>
      </c>
      <c r="D393" s="479">
        <v>15688006</v>
      </c>
      <c r="E393" s="58" t="s">
        <v>2170</v>
      </c>
      <c r="F393" s="479">
        <v>62</v>
      </c>
      <c r="G393" s="49" t="s">
        <v>2171</v>
      </c>
      <c r="H393" s="49" t="s">
        <v>301</v>
      </c>
      <c r="I393" s="479">
        <v>903074599</v>
      </c>
      <c r="J393" s="49" t="s">
        <v>223</v>
      </c>
      <c r="K393" s="535">
        <v>46070</v>
      </c>
      <c r="L393" s="49" t="s">
        <v>516</v>
      </c>
      <c r="M393" s="534" t="s">
        <v>312</v>
      </c>
      <c r="N393" s="49" t="s">
        <v>2115</v>
      </c>
      <c r="O393" s="437">
        <v>46083</v>
      </c>
      <c r="P393" s="539" t="s">
        <v>292</v>
      </c>
      <c r="Q393" s="802">
        <v>46082</v>
      </c>
      <c r="R393" s="534" t="s">
        <v>318</v>
      </c>
      <c r="S393" s="49"/>
      <c r="T393" s="49"/>
      <c r="U393" s="49"/>
      <c r="V393" s="49"/>
      <c r="W393" s="49"/>
      <c r="X393" s="49"/>
      <c r="Y393" s="49"/>
      <c r="Z393" s="49"/>
      <c r="AA393" s="49"/>
      <c r="AB393" s="49"/>
      <c r="AC393" s="49"/>
      <c r="AD393" s="91"/>
      <c r="AE393" s="91"/>
      <c r="AF393" s="91"/>
      <c r="AG393" s="91"/>
    </row>
    <row r="394" spans="1:33">
      <c r="A394" s="534"/>
      <c r="B394" s="534">
        <v>392</v>
      </c>
      <c r="C394" s="534">
        <v>90819</v>
      </c>
      <c r="D394" s="534">
        <v>80348447</v>
      </c>
      <c r="E394" s="50" t="s">
        <v>2172</v>
      </c>
      <c r="F394" s="534">
        <v>46</v>
      </c>
      <c r="G394" s="49" t="s">
        <v>2173</v>
      </c>
      <c r="H394" s="49" t="s">
        <v>278</v>
      </c>
      <c r="I394" s="534">
        <v>997154411</v>
      </c>
      <c r="J394" s="49" t="s">
        <v>384</v>
      </c>
      <c r="K394" s="544">
        <v>46065</v>
      </c>
      <c r="L394" s="49" t="s">
        <v>2174</v>
      </c>
      <c r="M394" s="534" t="s">
        <v>260</v>
      </c>
      <c r="N394" s="49" t="s">
        <v>241</v>
      </c>
      <c r="O394" s="437">
        <v>46073</v>
      </c>
      <c r="P394" s="546" t="s">
        <v>292</v>
      </c>
      <c r="Q394" s="802">
        <v>46082</v>
      </c>
      <c r="R394" s="808">
        <v>46082</v>
      </c>
      <c r="S394" s="49"/>
      <c r="T394" s="49"/>
      <c r="U394" s="49"/>
      <c r="V394" s="49"/>
      <c r="W394" s="49"/>
      <c r="X394" s="49"/>
      <c r="Y394" s="49"/>
      <c r="Z394" s="49"/>
      <c r="AA394" s="49"/>
      <c r="AB394" s="49"/>
      <c r="AC394" s="49"/>
      <c r="AD394" s="91"/>
      <c r="AE394" s="91"/>
      <c r="AF394" s="91"/>
      <c r="AG394" s="91"/>
    </row>
    <row r="395" spans="1:33">
      <c r="A395" s="549"/>
      <c r="B395" s="534">
        <v>393</v>
      </c>
      <c r="C395" s="565">
        <v>60589</v>
      </c>
      <c r="D395" s="565">
        <v>15646055</v>
      </c>
      <c r="E395" s="430" t="s">
        <v>2175</v>
      </c>
      <c r="F395" s="565">
        <v>63</v>
      </c>
      <c r="G395" s="325" t="s">
        <v>2176</v>
      </c>
      <c r="H395" s="325" t="s">
        <v>222</v>
      </c>
      <c r="I395" s="565">
        <v>991340444</v>
      </c>
      <c r="J395" s="49" t="s">
        <v>223</v>
      </c>
      <c r="K395" s="535">
        <v>46070</v>
      </c>
      <c r="L395" s="54" t="s">
        <v>2177</v>
      </c>
      <c r="M395" s="534" t="s">
        <v>312</v>
      </c>
      <c r="N395" s="49" t="s">
        <v>2115</v>
      </c>
      <c r="O395" s="437">
        <v>46083</v>
      </c>
      <c r="P395" s="539" t="s">
        <v>292</v>
      </c>
      <c r="Q395" s="802">
        <v>46082</v>
      </c>
      <c r="R395" s="534" t="s">
        <v>318</v>
      </c>
      <c r="S395" s="54"/>
      <c r="T395" s="54"/>
      <c r="U395" s="54"/>
      <c r="V395" s="54"/>
      <c r="W395" s="54"/>
      <c r="X395" s="54"/>
      <c r="Y395" s="54"/>
      <c r="Z395" s="54"/>
      <c r="AA395" s="54"/>
      <c r="AB395" s="54"/>
      <c r="AC395" s="54"/>
      <c r="AD395" s="91"/>
      <c r="AE395" s="91"/>
      <c r="AF395" s="91"/>
      <c r="AG395" s="91"/>
    </row>
    <row r="396" spans="1:33">
      <c r="A396" s="534"/>
      <c r="B396" s="534">
        <v>394</v>
      </c>
      <c r="C396" s="534">
        <v>523085</v>
      </c>
      <c r="D396" s="534" t="s">
        <v>2178</v>
      </c>
      <c r="E396" s="50" t="s">
        <v>2179</v>
      </c>
      <c r="F396" s="534">
        <v>51</v>
      </c>
      <c r="G396" s="49" t="s">
        <v>2180</v>
      </c>
      <c r="H396" s="49" t="s">
        <v>301</v>
      </c>
      <c r="I396" s="534">
        <v>981857113</v>
      </c>
      <c r="J396" s="49" t="s">
        <v>380</v>
      </c>
      <c r="K396" s="535">
        <v>46070</v>
      </c>
      <c r="L396" s="49" t="s">
        <v>376</v>
      </c>
      <c r="M396" s="534" t="s">
        <v>230</v>
      </c>
      <c r="N396" s="49" t="s">
        <v>2115</v>
      </c>
      <c r="O396" s="437">
        <v>46093</v>
      </c>
      <c r="P396" s="546" t="s">
        <v>1873</v>
      </c>
      <c r="Q396" s="809" t="s">
        <v>334</v>
      </c>
      <c r="R396" s="534"/>
      <c r="S396" s="49"/>
      <c r="T396" s="49"/>
      <c r="U396" s="49"/>
      <c r="V396" s="49"/>
      <c r="W396" s="49"/>
      <c r="X396" s="49"/>
      <c r="Y396" s="49"/>
      <c r="Z396" s="49"/>
      <c r="AA396" s="49"/>
      <c r="AB396" s="49"/>
      <c r="AC396" s="49"/>
      <c r="AD396" s="91"/>
      <c r="AE396" s="91"/>
      <c r="AF396" s="91"/>
      <c r="AG396" s="91"/>
    </row>
    <row r="397" spans="1:33" ht="24.75">
      <c r="A397" s="534"/>
      <c r="B397" s="534">
        <v>395</v>
      </c>
      <c r="C397" s="534">
        <v>523086</v>
      </c>
      <c r="D397" s="485">
        <v>40081435</v>
      </c>
      <c r="E397" s="58" t="s">
        <v>2181</v>
      </c>
      <c r="F397" s="485">
        <v>56</v>
      </c>
      <c r="G397" s="46" t="s">
        <v>2182</v>
      </c>
      <c r="H397" s="49" t="s">
        <v>461</v>
      </c>
      <c r="I397" s="479">
        <v>956440213</v>
      </c>
      <c r="J397" s="49" t="s">
        <v>162</v>
      </c>
      <c r="K397" s="535">
        <v>46070</v>
      </c>
      <c r="L397" s="43" t="s">
        <v>2183</v>
      </c>
      <c r="M397" s="534" t="s">
        <v>230</v>
      </c>
      <c r="N397" s="49" t="s">
        <v>2115</v>
      </c>
      <c r="O397" s="53">
        <v>46080</v>
      </c>
      <c r="P397" s="546" t="s">
        <v>1330</v>
      </c>
      <c r="Q397" s="471" t="s">
        <v>358</v>
      </c>
      <c r="R397" s="534"/>
      <c r="S397" s="49"/>
      <c r="T397" s="49"/>
      <c r="U397" s="49"/>
      <c r="V397" s="49"/>
      <c r="W397" s="49"/>
      <c r="X397" s="49"/>
      <c r="Y397" s="49"/>
      <c r="Z397" s="49"/>
      <c r="AA397" s="49"/>
      <c r="AB397" s="49"/>
      <c r="AC397" s="49"/>
      <c r="AD397" s="91"/>
      <c r="AE397" s="91"/>
      <c r="AF397" s="91"/>
      <c r="AG397" s="91"/>
    </row>
    <row r="398" spans="1:33">
      <c r="A398" s="536"/>
      <c r="B398" s="534">
        <v>396</v>
      </c>
      <c r="C398" s="536">
        <v>281284</v>
      </c>
      <c r="D398" s="536">
        <v>40876982</v>
      </c>
      <c r="E398" s="212" t="s">
        <v>2184</v>
      </c>
      <c r="F398" s="536">
        <v>45</v>
      </c>
      <c r="G398" s="59" t="s">
        <v>2185</v>
      </c>
      <c r="H398" s="59" t="s">
        <v>222</v>
      </c>
      <c r="I398" s="536">
        <v>993111886</v>
      </c>
      <c r="J398" s="59" t="s">
        <v>588</v>
      </c>
      <c r="K398" s="591">
        <v>46070</v>
      </c>
      <c r="L398" s="143" t="s">
        <v>2186</v>
      </c>
      <c r="M398" s="536" t="s">
        <v>323</v>
      </c>
      <c r="N398" s="59" t="s">
        <v>2187</v>
      </c>
      <c r="O398" s="442">
        <v>46083</v>
      </c>
      <c r="P398" s="612" t="s">
        <v>292</v>
      </c>
      <c r="Q398" s="807">
        <v>46082</v>
      </c>
      <c r="R398" s="536" t="s">
        <v>242</v>
      </c>
      <c r="S398" s="59"/>
      <c r="T398" s="59"/>
      <c r="U398" s="59"/>
      <c r="V398" s="59"/>
      <c r="W398" s="59"/>
      <c r="X398" s="59"/>
      <c r="Y398" s="59"/>
      <c r="Z398" s="59"/>
      <c r="AA398" s="59"/>
      <c r="AB398" s="59"/>
      <c r="AC398" s="59"/>
      <c r="AD398" s="91"/>
      <c r="AE398" s="91"/>
      <c r="AF398" s="91"/>
      <c r="AG398" s="91"/>
    </row>
    <row r="399" spans="1:33">
      <c r="A399" s="534"/>
      <c r="B399" s="534">
        <v>397</v>
      </c>
      <c r="C399" s="534">
        <v>338010</v>
      </c>
      <c r="D399" s="534">
        <v>40186823</v>
      </c>
      <c r="E399" s="50" t="s">
        <v>2188</v>
      </c>
      <c r="F399" s="534">
        <v>42</v>
      </c>
      <c r="G399" s="49" t="s">
        <v>2189</v>
      </c>
      <c r="H399" s="49" t="s">
        <v>432</v>
      </c>
      <c r="I399" s="534">
        <v>940583698</v>
      </c>
      <c r="J399" s="49" t="s">
        <v>1209</v>
      </c>
      <c r="K399" s="535">
        <v>46072</v>
      </c>
      <c r="L399" s="43" t="s">
        <v>2183</v>
      </c>
      <c r="M399" s="534" t="s">
        <v>230</v>
      </c>
      <c r="N399" s="49" t="s">
        <v>2115</v>
      </c>
      <c r="O399" s="437">
        <v>46083</v>
      </c>
      <c r="P399" s="546" t="s">
        <v>292</v>
      </c>
      <c r="Q399" s="802">
        <v>46082</v>
      </c>
      <c r="R399" s="534" t="s">
        <v>318</v>
      </c>
      <c r="S399" s="49"/>
      <c r="T399" s="49"/>
      <c r="U399" s="49"/>
      <c r="V399" s="49"/>
      <c r="W399" s="49"/>
      <c r="X399" s="49"/>
      <c r="Y399" s="49"/>
      <c r="Z399" s="49"/>
      <c r="AA399" s="49"/>
      <c r="AB399" s="49"/>
      <c r="AC399" s="49"/>
      <c r="AD399" s="91"/>
      <c r="AE399" s="91"/>
      <c r="AF399" s="91"/>
      <c r="AG399" s="91"/>
    </row>
    <row r="400" spans="1:33" ht="24.75">
      <c r="A400" s="551"/>
      <c r="B400" s="534">
        <v>398</v>
      </c>
      <c r="C400" s="570">
        <v>295414</v>
      </c>
      <c r="D400" s="570">
        <v>45357201</v>
      </c>
      <c r="E400" s="583" t="s">
        <v>244</v>
      </c>
      <c r="F400" s="570">
        <v>44</v>
      </c>
      <c r="G400" s="345" t="s">
        <v>245</v>
      </c>
      <c r="H400" s="345" t="s">
        <v>246</v>
      </c>
      <c r="I400" s="570">
        <v>963865735</v>
      </c>
      <c r="J400" s="56" t="s">
        <v>247</v>
      </c>
      <c r="K400" s="592">
        <v>46070</v>
      </c>
      <c r="L400" s="132" t="s">
        <v>248</v>
      </c>
      <c r="M400" s="545" t="s">
        <v>249</v>
      </c>
      <c r="N400" s="132" t="s">
        <v>250</v>
      </c>
      <c r="O400" s="440">
        <v>46101</v>
      </c>
      <c r="P400" s="546" t="s">
        <v>251</v>
      </c>
      <c r="Q400" s="818" t="s">
        <v>339</v>
      </c>
      <c r="R400" s="545"/>
      <c r="S400" s="56"/>
      <c r="T400" s="56"/>
      <c r="U400" s="56"/>
      <c r="V400" s="56"/>
      <c r="W400" s="56"/>
      <c r="X400" s="56"/>
      <c r="Y400" s="56"/>
      <c r="Z400" s="56"/>
      <c r="AA400" s="56"/>
      <c r="AB400" s="56"/>
      <c r="AC400" s="56"/>
      <c r="AD400" s="91"/>
      <c r="AE400" s="91"/>
      <c r="AF400" s="91"/>
      <c r="AG400" s="91"/>
    </row>
    <row r="401" spans="1:33">
      <c r="A401" s="534"/>
      <c r="B401" s="534">
        <v>399</v>
      </c>
      <c r="C401" s="534">
        <v>147544</v>
      </c>
      <c r="D401" s="534">
        <v>15605778</v>
      </c>
      <c r="E401" s="50" t="s">
        <v>2190</v>
      </c>
      <c r="F401" s="534">
        <v>60</v>
      </c>
      <c r="G401" s="49" t="s">
        <v>2191</v>
      </c>
      <c r="H401" s="49" t="s">
        <v>278</v>
      </c>
      <c r="I401" s="534">
        <v>956440213</v>
      </c>
      <c r="J401" s="49" t="s">
        <v>384</v>
      </c>
      <c r="K401" s="535">
        <v>46069</v>
      </c>
      <c r="L401" s="49" t="s">
        <v>747</v>
      </c>
      <c r="M401" s="534" t="s">
        <v>230</v>
      </c>
      <c r="N401" s="49" t="s">
        <v>2115</v>
      </c>
      <c r="O401" s="437">
        <v>46086</v>
      </c>
      <c r="P401" s="419" t="s">
        <v>2154</v>
      </c>
      <c r="Q401" s="802">
        <v>46082</v>
      </c>
      <c r="R401" s="808">
        <v>46082</v>
      </c>
      <c r="S401" s="49"/>
      <c r="T401" s="49"/>
      <c r="U401" s="49"/>
      <c r="V401" s="49"/>
      <c r="W401" s="49"/>
      <c r="X401" s="49"/>
      <c r="Y401" s="49"/>
      <c r="Z401" s="49"/>
      <c r="AA401" s="49"/>
      <c r="AB401" s="49"/>
      <c r="AC401" s="49"/>
      <c r="AD401" s="91"/>
      <c r="AE401" s="91"/>
      <c r="AF401" s="91"/>
      <c r="AG401" s="91"/>
    </row>
    <row r="402" spans="1:33">
      <c r="A402" s="534"/>
      <c r="B402" s="534">
        <v>400</v>
      </c>
      <c r="C402" s="534">
        <v>523094</v>
      </c>
      <c r="D402" s="485">
        <v>15645636</v>
      </c>
      <c r="E402" s="58" t="s">
        <v>2192</v>
      </c>
      <c r="F402" s="485">
        <v>66</v>
      </c>
      <c r="G402" s="47" t="s">
        <v>2193</v>
      </c>
      <c r="H402" s="49" t="s">
        <v>222</v>
      </c>
      <c r="I402" s="485">
        <v>941812431</v>
      </c>
      <c r="J402" s="49" t="s">
        <v>707</v>
      </c>
      <c r="K402" s="535">
        <v>46070</v>
      </c>
      <c r="L402" s="43" t="s">
        <v>2194</v>
      </c>
      <c r="M402" s="534" t="s">
        <v>230</v>
      </c>
      <c r="N402" s="49" t="s">
        <v>2115</v>
      </c>
      <c r="O402" s="437">
        <v>46083</v>
      </c>
      <c r="P402" s="539" t="s">
        <v>292</v>
      </c>
      <c r="Q402" s="807">
        <v>46082</v>
      </c>
      <c r="R402" s="534" t="s">
        <v>318</v>
      </c>
      <c r="S402" s="49"/>
      <c r="T402" s="49"/>
      <c r="U402" s="49"/>
      <c r="V402" s="49"/>
      <c r="W402" s="49"/>
      <c r="X402" s="49"/>
      <c r="Y402" s="49"/>
      <c r="Z402" s="49"/>
      <c r="AA402" s="49"/>
      <c r="AB402" s="49"/>
      <c r="AC402" s="49"/>
      <c r="AD402" s="91"/>
      <c r="AE402" s="91"/>
      <c r="AF402" s="91"/>
      <c r="AG402" s="91"/>
    </row>
    <row r="403" spans="1:33" ht="24.75">
      <c r="A403" s="534" t="s">
        <v>2195</v>
      </c>
      <c r="B403" s="534">
        <v>401</v>
      </c>
      <c r="C403" s="534">
        <v>523095</v>
      </c>
      <c r="D403" s="485">
        <v>15751002</v>
      </c>
      <c r="E403" s="242" t="s">
        <v>2196</v>
      </c>
      <c r="F403" s="485">
        <v>51</v>
      </c>
      <c r="G403" s="47" t="s">
        <v>2197</v>
      </c>
      <c r="H403" s="49" t="s">
        <v>461</v>
      </c>
      <c r="I403" s="534">
        <v>965649063</v>
      </c>
      <c r="J403" s="49" t="s">
        <v>162</v>
      </c>
      <c r="K403" s="535">
        <v>46070</v>
      </c>
      <c r="L403" s="43" t="s">
        <v>2198</v>
      </c>
      <c r="M403" s="534" t="s">
        <v>312</v>
      </c>
      <c r="N403" s="49" t="s">
        <v>2115</v>
      </c>
      <c r="O403" s="53">
        <v>46080</v>
      </c>
      <c r="P403" s="546" t="s">
        <v>1330</v>
      </c>
      <c r="Q403" s="471" t="s">
        <v>358</v>
      </c>
      <c r="R403" s="534"/>
      <c r="S403" s="49"/>
      <c r="T403" s="49"/>
      <c r="U403" s="49"/>
      <c r="V403" s="49"/>
      <c r="W403" s="49"/>
      <c r="X403" s="49"/>
      <c r="Y403" s="49"/>
      <c r="Z403" s="49"/>
      <c r="AA403" s="49"/>
      <c r="AB403" s="49"/>
      <c r="AC403" s="49"/>
      <c r="AD403" s="91"/>
      <c r="AE403" s="91"/>
      <c r="AF403" s="91"/>
      <c r="AG403" s="91"/>
    </row>
    <row r="404" spans="1:33">
      <c r="A404" s="534"/>
      <c r="B404" s="534">
        <v>402</v>
      </c>
      <c r="C404" s="534">
        <v>110338</v>
      </c>
      <c r="D404" s="534">
        <v>15580142</v>
      </c>
      <c r="E404" s="50" t="s">
        <v>2199</v>
      </c>
      <c r="F404" s="534">
        <v>61</v>
      </c>
      <c r="G404" s="49" t="s">
        <v>2200</v>
      </c>
      <c r="H404" s="49" t="s">
        <v>278</v>
      </c>
      <c r="I404" s="534" t="s">
        <v>2201</v>
      </c>
      <c r="J404" s="49" t="s">
        <v>238</v>
      </c>
      <c r="K404" s="535">
        <v>46070</v>
      </c>
      <c r="L404" s="43" t="s">
        <v>2202</v>
      </c>
      <c r="M404" s="534" t="s">
        <v>312</v>
      </c>
      <c r="N404" s="49" t="s">
        <v>2153</v>
      </c>
      <c r="O404" s="53">
        <v>46080</v>
      </c>
      <c r="P404" s="546"/>
      <c r="Q404" s="638"/>
      <c r="R404" s="566"/>
      <c r="S404" s="49"/>
      <c r="T404" s="49"/>
      <c r="U404" s="49"/>
      <c r="V404" s="49"/>
      <c r="W404" s="49"/>
      <c r="X404" s="49"/>
      <c r="Y404" s="49"/>
      <c r="Z404" s="49"/>
      <c r="AA404" s="49"/>
      <c r="AB404" s="49"/>
      <c r="AC404" s="49"/>
      <c r="AD404" s="91"/>
      <c r="AE404" s="91"/>
      <c r="AF404" s="91"/>
      <c r="AG404" s="91"/>
    </row>
    <row r="405" spans="1:33">
      <c r="A405" s="534"/>
      <c r="B405" s="534">
        <v>403</v>
      </c>
      <c r="C405" s="534">
        <v>523101</v>
      </c>
      <c r="D405" s="534">
        <v>40838752</v>
      </c>
      <c r="E405" s="50" t="s">
        <v>2203</v>
      </c>
      <c r="F405" s="534">
        <v>44</v>
      </c>
      <c r="G405" s="49" t="s">
        <v>2204</v>
      </c>
      <c r="H405" s="49" t="s">
        <v>246</v>
      </c>
      <c r="I405" s="534">
        <v>953878998</v>
      </c>
      <c r="J405" s="49" t="s">
        <v>707</v>
      </c>
      <c r="K405" s="535">
        <v>46070</v>
      </c>
      <c r="L405" s="43" t="s">
        <v>2194</v>
      </c>
      <c r="M405" s="534" t="s">
        <v>312</v>
      </c>
      <c r="N405" s="49" t="s">
        <v>2153</v>
      </c>
      <c r="O405" s="437">
        <v>46083</v>
      </c>
      <c r="P405" s="539" t="s">
        <v>292</v>
      </c>
      <c r="Q405" s="807">
        <v>46082</v>
      </c>
      <c r="R405" s="534" t="s">
        <v>242</v>
      </c>
      <c r="S405" s="49"/>
      <c r="T405" s="49"/>
      <c r="U405" s="49"/>
      <c r="V405" s="49"/>
      <c r="W405" s="49"/>
      <c r="X405" s="49"/>
      <c r="Y405" s="49"/>
      <c r="Z405" s="49"/>
      <c r="AA405" s="49"/>
      <c r="AB405" s="49"/>
      <c r="AC405" s="49"/>
      <c r="AD405" s="91"/>
      <c r="AE405" s="91"/>
      <c r="AF405" s="91"/>
      <c r="AG405" s="91"/>
    </row>
    <row r="406" spans="1:33">
      <c r="A406" s="534"/>
      <c r="B406" s="534">
        <v>404</v>
      </c>
      <c r="C406" s="534">
        <v>523104</v>
      </c>
      <c r="D406" s="485">
        <v>41519668</v>
      </c>
      <c r="E406" s="58" t="s">
        <v>2205</v>
      </c>
      <c r="F406" s="485">
        <v>43</v>
      </c>
      <c r="G406" s="47" t="s">
        <v>2206</v>
      </c>
      <c r="H406" s="49" t="s">
        <v>461</v>
      </c>
      <c r="I406" s="485">
        <v>929317532</v>
      </c>
      <c r="J406" s="49" t="s">
        <v>162</v>
      </c>
      <c r="K406" s="535">
        <v>46070</v>
      </c>
      <c r="L406" s="49" t="s">
        <v>2207</v>
      </c>
      <c r="M406" s="534" t="s">
        <v>260</v>
      </c>
      <c r="N406" s="49" t="s">
        <v>601</v>
      </c>
      <c r="O406" s="441">
        <v>46084</v>
      </c>
      <c r="P406" s="546" t="s">
        <v>1330</v>
      </c>
      <c r="Q406" s="471" t="s">
        <v>358</v>
      </c>
      <c r="R406" s="534"/>
      <c r="S406" s="49"/>
      <c r="T406" s="49"/>
      <c r="U406" s="49"/>
      <c r="V406" s="49"/>
      <c r="W406" s="49"/>
      <c r="X406" s="49"/>
      <c r="Y406" s="49"/>
      <c r="Z406" s="49"/>
      <c r="AA406" s="49"/>
      <c r="AB406" s="49"/>
      <c r="AC406" s="49"/>
      <c r="AD406" s="91"/>
      <c r="AE406" s="91"/>
      <c r="AF406" s="91"/>
      <c r="AG406" s="91"/>
    </row>
    <row r="407" spans="1:33">
      <c r="A407" s="534"/>
      <c r="B407" s="534">
        <v>405</v>
      </c>
      <c r="C407" s="534">
        <v>261396</v>
      </c>
      <c r="D407" s="534">
        <v>43248595</v>
      </c>
      <c r="E407" s="50" t="s">
        <v>2208</v>
      </c>
      <c r="F407" s="534">
        <v>40</v>
      </c>
      <c r="G407" s="49" t="s">
        <v>2209</v>
      </c>
      <c r="H407" s="49" t="s">
        <v>278</v>
      </c>
      <c r="I407" s="534">
        <v>987339641</v>
      </c>
      <c r="J407" s="49" t="s">
        <v>238</v>
      </c>
      <c r="K407" s="535">
        <v>46070</v>
      </c>
      <c r="L407" s="43" t="s">
        <v>2183</v>
      </c>
      <c r="M407" s="534" t="s">
        <v>312</v>
      </c>
      <c r="N407" s="49" t="s">
        <v>2115</v>
      </c>
      <c r="O407" s="53">
        <v>46080</v>
      </c>
      <c r="P407" s="546"/>
      <c r="Q407" s="546" t="s">
        <v>1186</v>
      </c>
      <c r="R407" s="566"/>
      <c r="S407" s="49"/>
      <c r="T407" s="49"/>
      <c r="U407" s="49"/>
      <c r="V407" s="49"/>
      <c r="W407" s="49"/>
      <c r="X407" s="49"/>
      <c r="Y407" s="49"/>
      <c r="Z407" s="49"/>
      <c r="AA407" s="49"/>
      <c r="AB407" s="49"/>
      <c r="AC407" s="49"/>
      <c r="AD407" s="91"/>
      <c r="AE407" s="91"/>
      <c r="AF407" s="91"/>
      <c r="AG407" s="91"/>
    </row>
    <row r="408" spans="1:33">
      <c r="A408" s="534"/>
      <c r="B408" s="534">
        <v>406</v>
      </c>
      <c r="C408" s="534">
        <v>189986</v>
      </c>
      <c r="D408" s="534" t="s">
        <v>2210</v>
      </c>
      <c r="E408" s="50" t="s">
        <v>2211</v>
      </c>
      <c r="F408" s="534">
        <v>50</v>
      </c>
      <c r="G408" s="49" t="s">
        <v>2212</v>
      </c>
      <c r="H408" s="49" t="s">
        <v>278</v>
      </c>
      <c r="I408" s="534">
        <v>980057615</v>
      </c>
      <c r="J408" s="49" t="s">
        <v>238</v>
      </c>
      <c r="K408" s="535">
        <v>46072</v>
      </c>
      <c r="L408" s="43" t="s">
        <v>2194</v>
      </c>
      <c r="M408" s="534" t="s">
        <v>230</v>
      </c>
      <c r="N408" s="49" t="s">
        <v>2115</v>
      </c>
      <c r="O408" s="53">
        <v>46080</v>
      </c>
      <c r="P408" s="546"/>
      <c r="Q408" s="546" t="s">
        <v>2213</v>
      </c>
      <c r="R408" s="566"/>
      <c r="S408" s="49"/>
      <c r="T408" s="49"/>
      <c r="U408" s="49"/>
      <c r="V408" s="49"/>
      <c r="W408" s="49"/>
      <c r="X408" s="49"/>
      <c r="Y408" s="49"/>
      <c r="Z408" s="49"/>
      <c r="AA408" s="49"/>
      <c r="AB408" s="49"/>
      <c r="AC408" s="49"/>
      <c r="AD408" s="91"/>
      <c r="AE408" s="91"/>
      <c r="AF408" s="91"/>
      <c r="AG408" s="91"/>
    </row>
    <row r="409" spans="1:33">
      <c r="A409" s="534"/>
      <c r="B409" s="534">
        <v>407</v>
      </c>
      <c r="C409" s="534">
        <v>774774</v>
      </c>
      <c r="D409" s="534">
        <v>15764304</v>
      </c>
      <c r="E409" s="50" t="s">
        <v>2214</v>
      </c>
      <c r="F409" s="534">
        <v>48</v>
      </c>
      <c r="G409" s="49" t="s">
        <v>2215</v>
      </c>
      <c r="H409" s="49" t="s">
        <v>222</v>
      </c>
      <c r="I409" s="534">
        <v>953677832</v>
      </c>
      <c r="J409" s="49" t="s">
        <v>238</v>
      </c>
      <c r="K409" s="535">
        <v>46070</v>
      </c>
      <c r="L409" s="43" t="s">
        <v>2216</v>
      </c>
      <c r="M409" s="534" t="s">
        <v>230</v>
      </c>
      <c r="N409" s="49" t="s">
        <v>2153</v>
      </c>
      <c r="O409" s="53">
        <v>46080</v>
      </c>
      <c r="P409" s="546"/>
      <c r="Q409" s="639"/>
      <c r="R409" s="566"/>
      <c r="S409" s="49"/>
      <c r="T409" s="49"/>
      <c r="U409" s="49"/>
      <c r="V409" s="49"/>
      <c r="W409" s="49"/>
      <c r="X409" s="49"/>
      <c r="Y409" s="49"/>
      <c r="Z409" s="49"/>
      <c r="AA409" s="49"/>
      <c r="AB409" s="49"/>
      <c r="AC409" s="49"/>
      <c r="AD409" s="91"/>
      <c r="AE409" s="91"/>
      <c r="AF409" s="91"/>
      <c r="AG409" s="91"/>
    </row>
    <row r="410" spans="1:33">
      <c r="A410" s="534"/>
      <c r="B410" s="534">
        <v>408</v>
      </c>
      <c r="C410" s="534">
        <v>523107</v>
      </c>
      <c r="D410" s="534">
        <v>80256283</v>
      </c>
      <c r="E410" s="50" t="s">
        <v>2217</v>
      </c>
      <c r="F410" s="534">
        <v>47</v>
      </c>
      <c r="G410" s="49" t="s">
        <v>2218</v>
      </c>
      <c r="H410" s="49" t="s">
        <v>461</v>
      </c>
      <c r="I410" s="534" t="s">
        <v>2219</v>
      </c>
      <c r="J410" s="49" t="s">
        <v>421</v>
      </c>
      <c r="K410" s="535">
        <v>46070</v>
      </c>
      <c r="L410" s="43" t="s">
        <v>2183</v>
      </c>
      <c r="M410" s="534" t="s">
        <v>230</v>
      </c>
      <c r="N410" s="49" t="s">
        <v>2115</v>
      </c>
      <c r="O410" s="53">
        <v>46080</v>
      </c>
      <c r="P410" s="546" t="s">
        <v>1602</v>
      </c>
      <c r="Q410" s="471" t="s">
        <v>358</v>
      </c>
      <c r="R410" s="566"/>
      <c r="S410" s="49"/>
      <c r="T410" s="49"/>
      <c r="U410" s="49"/>
      <c r="V410" s="49"/>
      <c r="W410" s="49"/>
      <c r="X410" s="49"/>
      <c r="Y410" s="49"/>
      <c r="Z410" s="49"/>
      <c r="AA410" s="49"/>
      <c r="AB410" s="49"/>
      <c r="AC410" s="49"/>
      <c r="AD410" s="91"/>
      <c r="AE410" s="91"/>
      <c r="AF410" s="91"/>
      <c r="AG410" s="91"/>
    </row>
    <row r="411" spans="1:33">
      <c r="A411" s="534"/>
      <c r="B411" s="534">
        <v>409</v>
      </c>
      <c r="C411" s="534">
        <v>261339</v>
      </c>
      <c r="D411" s="534">
        <v>40008807</v>
      </c>
      <c r="E411" s="50" t="s">
        <v>2220</v>
      </c>
      <c r="F411" s="534">
        <v>47</v>
      </c>
      <c r="G411" s="49" t="s">
        <v>2221</v>
      </c>
      <c r="H411" s="49" t="s">
        <v>326</v>
      </c>
      <c r="I411" s="534" t="s">
        <v>2222</v>
      </c>
      <c r="J411" s="49" t="s">
        <v>375</v>
      </c>
      <c r="K411" s="535">
        <v>46070</v>
      </c>
      <c r="L411" s="43" t="s">
        <v>1713</v>
      </c>
      <c r="M411" s="534" t="s">
        <v>230</v>
      </c>
      <c r="N411" s="49" t="s">
        <v>2153</v>
      </c>
      <c r="O411" s="437">
        <v>46087</v>
      </c>
      <c r="P411" s="546" t="s">
        <v>2062</v>
      </c>
      <c r="Q411" s="807">
        <v>46082</v>
      </c>
      <c r="R411" s="566" t="s">
        <v>318</v>
      </c>
      <c r="S411" s="49"/>
      <c r="T411" s="49"/>
      <c r="U411" s="49"/>
      <c r="V411" s="49"/>
      <c r="W411" s="49"/>
      <c r="X411" s="49"/>
      <c r="Y411" s="49"/>
      <c r="Z411" s="49"/>
      <c r="AA411" s="49"/>
      <c r="AB411" s="49"/>
      <c r="AC411" s="49"/>
      <c r="AD411" s="91"/>
      <c r="AE411" s="91"/>
      <c r="AF411" s="91"/>
      <c r="AG411" s="91"/>
    </row>
    <row r="412" spans="1:33">
      <c r="A412" s="534"/>
      <c r="B412" s="534">
        <v>410</v>
      </c>
      <c r="C412" s="534">
        <v>296232</v>
      </c>
      <c r="D412" s="534">
        <v>41746784</v>
      </c>
      <c r="E412" s="50" t="s">
        <v>2223</v>
      </c>
      <c r="F412" s="534">
        <v>42</v>
      </c>
      <c r="G412" s="49" t="s">
        <v>2224</v>
      </c>
      <c r="H412" s="49" t="s">
        <v>237</v>
      </c>
      <c r="I412" s="534" t="s">
        <v>2225</v>
      </c>
      <c r="J412" s="49" t="s">
        <v>429</v>
      </c>
      <c r="K412" s="535">
        <v>46070</v>
      </c>
      <c r="L412" s="43" t="s">
        <v>2226</v>
      </c>
      <c r="M412" s="534" t="s">
        <v>230</v>
      </c>
      <c r="N412" s="49" t="s">
        <v>601</v>
      </c>
      <c r="O412" s="437">
        <v>46101</v>
      </c>
      <c r="P412" s="546" t="s">
        <v>2227</v>
      </c>
      <c r="Q412" s="471" t="s">
        <v>358</v>
      </c>
      <c r="R412" s="566"/>
      <c r="S412" s="49"/>
      <c r="T412" s="49"/>
      <c r="U412" s="49"/>
      <c r="V412" s="49"/>
      <c r="W412" s="49"/>
      <c r="X412" s="49"/>
      <c r="Y412" s="49"/>
      <c r="Z412" s="49"/>
      <c r="AA412" s="49"/>
      <c r="AB412" s="49"/>
      <c r="AC412" s="49"/>
      <c r="AD412" s="91"/>
      <c r="AE412" s="91"/>
      <c r="AF412" s="91"/>
      <c r="AG412" s="91"/>
    </row>
    <row r="413" spans="1:33">
      <c r="A413" s="536"/>
      <c r="B413" s="534">
        <v>411</v>
      </c>
      <c r="C413" s="536">
        <v>114527</v>
      </c>
      <c r="D413" s="536">
        <v>42572216</v>
      </c>
      <c r="E413" s="212" t="s">
        <v>2228</v>
      </c>
      <c r="F413" s="536">
        <v>42</v>
      </c>
      <c r="G413" s="59" t="s">
        <v>2229</v>
      </c>
      <c r="H413" s="59" t="s">
        <v>432</v>
      </c>
      <c r="I413" s="536">
        <v>912155930</v>
      </c>
      <c r="J413" s="59" t="s">
        <v>1209</v>
      </c>
      <c r="K413" s="591">
        <v>46070</v>
      </c>
      <c r="L413" s="143" t="s">
        <v>2230</v>
      </c>
      <c r="M413" s="536" t="s">
        <v>323</v>
      </c>
      <c r="N413" s="59" t="s">
        <v>2153</v>
      </c>
      <c r="O413" s="442">
        <v>46083</v>
      </c>
      <c r="P413" s="612" t="s">
        <v>292</v>
      </c>
      <c r="Q413" s="802">
        <v>46082</v>
      </c>
      <c r="R413" s="802">
        <v>46082</v>
      </c>
      <c r="S413" s="59"/>
      <c r="T413" s="59"/>
      <c r="U413" s="59"/>
      <c r="V413" s="59"/>
      <c r="W413" s="59"/>
      <c r="X413" s="59"/>
      <c r="Y413" s="59"/>
      <c r="Z413" s="59"/>
      <c r="AA413" s="59"/>
      <c r="AB413" s="59"/>
      <c r="AC413" s="59"/>
      <c r="AD413" s="91"/>
      <c r="AE413" s="91"/>
      <c r="AF413" s="91"/>
      <c r="AG413" s="91"/>
    </row>
    <row r="414" spans="1:33">
      <c r="A414" s="534"/>
      <c r="B414" s="534">
        <v>412</v>
      </c>
      <c r="C414" s="534">
        <v>523109</v>
      </c>
      <c r="D414" s="485">
        <v>41081711</v>
      </c>
      <c r="E414" s="242" t="s">
        <v>2231</v>
      </c>
      <c r="F414" s="485">
        <v>46</v>
      </c>
      <c r="G414" s="47" t="s">
        <v>2232</v>
      </c>
      <c r="H414" s="49" t="s">
        <v>461</v>
      </c>
      <c r="I414" s="485">
        <v>904810418</v>
      </c>
      <c r="J414" s="49" t="s">
        <v>162</v>
      </c>
      <c r="K414" s="535">
        <v>46070</v>
      </c>
      <c r="L414" s="43" t="s">
        <v>2233</v>
      </c>
      <c r="M414" s="534" t="s">
        <v>312</v>
      </c>
      <c r="N414" s="49" t="s">
        <v>2115</v>
      </c>
      <c r="O414" s="53">
        <v>46080</v>
      </c>
      <c r="P414" s="546" t="s">
        <v>1330</v>
      </c>
      <c r="Q414" s="471" t="s">
        <v>358</v>
      </c>
      <c r="R414" s="534"/>
      <c r="S414" s="49"/>
      <c r="T414" s="49"/>
      <c r="U414" s="49"/>
      <c r="V414" s="49"/>
      <c r="W414" s="49"/>
      <c r="X414" s="49"/>
      <c r="Y414" s="49"/>
      <c r="Z414" s="49"/>
      <c r="AA414" s="49"/>
      <c r="AB414" s="49"/>
      <c r="AC414" s="49"/>
      <c r="AD414" s="91"/>
      <c r="AE414" s="91"/>
      <c r="AF414" s="91"/>
      <c r="AG414" s="91"/>
    </row>
    <row r="415" spans="1:33">
      <c r="A415" s="534"/>
      <c r="B415" s="534">
        <v>413</v>
      </c>
      <c r="C415" s="534">
        <v>523110</v>
      </c>
      <c r="D415" s="534">
        <v>15753466</v>
      </c>
      <c r="E415" s="50" t="s">
        <v>2234</v>
      </c>
      <c r="F415" s="534">
        <v>50</v>
      </c>
      <c r="G415" s="49" t="s">
        <v>2235</v>
      </c>
      <c r="H415" s="49" t="s">
        <v>461</v>
      </c>
      <c r="I415" s="534">
        <v>999840916</v>
      </c>
      <c r="J415" s="46" t="s">
        <v>162</v>
      </c>
      <c r="K415" s="535">
        <v>46070</v>
      </c>
      <c r="L415" s="43" t="s">
        <v>2236</v>
      </c>
      <c r="M415" s="534" t="s">
        <v>312</v>
      </c>
      <c r="N415" s="49" t="s">
        <v>2115</v>
      </c>
      <c r="O415" s="53">
        <v>46080</v>
      </c>
      <c r="P415" s="546" t="s">
        <v>1330</v>
      </c>
      <c r="Q415" s="471" t="s">
        <v>358</v>
      </c>
      <c r="R415" s="566"/>
      <c r="S415" s="49"/>
      <c r="T415" s="49"/>
      <c r="U415" s="49"/>
      <c r="V415" s="49"/>
      <c r="W415" s="49"/>
      <c r="X415" s="49"/>
      <c r="Y415" s="49"/>
      <c r="Z415" s="49"/>
      <c r="AA415" s="49"/>
      <c r="AB415" s="49"/>
      <c r="AC415" s="49"/>
      <c r="AD415" s="91"/>
      <c r="AE415" s="91"/>
      <c r="AF415" s="91"/>
      <c r="AG415" s="91"/>
    </row>
    <row r="416" spans="1:33">
      <c r="A416" s="534"/>
      <c r="B416" s="534">
        <v>414</v>
      </c>
      <c r="C416" s="534"/>
      <c r="D416" s="485">
        <v>42850589</v>
      </c>
      <c r="E416" s="242" t="s">
        <v>2237</v>
      </c>
      <c r="F416" s="485">
        <v>41</v>
      </c>
      <c r="G416" s="47" t="s">
        <v>2238</v>
      </c>
      <c r="H416" s="49" t="s">
        <v>461</v>
      </c>
      <c r="I416" s="479">
        <v>968933537</v>
      </c>
      <c r="J416" s="49" t="s">
        <v>162</v>
      </c>
      <c r="K416" s="535">
        <v>46070</v>
      </c>
      <c r="L416" s="43" t="s">
        <v>2239</v>
      </c>
      <c r="M416" s="534" t="s">
        <v>312</v>
      </c>
      <c r="N416" s="49" t="s">
        <v>2153</v>
      </c>
      <c r="O416" s="53">
        <v>46080</v>
      </c>
      <c r="P416" s="546" t="s">
        <v>1330</v>
      </c>
      <c r="Q416" s="471" t="s">
        <v>358</v>
      </c>
      <c r="R416" s="534"/>
      <c r="S416" s="49"/>
      <c r="T416" s="49"/>
      <c r="U416" s="49"/>
      <c r="V416" s="49"/>
      <c r="W416" s="49"/>
      <c r="X416" s="49"/>
      <c r="Y416" s="49"/>
      <c r="Z416" s="49"/>
      <c r="AA416" s="49"/>
      <c r="AB416" s="49"/>
      <c r="AC416" s="49"/>
      <c r="AD416" s="91"/>
      <c r="AE416" s="91"/>
      <c r="AF416" s="91"/>
      <c r="AG416" s="91"/>
    </row>
    <row r="417" spans="1:33">
      <c r="A417" s="534" t="s">
        <v>2240</v>
      </c>
      <c r="B417" s="534">
        <v>415</v>
      </c>
      <c r="C417" s="534">
        <v>108865</v>
      </c>
      <c r="D417" s="534">
        <v>43374078</v>
      </c>
      <c r="E417" s="50" t="s">
        <v>2241</v>
      </c>
      <c r="F417" s="534">
        <v>43</v>
      </c>
      <c r="G417" s="49" t="s">
        <v>2242</v>
      </c>
      <c r="H417" s="49" t="s">
        <v>278</v>
      </c>
      <c r="I417" s="534" t="s">
        <v>2243</v>
      </c>
      <c r="J417" s="49" t="s">
        <v>238</v>
      </c>
      <c r="K417" s="535">
        <v>46070</v>
      </c>
      <c r="L417" s="43" t="s">
        <v>2183</v>
      </c>
      <c r="M417" s="534" t="s">
        <v>230</v>
      </c>
      <c r="N417" s="49" t="s">
        <v>2115</v>
      </c>
      <c r="O417" s="53">
        <v>46080</v>
      </c>
      <c r="P417" s="546"/>
      <c r="Q417" s="546" t="s">
        <v>2244</v>
      </c>
      <c r="R417" s="566"/>
      <c r="S417" s="49"/>
      <c r="T417" s="49"/>
      <c r="U417" s="49"/>
      <c r="V417" s="49"/>
      <c r="W417" s="49"/>
      <c r="X417" s="49"/>
      <c r="Y417" s="49"/>
      <c r="Z417" s="49"/>
      <c r="AA417" s="49"/>
      <c r="AB417" s="49"/>
      <c r="AC417" s="49"/>
      <c r="AD417" s="91"/>
      <c r="AE417" s="91"/>
      <c r="AF417" s="91"/>
      <c r="AG417" s="91"/>
    </row>
    <row r="418" spans="1:33">
      <c r="A418" s="536"/>
      <c r="B418" s="534">
        <v>416</v>
      </c>
      <c r="C418" s="536">
        <v>16400</v>
      </c>
      <c r="D418" s="536">
        <v>15645836</v>
      </c>
      <c r="E418" s="212" t="s">
        <v>2245</v>
      </c>
      <c r="F418" s="536">
        <v>60</v>
      </c>
      <c r="G418" s="59" t="s">
        <v>2246</v>
      </c>
      <c r="H418" s="59" t="s">
        <v>222</v>
      </c>
      <c r="I418" s="536">
        <v>986735969</v>
      </c>
      <c r="J418" s="59" t="s">
        <v>223</v>
      </c>
      <c r="K418" s="591">
        <v>46070</v>
      </c>
      <c r="L418" s="143" t="s">
        <v>2247</v>
      </c>
      <c r="M418" s="536" t="s">
        <v>323</v>
      </c>
      <c r="N418" s="59" t="s">
        <v>2153</v>
      </c>
      <c r="O418" s="442">
        <v>46083</v>
      </c>
      <c r="P418" s="536" t="s">
        <v>292</v>
      </c>
      <c r="Q418" s="802">
        <v>46082</v>
      </c>
      <c r="R418" s="534" t="s">
        <v>242</v>
      </c>
      <c r="S418" s="59"/>
      <c r="T418" s="59"/>
      <c r="U418" s="59"/>
      <c r="V418" s="59"/>
      <c r="W418" s="59"/>
      <c r="X418" s="59"/>
      <c r="Y418" s="59"/>
      <c r="Z418" s="59"/>
      <c r="AA418" s="59"/>
      <c r="AB418" s="59"/>
      <c r="AC418" s="59"/>
      <c r="AD418" s="91"/>
      <c r="AE418" s="91"/>
      <c r="AF418" s="91"/>
      <c r="AG418" s="91"/>
    </row>
    <row r="419" spans="1:33">
      <c r="A419" s="534"/>
      <c r="B419" s="534">
        <v>417</v>
      </c>
      <c r="C419" s="534">
        <v>129618</v>
      </c>
      <c r="D419" s="534">
        <v>15700496</v>
      </c>
      <c r="E419" s="50" t="s">
        <v>2248</v>
      </c>
      <c r="F419" s="534">
        <v>55</v>
      </c>
      <c r="G419" s="49" t="s">
        <v>2249</v>
      </c>
      <c r="H419" s="49" t="s">
        <v>246</v>
      </c>
      <c r="I419" s="534">
        <v>973189833</v>
      </c>
      <c r="J419" s="49" t="s">
        <v>247</v>
      </c>
      <c r="K419" s="535">
        <v>46070</v>
      </c>
      <c r="L419" s="43" t="s">
        <v>2194</v>
      </c>
      <c r="M419" s="534" t="s">
        <v>312</v>
      </c>
      <c r="N419" s="49" t="s">
        <v>2115</v>
      </c>
      <c r="O419" s="440">
        <v>46101</v>
      </c>
      <c r="P419" s="546" t="s">
        <v>251</v>
      </c>
      <c r="Q419" s="810" t="s">
        <v>339</v>
      </c>
      <c r="R419" s="534"/>
      <c r="S419" s="49"/>
      <c r="T419" s="49"/>
      <c r="U419" s="49"/>
      <c r="V419" s="49"/>
      <c r="W419" s="49"/>
      <c r="X419" s="49"/>
      <c r="Y419" s="49"/>
      <c r="Z419" s="49"/>
      <c r="AA419" s="49"/>
      <c r="AB419" s="49"/>
      <c r="AC419" s="49"/>
      <c r="AD419" s="91"/>
      <c r="AE419" s="91"/>
      <c r="AF419" s="91"/>
      <c r="AG419" s="91"/>
    </row>
    <row r="420" spans="1:33" ht="24.75">
      <c r="A420" s="549"/>
      <c r="B420" s="534">
        <v>418</v>
      </c>
      <c r="C420" s="565">
        <v>167162</v>
      </c>
      <c r="D420" s="565">
        <v>15993379</v>
      </c>
      <c r="E420" s="430" t="s">
        <v>2250</v>
      </c>
      <c r="F420" s="565">
        <v>55</v>
      </c>
      <c r="G420" s="325" t="s">
        <v>2251</v>
      </c>
      <c r="H420" s="325" t="s">
        <v>237</v>
      </c>
      <c r="I420" s="565">
        <v>990904414</v>
      </c>
      <c r="J420" s="49" t="s">
        <v>384</v>
      </c>
      <c r="K420" s="535">
        <v>46070</v>
      </c>
      <c r="L420" s="54" t="s">
        <v>2252</v>
      </c>
      <c r="M420" s="534" t="s">
        <v>312</v>
      </c>
      <c r="N420" s="49" t="s">
        <v>1676</v>
      </c>
      <c r="O420" s="437">
        <v>46086</v>
      </c>
      <c r="P420" s="419" t="s">
        <v>2154</v>
      </c>
      <c r="Q420" s="802">
        <v>46082</v>
      </c>
      <c r="R420" s="808">
        <v>46082</v>
      </c>
      <c r="S420" s="54"/>
      <c r="T420" s="54"/>
      <c r="U420" s="54"/>
      <c r="V420" s="54"/>
      <c r="W420" s="54"/>
      <c r="X420" s="54"/>
      <c r="Y420" s="54"/>
      <c r="Z420" s="54"/>
      <c r="AA420" s="54"/>
      <c r="AB420" s="54"/>
      <c r="AC420" s="54"/>
      <c r="AD420" s="91"/>
      <c r="AE420" s="91"/>
      <c r="AF420" s="91"/>
      <c r="AG420" s="91"/>
    </row>
    <row r="421" spans="1:33">
      <c r="A421" s="546"/>
      <c r="B421" s="534">
        <v>419</v>
      </c>
      <c r="C421" s="546">
        <v>135632</v>
      </c>
      <c r="D421" s="546">
        <v>41028695</v>
      </c>
      <c r="E421" s="50" t="s">
        <v>2253</v>
      </c>
      <c r="F421" s="546">
        <v>44</v>
      </c>
      <c r="G421" s="50" t="s">
        <v>2254</v>
      </c>
      <c r="H421" s="50" t="s">
        <v>301</v>
      </c>
      <c r="I421" s="546">
        <v>974737629</v>
      </c>
      <c r="J421" s="50" t="s">
        <v>380</v>
      </c>
      <c r="K421" s="597">
        <v>46071</v>
      </c>
      <c r="L421" s="43" t="s">
        <v>2255</v>
      </c>
      <c r="M421" s="534" t="s">
        <v>312</v>
      </c>
      <c r="N421" s="49" t="s">
        <v>2115</v>
      </c>
      <c r="O421" s="437">
        <v>46093</v>
      </c>
      <c r="P421" s="546" t="s">
        <v>1873</v>
      </c>
      <c r="Q421" s="834" t="s">
        <v>339</v>
      </c>
      <c r="R421" s="566"/>
      <c r="S421" s="49"/>
      <c r="T421" s="49"/>
      <c r="U421" s="49"/>
      <c r="V421" s="49"/>
      <c r="W421" s="49"/>
      <c r="X421" s="49"/>
      <c r="Y421" s="49"/>
      <c r="Z421" s="49"/>
      <c r="AA421" s="49"/>
      <c r="AB421" s="49"/>
      <c r="AC421" s="49"/>
      <c r="AD421" s="91"/>
      <c r="AE421" s="91"/>
      <c r="AF421" s="91"/>
      <c r="AG421" s="91"/>
    </row>
    <row r="422" spans="1:33">
      <c r="A422" s="546"/>
      <c r="B422" s="534">
        <v>420</v>
      </c>
      <c r="C422" s="534">
        <v>220167</v>
      </c>
      <c r="D422" s="534">
        <v>15640784</v>
      </c>
      <c r="E422" s="50" t="s">
        <v>2256</v>
      </c>
      <c r="F422" s="534">
        <v>56</v>
      </c>
      <c r="G422" s="49" t="s">
        <v>2257</v>
      </c>
      <c r="H422" s="49" t="s">
        <v>432</v>
      </c>
      <c r="I422" s="534">
        <v>969309944</v>
      </c>
      <c r="J422" s="49" t="s">
        <v>223</v>
      </c>
      <c r="K422" s="535">
        <v>46071</v>
      </c>
      <c r="L422" s="43" t="s">
        <v>2258</v>
      </c>
      <c r="M422" s="534" t="s">
        <v>312</v>
      </c>
      <c r="N422" s="49" t="s">
        <v>2153</v>
      </c>
      <c r="O422" s="437">
        <v>46083</v>
      </c>
      <c r="P422" s="539" t="s">
        <v>292</v>
      </c>
      <c r="Q422" s="802">
        <v>46082</v>
      </c>
      <c r="R422" s="534" t="s">
        <v>242</v>
      </c>
      <c r="S422" s="49"/>
      <c r="T422" s="49"/>
      <c r="U422" s="49"/>
      <c r="V422" s="49"/>
      <c r="W422" s="49"/>
      <c r="X422" s="49"/>
      <c r="Y422" s="49"/>
      <c r="Z422" s="49"/>
      <c r="AA422" s="49"/>
      <c r="AB422" s="49"/>
      <c r="AC422" s="49"/>
      <c r="AD422" s="91"/>
      <c r="AE422" s="91"/>
      <c r="AF422" s="91"/>
      <c r="AG422" s="91"/>
    </row>
    <row r="423" spans="1:33">
      <c r="A423" s="546"/>
      <c r="B423" s="534">
        <v>421</v>
      </c>
      <c r="C423" s="534">
        <v>269712</v>
      </c>
      <c r="D423" s="534">
        <v>15744492</v>
      </c>
      <c r="E423" s="50" t="s">
        <v>2259</v>
      </c>
      <c r="F423" s="534">
        <v>50</v>
      </c>
      <c r="G423" s="49" t="s">
        <v>2260</v>
      </c>
      <c r="H423" s="49" t="s">
        <v>301</v>
      </c>
      <c r="I423" s="534">
        <v>959080773</v>
      </c>
      <c r="J423" s="49" t="s">
        <v>238</v>
      </c>
      <c r="K423" s="535">
        <v>46071</v>
      </c>
      <c r="L423" s="43" t="s">
        <v>1673</v>
      </c>
      <c r="M423" s="534" t="s">
        <v>312</v>
      </c>
      <c r="N423" s="49" t="s">
        <v>2153</v>
      </c>
      <c r="O423" s="53">
        <v>46080</v>
      </c>
      <c r="P423" s="546"/>
      <c r="Q423" s="640"/>
      <c r="R423" s="566"/>
      <c r="S423" s="49"/>
      <c r="T423" s="49"/>
      <c r="U423" s="49"/>
      <c r="V423" s="49"/>
      <c r="W423" s="49"/>
      <c r="X423" s="49"/>
      <c r="Y423" s="49"/>
      <c r="Z423" s="49"/>
      <c r="AA423" s="49"/>
      <c r="AB423" s="49"/>
      <c r="AC423" s="49"/>
      <c r="AD423" s="91"/>
      <c r="AE423" s="91"/>
      <c r="AF423" s="91"/>
      <c r="AG423" s="91"/>
    </row>
    <row r="424" spans="1:33">
      <c r="A424" s="546"/>
      <c r="B424" s="534">
        <v>422</v>
      </c>
      <c r="C424" s="534">
        <v>112236</v>
      </c>
      <c r="D424" s="534">
        <v>42099316</v>
      </c>
      <c r="E424" s="50" t="s">
        <v>2261</v>
      </c>
      <c r="F424" s="534">
        <v>45</v>
      </c>
      <c r="G424" s="49" t="s">
        <v>2262</v>
      </c>
      <c r="H424" s="49" t="s">
        <v>1581</v>
      </c>
      <c r="I424" s="534">
        <v>966480471</v>
      </c>
      <c r="J424" s="49" t="s">
        <v>384</v>
      </c>
      <c r="K424" s="535">
        <v>46071</v>
      </c>
      <c r="L424" s="43" t="s">
        <v>2263</v>
      </c>
      <c r="M424" s="534" t="s">
        <v>312</v>
      </c>
      <c r="N424" s="49" t="s">
        <v>2153</v>
      </c>
      <c r="O424" s="437">
        <v>46086</v>
      </c>
      <c r="P424" s="419" t="s">
        <v>2154</v>
      </c>
      <c r="Q424" s="802">
        <v>46082</v>
      </c>
      <c r="R424" s="808">
        <v>46082</v>
      </c>
      <c r="S424" s="49"/>
      <c r="T424" s="49"/>
      <c r="U424" s="49"/>
      <c r="V424" s="49"/>
      <c r="W424" s="49"/>
      <c r="X424" s="49"/>
      <c r="Y424" s="49"/>
      <c r="Z424" s="49"/>
      <c r="AA424" s="49"/>
      <c r="AB424" s="49"/>
      <c r="AC424" s="49"/>
      <c r="AD424" s="91"/>
      <c r="AE424" s="91"/>
      <c r="AF424" s="91"/>
      <c r="AG424" s="91"/>
    </row>
    <row r="425" spans="1:33">
      <c r="A425" s="546"/>
      <c r="B425" s="534">
        <v>423</v>
      </c>
      <c r="C425" s="534">
        <v>168859</v>
      </c>
      <c r="D425" s="534">
        <v>15641124</v>
      </c>
      <c r="E425" s="50" t="s">
        <v>2264</v>
      </c>
      <c r="F425" s="534">
        <v>52</v>
      </c>
      <c r="G425" s="49"/>
      <c r="H425" s="49" t="s">
        <v>432</v>
      </c>
      <c r="I425" s="534">
        <v>924445875</v>
      </c>
      <c r="J425" s="49" t="s">
        <v>1209</v>
      </c>
      <c r="K425" s="535">
        <v>46071</v>
      </c>
      <c r="L425" s="43" t="s">
        <v>1156</v>
      </c>
      <c r="M425" s="534" t="s">
        <v>230</v>
      </c>
      <c r="N425" s="49" t="s">
        <v>2153</v>
      </c>
      <c r="O425" s="437">
        <v>46083</v>
      </c>
      <c r="P425" s="546" t="s">
        <v>292</v>
      </c>
      <c r="Q425" s="816" t="s">
        <v>334</v>
      </c>
      <c r="R425" s="566"/>
      <c r="S425" s="49"/>
      <c r="T425" s="49"/>
      <c r="U425" s="49"/>
      <c r="V425" s="49"/>
      <c r="W425" s="49"/>
      <c r="X425" s="49"/>
      <c r="Y425" s="49"/>
      <c r="Z425" s="49"/>
      <c r="AA425" s="49"/>
      <c r="AB425" s="49"/>
      <c r="AC425" s="49"/>
      <c r="AD425" s="91"/>
      <c r="AE425" s="91"/>
      <c r="AF425" s="91"/>
      <c r="AG425" s="91"/>
    </row>
    <row r="426" spans="1:33">
      <c r="A426" s="546"/>
      <c r="B426" s="534">
        <v>424</v>
      </c>
      <c r="C426" s="534"/>
      <c r="D426" s="485">
        <v>15749295</v>
      </c>
      <c r="E426" s="242" t="s">
        <v>2265</v>
      </c>
      <c r="F426" s="485">
        <v>52</v>
      </c>
      <c r="G426" s="46" t="s">
        <v>2266</v>
      </c>
      <c r="H426" s="49" t="s">
        <v>461</v>
      </c>
      <c r="I426" s="485">
        <v>989714417</v>
      </c>
      <c r="J426" s="49" t="s">
        <v>162</v>
      </c>
      <c r="K426" s="535">
        <v>46071</v>
      </c>
      <c r="L426" s="43" t="s">
        <v>1950</v>
      </c>
      <c r="M426" s="534" t="s">
        <v>260</v>
      </c>
      <c r="N426" s="49" t="s">
        <v>2153</v>
      </c>
      <c r="O426" s="53">
        <v>46080</v>
      </c>
      <c r="P426" s="546" t="s">
        <v>1330</v>
      </c>
      <c r="Q426" s="471" t="s">
        <v>358</v>
      </c>
      <c r="R426" s="566"/>
      <c r="S426" s="49"/>
      <c r="T426" s="49"/>
      <c r="U426" s="49"/>
      <c r="V426" s="49"/>
      <c r="W426" s="49"/>
      <c r="X426" s="49"/>
      <c r="Y426" s="49"/>
      <c r="Z426" s="49"/>
      <c r="AA426" s="49"/>
      <c r="AB426" s="49"/>
      <c r="AC426" s="49"/>
      <c r="AD426" s="91"/>
      <c r="AE426" s="91"/>
      <c r="AF426" s="91"/>
      <c r="AG426" s="91"/>
    </row>
    <row r="427" spans="1:33">
      <c r="A427" s="546"/>
      <c r="B427" s="534">
        <v>425</v>
      </c>
      <c r="C427" s="534">
        <v>523128</v>
      </c>
      <c r="D427" s="485">
        <v>42731188</v>
      </c>
      <c r="E427" s="58" t="s">
        <v>2267</v>
      </c>
      <c r="F427" s="485">
        <v>41</v>
      </c>
      <c r="G427" s="46" t="s">
        <v>2268</v>
      </c>
      <c r="H427" s="49" t="s">
        <v>461</v>
      </c>
      <c r="I427" s="485">
        <v>921939026</v>
      </c>
      <c r="J427" s="49" t="s">
        <v>162</v>
      </c>
      <c r="K427" s="535">
        <v>46071</v>
      </c>
      <c r="L427" s="43" t="s">
        <v>1673</v>
      </c>
      <c r="M427" s="534" t="s">
        <v>312</v>
      </c>
      <c r="N427" s="49" t="s">
        <v>2153</v>
      </c>
      <c r="O427" s="53">
        <v>46080</v>
      </c>
      <c r="P427" s="546" t="s">
        <v>1330</v>
      </c>
      <c r="Q427" s="471" t="s">
        <v>358</v>
      </c>
      <c r="R427" s="566"/>
      <c r="S427" s="49"/>
      <c r="T427" s="49"/>
      <c r="U427" s="49"/>
      <c r="V427" s="49"/>
      <c r="W427" s="49"/>
      <c r="X427" s="49"/>
      <c r="Y427" s="49"/>
      <c r="Z427" s="49"/>
      <c r="AA427" s="49"/>
      <c r="AB427" s="49"/>
      <c r="AC427" s="49"/>
      <c r="AD427" s="91"/>
      <c r="AE427" s="91"/>
      <c r="AF427" s="91"/>
      <c r="AG427" s="91"/>
    </row>
    <row r="428" spans="1:33">
      <c r="A428" s="534"/>
      <c r="B428" s="534">
        <v>426</v>
      </c>
      <c r="C428" s="534">
        <v>96786</v>
      </c>
      <c r="D428" s="534">
        <v>80601886</v>
      </c>
      <c r="E428" s="50" t="s">
        <v>2269</v>
      </c>
      <c r="F428" s="534">
        <v>49</v>
      </c>
      <c r="G428" s="49" t="s">
        <v>2270</v>
      </c>
      <c r="H428" s="49" t="s">
        <v>278</v>
      </c>
      <c r="I428" s="534">
        <v>998664600</v>
      </c>
      <c r="J428" s="49" t="s">
        <v>384</v>
      </c>
      <c r="K428" s="535">
        <v>46070</v>
      </c>
      <c r="L428" s="43" t="s">
        <v>2194</v>
      </c>
      <c r="M428" s="534" t="s">
        <v>230</v>
      </c>
      <c r="N428" s="49" t="s">
        <v>2115</v>
      </c>
      <c r="O428" s="437">
        <v>46086</v>
      </c>
      <c r="P428" s="419" t="s">
        <v>2154</v>
      </c>
      <c r="Q428" s="802">
        <v>46082</v>
      </c>
      <c r="R428" s="808">
        <v>46082</v>
      </c>
      <c r="S428" s="49"/>
      <c r="T428" s="49"/>
      <c r="U428" s="49"/>
      <c r="V428" s="49"/>
      <c r="W428" s="49"/>
      <c r="X428" s="49"/>
      <c r="Y428" s="49"/>
      <c r="Z428" s="49"/>
      <c r="AA428" s="49"/>
      <c r="AB428" s="49"/>
      <c r="AC428" s="49"/>
      <c r="AD428" s="91"/>
      <c r="AE428" s="91"/>
      <c r="AF428" s="91"/>
      <c r="AG428" s="91"/>
    </row>
    <row r="429" spans="1:33">
      <c r="A429" s="546"/>
      <c r="B429" s="534">
        <v>427</v>
      </c>
      <c r="C429" s="534">
        <v>311211</v>
      </c>
      <c r="D429" s="534">
        <v>41069665</v>
      </c>
      <c r="E429" s="50" t="s">
        <v>2271</v>
      </c>
      <c r="F429" s="534">
        <v>44</v>
      </c>
      <c r="G429" s="49" t="s">
        <v>2272</v>
      </c>
      <c r="H429" s="49" t="s">
        <v>222</v>
      </c>
      <c r="I429" s="534">
        <v>985004901</v>
      </c>
      <c r="J429" s="49" t="s">
        <v>223</v>
      </c>
      <c r="K429" s="535">
        <v>46071</v>
      </c>
      <c r="L429" s="43" t="s">
        <v>2273</v>
      </c>
      <c r="M429" s="534" t="s">
        <v>260</v>
      </c>
      <c r="N429" s="49" t="s">
        <v>2153</v>
      </c>
      <c r="O429" s="437">
        <v>46083</v>
      </c>
      <c r="P429" s="539" t="s">
        <v>292</v>
      </c>
      <c r="Q429" s="802">
        <v>46082</v>
      </c>
      <c r="R429" s="806" t="s">
        <v>228</v>
      </c>
      <c r="S429" s="49"/>
      <c r="T429" s="49"/>
      <c r="U429" s="49"/>
      <c r="V429" s="49"/>
      <c r="W429" s="49"/>
      <c r="X429" s="49"/>
      <c r="Y429" s="49"/>
      <c r="Z429" s="49"/>
      <c r="AA429" s="49"/>
      <c r="AB429" s="49"/>
      <c r="AC429" s="49"/>
      <c r="AD429" s="91"/>
      <c r="AE429" s="91"/>
      <c r="AF429" s="91"/>
      <c r="AG429" s="91"/>
    </row>
    <row r="430" spans="1:33">
      <c r="A430" s="546"/>
      <c r="B430" s="534">
        <v>428</v>
      </c>
      <c r="C430" s="534">
        <v>410730</v>
      </c>
      <c r="D430" s="534">
        <v>15741262</v>
      </c>
      <c r="E430" s="50" t="s">
        <v>2274</v>
      </c>
      <c r="F430" s="534">
        <v>51</v>
      </c>
      <c r="G430" s="49" t="s">
        <v>2275</v>
      </c>
      <c r="H430" s="49" t="s">
        <v>222</v>
      </c>
      <c r="I430" s="534">
        <v>944690383</v>
      </c>
      <c r="J430" s="49" t="s">
        <v>238</v>
      </c>
      <c r="K430" s="535">
        <v>46071</v>
      </c>
      <c r="L430" s="43" t="s">
        <v>2276</v>
      </c>
      <c r="M430" s="534" t="s">
        <v>312</v>
      </c>
      <c r="N430" s="49" t="s">
        <v>2115</v>
      </c>
      <c r="O430" s="53">
        <v>46080</v>
      </c>
      <c r="P430" s="597"/>
      <c r="Q430" s="597" t="s">
        <v>1609</v>
      </c>
      <c r="R430" s="566"/>
      <c r="S430" s="49"/>
      <c r="T430" s="49"/>
      <c r="U430" s="49"/>
      <c r="V430" s="49"/>
      <c r="W430" s="49"/>
      <c r="X430" s="49"/>
      <c r="Y430" s="49"/>
      <c r="Z430" s="49"/>
      <c r="AA430" s="49"/>
      <c r="AB430" s="49"/>
      <c r="AC430" s="49"/>
      <c r="AD430" s="91"/>
      <c r="AE430" s="91"/>
      <c r="AF430" s="91"/>
      <c r="AG430" s="91"/>
    </row>
    <row r="431" spans="1:33">
      <c r="A431" s="546"/>
      <c r="B431" s="534">
        <v>429</v>
      </c>
      <c r="C431" s="534">
        <v>175390</v>
      </c>
      <c r="D431" s="534">
        <v>15726469</v>
      </c>
      <c r="E431" s="50" t="s">
        <v>2277</v>
      </c>
      <c r="F431" s="534">
        <v>54</v>
      </c>
      <c r="G431" s="49" t="s">
        <v>2278</v>
      </c>
      <c r="H431" s="49" t="s">
        <v>278</v>
      </c>
      <c r="I431" s="534">
        <v>966487976</v>
      </c>
      <c r="J431" s="49" t="s">
        <v>238</v>
      </c>
      <c r="K431" s="535">
        <v>46071</v>
      </c>
      <c r="L431" s="43" t="s">
        <v>1156</v>
      </c>
      <c r="M431" s="534" t="s">
        <v>260</v>
      </c>
      <c r="N431" s="49" t="s">
        <v>2153</v>
      </c>
      <c r="O431" s="53">
        <v>46080</v>
      </c>
      <c r="P431" s="546"/>
      <c r="Q431" s="546" t="s">
        <v>2279</v>
      </c>
      <c r="R431" s="566"/>
      <c r="S431" s="49"/>
      <c r="T431" s="49"/>
      <c r="U431" s="49"/>
      <c r="V431" s="49"/>
      <c r="W431" s="49"/>
      <c r="X431" s="49"/>
      <c r="Y431" s="49"/>
      <c r="Z431" s="49"/>
      <c r="AA431" s="49"/>
      <c r="AB431" s="49"/>
      <c r="AC431" s="49"/>
      <c r="AD431" s="91"/>
      <c r="AE431" s="91"/>
      <c r="AF431" s="91"/>
      <c r="AG431" s="91"/>
    </row>
    <row r="432" spans="1:33">
      <c r="A432" s="546"/>
      <c r="B432" s="534">
        <v>430</v>
      </c>
      <c r="C432" s="534">
        <v>238796</v>
      </c>
      <c r="D432" s="534">
        <v>42032879</v>
      </c>
      <c r="E432" s="50" t="s">
        <v>2280</v>
      </c>
      <c r="F432" s="534">
        <v>42</v>
      </c>
      <c r="G432" s="49" t="s">
        <v>2281</v>
      </c>
      <c r="H432" s="49" t="s">
        <v>237</v>
      </c>
      <c r="I432" s="534">
        <v>929292991</v>
      </c>
      <c r="J432" s="49" t="s">
        <v>238</v>
      </c>
      <c r="K432" s="535">
        <v>46071</v>
      </c>
      <c r="L432" s="43" t="s">
        <v>1156</v>
      </c>
      <c r="M432" s="534" t="s">
        <v>230</v>
      </c>
      <c r="N432" s="49" t="s">
        <v>2153</v>
      </c>
      <c r="O432" s="53">
        <v>46080</v>
      </c>
      <c r="P432" s="546"/>
      <c r="Q432" s="546" t="s">
        <v>1667</v>
      </c>
      <c r="R432" s="566"/>
      <c r="S432" s="49"/>
      <c r="T432" s="49"/>
      <c r="U432" s="49"/>
      <c r="V432" s="49"/>
      <c r="W432" s="49"/>
      <c r="X432" s="49"/>
      <c r="Y432" s="49"/>
      <c r="Z432" s="49"/>
      <c r="AA432" s="49"/>
      <c r="AB432" s="49"/>
      <c r="AC432" s="49"/>
      <c r="AD432" s="91"/>
      <c r="AE432" s="91"/>
      <c r="AF432" s="91"/>
      <c r="AG432" s="91"/>
    </row>
    <row r="433" spans="1:33">
      <c r="A433" s="546"/>
      <c r="B433" s="534">
        <v>431</v>
      </c>
      <c r="C433" s="534">
        <v>97308</v>
      </c>
      <c r="D433" s="534">
        <v>41364911</v>
      </c>
      <c r="E433" s="50" t="s">
        <v>2282</v>
      </c>
      <c r="F433" s="534">
        <v>46</v>
      </c>
      <c r="G433" s="49" t="s">
        <v>2283</v>
      </c>
      <c r="H433" s="49" t="s">
        <v>237</v>
      </c>
      <c r="I433" s="534">
        <v>916691463</v>
      </c>
      <c r="J433" s="49" t="s">
        <v>238</v>
      </c>
      <c r="K433" s="535">
        <v>46071</v>
      </c>
      <c r="L433" s="43" t="s">
        <v>1156</v>
      </c>
      <c r="M433" s="534" t="s">
        <v>230</v>
      </c>
      <c r="N433" s="49" t="s">
        <v>2153</v>
      </c>
      <c r="O433" s="53">
        <v>46080</v>
      </c>
      <c r="P433" s="546"/>
      <c r="Q433" s="546" t="s">
        <v>2284</v>
      </c>
      <c r="R433" s="566"/>
      <c r="S433" s="49"/>
      <c r="T433" s="49"/>
      <c r="U433" s="49"/>
      <c r="V433" s="49"/>
      <c r="W433" s="49"/>
      <c r="X433" s="49"/>
      <c r="Y433" s="49"/>
      <c r="Z433" s="49"/>
      <c r="AA433" s="49"/>
      <c r="AB433" s="49"/>
      <c r="AC433" s="49"/>
      <c r="AD433" s="91"/>
      <c r="AE433" s="91"/>
      <c r="AF433" s="91"/>
      <c r="AG433" s="91"/>
    </row>
    <row r="434" spans="1:33">
      <c r="A434" s="546"/>
      <c r="B434" s="534">
        <v>432</v>
      </c>
      <c r="C434" s="534">
        <v>118922</v>
      </c>
      <c r="D434" s="534">
        <v>44385294</v>
      </c>
      <c r="E434" s="50" t="s">
        <v>2285</v>
      </c>
      <c r="F434" s="534">
        <v>41</v>
      </c>
      <c r="G434" s="49" t="s">
        <v>2286</v>
      </c>
      <c r="H434" s="49" t="s">
        <v>222</v>
      </c>
      <c r="I434" s="534">
        <v>951367949</v>
      </c>
      <c r="J434" s="49" t="s">
        <v>1209</v>
      </c>
      <c r="K434" s="535">
        <v>46071</v>
      </c>
      <c r="L434" s="43" t="s">
        <v>2273</v>
      </c>
      <c r="M434" s="534" t="s">
        <v>260</v>
      </c>
      <c r="N434" s="49" t="s">
        <v>2153</v>
      </c>
      <c r="O434" s="437">
        <v>46083</v>
      </c>
      <c r="P434" s="546" t="s">
        <v>292</v>
      </c>
      <c r="Q434" s="818" t="s">
        <v>339</v>
      </c>
      <c r="R434" s="566"/>
      <c r="S434" s="49"/>
      <c r="T434" s="49"/>
      <c r="U434" s="49"/>
      <c r="V434" s="49"/>
      <c r="W434" s="49"/>
      <c r="X434" s="49"/>
      <c r="Y434" s="49"/>
      <c r="Z434" s="49"/>
      <c r="AA434" s="49"/>
      <c r="AB434" s="49"/>
      <c r="AC434" s="49"/>
      <c r="AD434" s="91"/>
      <c r="AE434" s="91"/>
      <c r="AF434" s="91"/>
      <c r="AG434" s="91"/>
    </row>
    <row r="435" spans="1:33">
      <c r="A435" s="546"/>
      <c r="B435" s="534">
        <v>433</v>
      </c>
      <c r="C435" s="534">
        <v>235039</v>
      </c>
      <c r="D435" s="534">
        <v>43131064</v>
      </c>
      <c r="E435" s="50" t="s">
        <v>2287</v>
      </c>
      <c r="F435" s="534">
        <v>40</v>
      </c>
      <c r="G435" s="49" t="s">
        <v>2286</v>
      </c>
      <c r="H435" s="49" t="s">
        <v>237</v>
      </c>
      <c r="I435" s="534">
        <v>939846810</v>
      </c>
      <c r="J435" s="49" t="s">
        <v>238</v>
      </c>
      <c r="K435" s="535">
        <v>46071</v>
      </c>
      <c r="L435" s="43" t="s">
        <v>1156</v>
      </c>
      <c r="M435" s="534" t="s">
        <v>230</v>
      </c>
      <c r="N435" s="49" t="s">
        <v>2153</v>
      </c>
      <c r="O435" s="53">
        <v>46080</v>
      </c>
      <c r="P435" s="546"/>
      <c r="Q435" s="546" t="s">
        <v>1667</v>
      </c>
      <c r="R435" s="566"/>
      <c r="S435" s="49"/>
      <c r="T435" s="49"/>
      <c r="U435" s="49"/>
      <c r="V435" s="49"/>
      <c r="W435" s="49"/>
      <c r="X435" s="49"/>
      <c r="Y435" s="49"/>
      <c r="Z435" s="49"/>
      <c r="AA435" s="49"/>
      <c r="AB435" s="49"/>
      <c r="AC435" s="49"/>
      <c r="AD435" s="91"/>
      <c r="AE435" s="91"/>
      <c r="AF435" s="91"/>
      <c r="AG435" s="91"/>
    </row>
    <row r="436" spans="1:33">
      <c r="A436" s="546"/>
      <c r="B436" s="534">
        <v>434</v>
      </c>
      <c r="C436" s="534">
        <v>523125</v>
      </c>
      <c r="D436" s="534">
        <v>40891541</v>
      </c>
      <c r="E436" s="50" t="s">
        <v>2288</v>
      </c>
      <c r="F436" s="534">
        <v>48</v>
      </c>
      <c r="G436" s="49" t="s">
        <v>1764</v>
      </c>
      <c r="H436" s="49" t="s">
        <v>326</v>
      </c>
      <c r="I436" s="534">
        <v>917095742</v>
      </c>
      <c r="J436" s="49" t="s">
        <v>238</v>
      </c>
      <c r="K436" s="535">
        <v>46071</v>
      </c>
      <c r="L436" s="43" t="s">
        <v>1156</v>
      </c>
      <c r="M436" s="534" t="s">
        <v>230</v>
      </c>
      <c r="N436" s="49" t="s">
        <v>2153</v>
      </c>
      <c r="O436" s="441">
        <v>46083</v>
      </c>
      <c r="P436" s="546"/>
      <c r="Q436" s="638"/>
      <c r="R436" s="566"/>
      <c r="S436" s="49"/>
      <c r="T436" s="49"/>
      <c r="U436" s="49"/>
      <c r="V436" s="49"/>
      <c r="W436" s="49"/>
      <c r="X436" s="49"/>
      <c r="Y436" s="49"/>
      <c r="Z436" s="49"/>
      <c r="AA436" s="49"/>
      <c r="AB436" s="49"/>
      <c r="AC436" s="49"/>
      <c r="AD436" s="91"/>
      <c r="AE436" s="91"/>
      <c r="AF436" s="91"/>
      <c r="AG436" s="91"/>
    </row>
    <row r="437" spans="1:33">
      <c r="A437" s="546"/>
      <c r="B437" s="534">
        <v>435</v>
      </c>
      <c r="C437" s="534">
        <v>328111</v>
      </c>
      <c r="D437" s="534">
        <v>15758698</v>
      </c>
      <c r="E437" s="50" t="s">
        <v>2289</v>
      </c>
      <c r="F437" s="534">
        <v>49</v>
      </c>
      <c r="G437" s="49" t="s">
        <v>2290</v>
      </c>
      <c r="H437" s="49" t="s">
        <v>432</v>
      </c>
      <c r="I437" s="534">
        <v>902184235</v>
      </c>
      <c r="J437" s="49" t="s">
        <v>1209</v>
      </c>
      <c r="K437" s="535">
        <v>46071</v>
      </c>
      <c r="L437" s="43" t="s">
        <v>2276</v>
      </c>
      <c r="M437" s="534" t="s">
        <v>312</v>
      </c>
      <c r="N437" s="49" t="s">
        <v>2115</v>
      </c>
      <c r="O437" s="437">
        <v>46083</v>
      </c>
      <c r="P437" s="546" t="s">
        <v>292</v>
      </c>
      <c r="Q437" s="802">
        <v>46082</v>
      </c>
      <c r="R437" s="566" t="s">
        <v>318</v>
      </c>
      <c r="S437" s="49"/>
      <c r="T437" s="49"/>
      <c r="U437" s="49"/>
      <c r="V437" s="49"/>
      <c r="W437" s="49"/>
      <c r="X437" s="49"/>
      <c r="Y437" s="49"/>
      <c r="Z437" s="49"/>
      <c r="AA437" s="49"/>
      <c r="AB437" s="49"/>
      <c r="AC437" s="49"/>
      <c r="AD437" s="91"/>
      <c r="AE437" s="91"/>
      <c r="AF437" s="91"/>
      <c r="AG437" s="91"/>
    </row>
    <row r="438" spans="1:33">
      <c r="A438" s="546"/>
      <c r="B438" s="534">
        <v>436</v>
      </c>
      <c r="C438" s="534">
        <v>523126</v>
      </c>
      <c r="D438" s="534">
        <v>20996543</v>
      </c>
      <c r="E438" s="50" t="s">
        <v>2291</v>
      </c>
      <c r="F438" s="534">
        <v>50</v>
      </c>
      <c r="G438" s="49" t="s">
        <v>2292</v>
      </c>
      <c r="H438" s="49" t="s">
        <v>278</v>
      </c>
      <c r="I438" s="534">
        <v>994796409</v>
      </c>
      <c r="J438" s="49" t="s">
        <v>289</v>
      </c>
      <c r="K438" s="535">
        <v>46071</v>
      </c>
      <c r="L438" s="49" t="s">
        <v>2293</v>
      </c>
      <c r="M438" s="534" t="s">
        <v>312</v>
      </c>
      <c r="N438" s="49" t="s">
        <v>2294</v>
      </c>
      <c r="O438" s="437">
        <v>46078</v>
      </c>
      <c r="P438" s="534" t="s">
        <v>2157</v>
      </c>
      <c r="Q438" s="807">
        <v>46082</v>
      </c>
      <c r="R438" s="566" t="s">
        <v>242</v>
      </c>
      <c r="S438" s="49"/>
      <c r="T438" s="49"/>
      <c r="U438" s="49"/>
      <c r="V438" s="49"/>
      <c r="W438" s="49"/>
      <c r="X438" s="49"/>
      <c r="Y438" s="49"/>
      <c r="Z438" s="49"/>
      <c r="AA438" s="49"/>
      <c r="AB438" s="49"/>
      <c r="AC438" s="49"/>
      <c r="AD438" s="91"/>
      <c r="AE438" s="91"/>
      <c r="AF438" s="91"/>
      <c r="AG438" s="91"/>
    </row>
    <row r="439" spans="1:33">
      <c r="A439" s="546"/>
      <c r="B439" s="534">
        <v>437</v>
      </c>
      <c r="C439" s="534">
        <v>290377</v>
      </c>
      <c r="D439" s="534">
        <v>80353599</v>
      </c>
      <c r="E439" s="50" t="s">
        <v>2295</v>
      </c>
      <c r="F439" s="534">
        <v>46</v>
      </c>
      <c r="G439" s="49" t="s">
        <v>2296</v>
      </c>
      <c r="H439" s="49" t="s">
        <v>301</v>
      </c>
      <c r="I439" s="534">
        <v>957048467</v>
      </c>
      <c r="J439" s="49" t="s">
        <v>238</v>
      </c>
      <c r="K439" s="535">
        <v>46071</v>
      </c>
      <c r="L439" s="43" t="s">
        <v>2297</v>
      </c>
      <c r="M439" s="534" t="s">
        <v>260</v>
      </c>
      <c r="N439" s="49" t="s">
        <v>2294</v>
      </c>
      <c r="O439" s="441">
        <v>46083</v>
      </c>
      <c r="P439" s="546"/>
      <c r="Q439" s="546" t="s">
        <v>1667</v>
      </c>
      <c r="R439" s="566"/>
      <c r="S439" s="49"/>
      <c r="T439" s="49"/>
      <c r="U439" s="49"/>
      <c r="V439" s="49"/>
      <c r="W439" s="49"/>
      <c r="X439" s="49"/>
      <c r="Y439" s="49"/>
      <c r="Z439" s="49"/>
      <c r="AA439" s="49"/>
      <c r="AB439" s="49"/>
      <c r="AC439" s="49"/>
      <c r="AD439" s="91"/>
      <c r="AE439" s="91"/>
      <c r="AF439" s="91"/>
      <c r="AG439" s="91"/>
    </row>
    <row r="440" spans="1:33">
      <c r="A440" s="546"/>
      <c r="B440" s="534">
        <v>438</v>
      </c>
      <c r="C440" s="534">
        <v>173745</v>
      </c>
      <c r="D440" s="534">
        <v>15743501</v>
      </c>
      <c r="E440" s="50" t="s">
        <v>2298</v>
      </c>
      <c r="F440" s="534">
        <v>55</v>
      </c>
      <c r="G440" s="49" t="s">
        <v>2299</v>
      </c>
      <c r="H440" s="49" t="s">
        <v>301</v>
      </c>
      <c r="I440" s="534">
        <v>986909689</v>
      </c>
      <c r="J440" s="49" t="s">
        <v>238</v>
      </c>
      <c r="K440" s="535">
        <v>46071</v>
      </c>
      <c r="L440" s="43" t="s">
        <v>2300</v>
      </c>
      <c r="M440" s="534" t="s">
        <v>260</v>
      </c>
      <c r="N440" s="49" t="s">
        <v>2294</v>
      </c>
      <c r="O440" s="441">
        <v>46083</v>
      </c>
      <c r="P440" s="546"/>
      <c r="Q440" s="546" t="s">
        <v>1612</v>
      </c>
      <c r="R440" s="566"/>
      <c r="S440" s="49"/>
      <c r="T440" s="49"/>
      <c r="U440" s="49"/>
      <c r="V440" s="49"/>
      <c r="W440" s="49"/>
      <c r="X440" s="49"/>
      <c r="Y440" s="49"/>
      <c r="Z440" s="49"/>
      <c r="AA440" s="49"/>
      <c r="AB440" s="49"/>
      <c r="AC440" s="49"/>
      <c r="AD440" s="91"/>
      <c r="AE440" s="91"/>
      <c r="AF440" s="91"/>
      <c r="AG440" s="91"/>
    </row>
    <row r="441" spans="1:33">
      <c r="A441" s="546"/>
      <c r="B441" s="534">
        <v>439</v>
      </c>
      <c r="C441" s="534">
        <v>77069</v>
      </c>
      <c r="D441" s="534">
        <v>15651792</v>
      </c>
      <c r="E441" s="50" t="s">
        <v>2301</v>
      </c>
      <c r="F441" s="534">
        <v>61</v>
      </c>
      <c r="G441" s="49" t="s">
        <v>2302</v>
      </c>
      <c r="H441" s="49" t="s">
        <v>301</v>
      </c>
      <c r="I441" s="534">
        <v>941614347</v>
      </c>
      <c r="J441" s="49" t="s">
        <v>238</v>
      </c>
      <c r="K441" s="535">
        <v>46071</v>
      </c>
      <c r="L441" s="43" t="s">
        <v>1156</v>
      </c>
      <c r="M441" s="534" t="s">
        <v>260</v>
      </c>
      <c r="N441" s="49" t="s">
        <v>2294</v>
      </c>
      <c r="O441" s="441">
        <v>46083</v>
      </c>
      <c r="P441" s="546"/>
      <c r="Q441" s="638"/>
      <c r="R441" s="566"/>
      <c r="S441" s="49"/>
      <c r="T441" s="49"/>
      <c r="U441" s="49"/>
      <c r="V441" s="49"/>
      <c r="W441" s="49"/>
      <c r="X441" s="49"/>
      <c r="Y441" s="49"/>
      <c r="Z441" s="49"/>
      <c r="AA441" s="49"/>
      <c r="AB441" s="49"/>
      <c r="AC441" s="49"/>
      <c r="AD441" s="91"/>
      <c r="AE441" s="91"/>
      <c r="AF441" s="91"/>
      <c r="AG441" s="91"/>
    </row>
    <row r="442" spans="1:33">
      <c r="A442" s="546"/>
      <c r="B442" s="534">
        <v>440</v>
      </c>
      <c r="C442" s="534">
        <v>199889</v>
      </c>
      <c r="D442" s="534">
        <v>15766263</v>
      </c>
      <c r="E442" s="50" t="s">
        <v>2303</v>
      </c>
      <c r="F442" s="534">
        <v>47</v>
      </c>
      <c r="G442" s="49" t="s">
        <v>2304</v>
      </c>
      <c r="H442" s="49" t="s">
        <v>278</v>
      </c>
      <c r="I442" s="534">
        <v>941585935</v>
      </c>
      <c r="J442" s="49" t="s">
        <v>238</v>
      </c>
      <c r="K442" s="535">
        <v>46071</v>
      </c>
      <c r="L442" s="43" t="s">
        <v>2305</v>
      </c>
      <c r="M442" s="534" t="s">
        <v>260</v>
      </c>
      <c r="N442" s="49" t="s">
        <v>241</v>
      </c>
      <c r="O442" s="441">
        <v>46083</v>
      </c>
      <c r="P442" s="546"/>
      <c r="Q442" s="546" t="s">
        <v>1479</v>
      </c>
      <c r="R442" s="566"/>
      <c r="S442" s="49"/>
      <c r="T442" s="49"/>
      <c r="U442" s="49"/>
      <c r="V442" s="49"/>
      <c r="W442" s="49"/>
      <c r="X442" s="49"/>
      <c r="Y442" s="49"/>
      <c r="Z442" s="49"/>
      <c r="AA442" s="49"/>
      <c r="AB442" s="49"/>
      <c r="AC442" s="49"/>
      <c r="AD442" s="91"/>
      <c r="AE442" s="91"/>
      <c r="AF442" s="91"/>
      <c r="AG442" s="91"/>
    </row>
    <row r="443" spans="1:33">
      <c r="A443" s="546"/>
      <c r="B443" s="534">
        <v>441</v>
      </c>
      <c r="C443" s="534">
        <v>145195</v>
      </c>
      <c r="D443" s="534">
        <v>15729714</v>
      </c>
      <c r="E443" s="50" t="s">
        <v>2306</v>
      </c>
      <c r="F443" s="534">
        <v>58</v>
      </c>
      <c r="G443" s="49" t="s">
        <v>2307</v>
      </c>
      <c r="H443" s="49" t="s">
        <v>301</v>
      </c>
      <c r="I443" s="534">
        <v>941094388</v>
      </c>
      <c r="J443" s="49" t="s">
        <v>238</v>
      </c>
      <c r="K443" s="535">
        <v>46071</v>
      </c>
      <c r="L443" s="49" t="s">
        <v>2308</v>
      </c>
      <c r="M443" s="534" t="s">
        <v>230</v>
      </c>
      <c r="N443" s="49" t="s">
        <v>317</v>
      </c>
      <c r="O443" s="441">
        <v>46083</v>
      </c>
      <c r="P443" s="546"/>
      <c r="Q443" s="638"/>
      <c r="R443" s="566"/>
      <c r="S443" s="49"/>
      <c r="T443" s="49"/>
      <c r="U443" s="49"/>
      <c r="V443" s="49"/>
      <c r="W443" s="49"/>
      <c r="X443" s="49"/>
      <c r="Y443" s="49"/>
      <c r="Z443" s="49"/>
      <c r="AA443" s="49"/>
      <c r="AB443" s="49"/>
      <c r="AC443" s="49"/>
      <c r="AD443" s="91"/>
      <c r="AE443" s="91"/>
      <c r="AF443" s="91"/>
      <c r="AG443" s="91"/>
    </row>
    <row r="444" spans="1:33">
      <c r="A444" s="540" t="s">
        <v>513</v>
      </c>
      <c r="B444" s="534">
        <v>442</v>
      </c>
      <c r="C444" s="566">
        <v>158131</v>
      </c>
      <c r="D444" s="564">
        <v>15720874</v>
      </c>
      <c r="E444" s="430" t="s">
        <v>2309</v>
      </c>
      <c r="F444" s="564">
        <v>53</v>
      </c>
      <c r="G444" s="430" t="s">
        <v>2310</v>
      </c>
      <c r="H444" s="430" t="s">
        <v>326</v>
      </c>
      <c r="I444" s="564">
        <v>913546478</v>
      </c>
      <c r="J444" s="48" t="s">
        <v>375</v>
      </c>
      <c r="K444" s="535">
        <v>46071</v>
      </c>
      <c r="L444" s="43" t="s">
        <v>747</v>
      </c>
      <c r="M444" s="555" t="s">
        <v>230</v>
      </c>
      <c r="N444" s="49" t="s">
        <v>317</v>
      </c>
      <c r="O444" s="437">
        <v>46083</v>
      </c>
      <c r="P444" s="546" t="s">
        <v>292</v>
      </c>
      <c r="Q444" s="807">
        <v>46082</v>
      </c>
      <c r="R444" s="566" t="s">
        <v>318</v>
      </c>
      <c r="S444" s="49"/>
      <c r="T444" s="49"/>
      <c r="U444" s="49"/>
      <c r="V444" s="49"/>
      <c r="W444" s="49"/>
      <c r="X444" s="49"/>
      <c r="Y444" s="49"/>
      <c r="Z444" s="49"/>
      <c r="AA444" s="49"/>
      <c r="AB444" s="49"/>
      <c r="AC444" s="49"/>
      <c r="AD444" s="91"/>
      <c r="AE444" s="91"/>
      <c r="AF444" s="91"/>
      <c r="AG444" s="91"/>
    </row>
    <row r="445" spans="1:33">
      <c r="A445" s="546"/>
      <c r="B445" s="534">
        <v>443</v>
      </c>
      <c r="C445" s="534">
        <v>9588</v>
      </c>
      <c r="D445" s="534">
        <v>15721683</v>
      </c>
      <c r="E445" s="50" t="s">
        <v>2311</v>
      </c>
      <c r="F445" s="534">
        <v>57</v>
      </c>
      <c r="G445" s="49" t="s">
        <v>2312</v>
      </c>
      <c r="H445" s="49" t="s">
        <v>222</v>
      </c>
      <c r="I445" s="534">
        <v>964185880</v>
      </c>
      <c r="J445" s="49" t="s">
        <v>223</v>
      </c>
      <c r="K445" s="535">
        <v>46071</v>
      </c>
      <c r="L445" s="43" t="s">
        <v>1156</v>
      </c>
      <c r="M445" s="555" t="s">
        <v>260</v>
      </c>
      <c r="N445" s="49" t="s">
        <v>2187</v>
      </c>
      <c r="O445" s="437">
        <v>46083</v>
      </c>
      <c r="P445" s="539" t="s">
        <v>292</v>
      </c>
      <c r="Q445" s="802">
        <v>46082</v>
      </c>
      <c r="R445" s="806" t="s">
        <v>228</v>
      </c>
      <c r="S445" s="49"/>
      <c r="T445" s="49"/>
      <c r="U445" s="49"/>
      <c r="V445" s="49"/>
      <c r="W445" s="49"/>
      <c r="X445" s="49"/>
      <c r="Y445" s="49"/>
      <c r="Z445" s="49"/>
      <c r="AA445" s="49"/>
      <c r="AB445" s="49"/>
      <c r="AC445" s="49"/>
      <c r="AD445" s="91"/>
      <c r="AE445" s="91"/>
      <c r="AF445" s="91"/>
      <c r="AG445" s="91"/>
    </row>
    <row r="446" spans="1:33">
      <c r="A446" s="546"/>
      <c r="B446" s="534">
        <v>444</v>
      </c>
      <c r="C446" s="534">
        <v>5231365</v>
      </c>
      <c r="D446" s="534">
        <v>16014991</v>
      </c>
      <c r="E446" s="50" t="s">
        <v>2313</v>
      </c>
      <c r="F446" s="534">
        <v>60</v>
      </c>
      <c r="G446" s="49" t="s">
        <v>2314</v>
      </c>
      <c r="H446" s="49" t="s">
        <v>461</v>
      </c>
      <c r="I446" s="534">
        <v>961540829</v>
      </c>
      <c r="J446" s="49" t="s">
        <v>421</v>
      </c>
      <c r="K446" s="535">
        <v>46071</v>
      </c>
      <c r="L446" s="43" t="s">
        <v>2315</v>
      </c>
      <c r="M446" s="555" t="s">
        <v>312</v>
      </c>
      <c r="N446" s="49" t="s">
        <v>2187</v>
      </c>
      <c r="O446" s="441">
        <v>46083</v>
      </c>
      <c r="P446" s="546" t="s">
        <v>1602</v>
      </c>
      <c r="Q446" s="471" t="s">
        <v>358</v>
      </c>
      <c r="R446" s="566"/>
      <c r="S446" s="49"/>
      <c r="T446" s="49"/>
      <c r="U446" s="49"/>
      <c r="V446" s="49"/>
      <c r="W446" s="49"/>
      <c r="X446" s="49"/>
      <c r="Y446" s="49"/>
      <c r="Z446" s="49"/>
      <c r="AA446" s="49"/>
      <c r="AB446" s="49"/>
      <c r="AC446" s="49"/>
      <c r="AD446" s="91"/>
      <c r="AE446" s="91"/>
      <c r="AF446" s="91"/>
      <c r="AG446" s="91"/>
    </row>
    <row r="447" spans="1:33">
      <c r="A447" s="546"/>
      <c r="B447" s="534">
        <v>445</v>
      </c>
      <c r="C447" s="534">
        <v>31394</v>
      </c>
      <c r="D447" s="534">
        <v>15602343</v>
      </c>
      <c r="E447" s="50" t="s">
        <v>2316</v>
      </c>
      <c r="F447" s="534">
        <v>63</v>
      </c>
      <c r="G447" s="49" t="s">
        <v>2317</v>
      </c>
      <c r="H447" s="49" t="s">
        <v>278</v>
      </c>
      <c r="I447" s="534">
        <v>900175479</v>
      </c>
      <c r="J447" s="49" t="s">
        <v>223</v>
      </c>
      <c r="K447" s="535">
        <v>46071</v>
      </c>
      <c r="L447" s="43" t="s">
        <v>2318</v>
      </c>
      <c r="M447" s="555" t="s">
        <v>312</v>
      </c>
      <c r="N447" s="49" t="s">
        <v>2187</v>
      </c>
      <c r="O447" s="437">
        <v>46083</v>
      </c>
      <c r="P447" s="539" t="s">
        <v>292</v>
      </c>
      <c r="Q447" s="802">
        <v>46082</v>
      </c>
      <c r="R447" s="566" t="s">
        <v>242</v>
      </c>
      <c r="S447" s="49"/>
      <c r="T447" s="49"/>
      <c r="U447" s="49"/>
      <c r="V447" s="49"/>
      <c r="W447" s="49"/>
      <c r="X447" s="49"/>
      <c r="Y447" s="49"/>
      <c r="Z447" s="49"/>
      <c r="AA447" s="49"/>
      <c r="AB447" s="49"/>
      <c r="AC447" s="49"/>
      <c r="AD447" s="91"/>
      <c r="AE447" s="91"/>
      <c r="AF447" s="91"/>
      <c r="AG447" s="91"/>
    </row>
    <row r="448" spans="1:33">
      <c r="A448" s="546"/>
      <c r="B448" s="534">
        <v>446</v>
      </c>
      <c r="C448" s="534">
        <v>165412</v>
      </c>
      <c r="D448" s="534">
        <v>80283779</v>
      </c>
      <c r="E448" s="50" t="s">
        <v>2319</v>
      </c>
      <c r="F448" s="534">
        <v>50</v>
      </c>
      <c r="G448" s="49" t="s">
        <v>2320</v>
      </c>
      <c r="H448" s="49" t="s">
        <v>2321</v>
      </c>
      <c r="I448" s="534">
        <v>983573311</v>
      </c>
      <c r="J448" s="49" t="s">
        <v>223</v>
      </c>
      <c r="K448" s="535">
        <v>46071</v>
      </c>
      <c r="L448" s="43" t="s">
        <v>584</v>
      </c>
      <c r="M448" s="534" t="s">
        <v>230</v>
      </c>
      <c r="N448" s="49" t="s">
        <v>241</v>
      </c>
      <c r="O448" s="437">
        <v>46083</v>
      </c>
      <c r="P448" s="539" t="s">
        <v>292</v>
      </c>
      <c r="Q448" s="802">
        <v>46082</v>
      </c>
      <c r="R448" s="566" t="s">
        <v>242</v>
      </c>
      <c r="S448" s="49"/>
      <c r="T448" s="49"/>
      <c r="U448" s="49"/>
      <c r="V448" s="49"/>
      <c r="W448" s="49"/>
      <c r="X448" s="49"/>
      <c r="Y448" s="49"/>
      <c r="Z448" s="49"/>
      <c r="AA448" s="49"/>
      <c r="AB448" s="49"/>
      <c r="AC448" s="49"/>
      <c r="AD448" s="91"/>
      <c r="AE448" s="91"/>
      <c r="AF448" s="91"/>
      <c r="AG448" s="91"/>
    </row>
    <row r="449" spans="1:33">
      <c r="A449" s="546"/>
      <c r="B449" s="534">
        <v>447</v>
      </c>
      <c r="C449" s="534">
        <v>523136</v>
      </c>
      <c r="D449" s="534">
        <v>32029586</v>
      </c>
      <c r="E449" s="50" t="s">
        <v>2322</v>
      </c>
      <c r="F449" s="534">
        <v>56</v>
      </c>
      <c r="G449" s="49" t="s">
        <v>2323</v>
      </c>
      <c r="H449" s="49" t="s">
        <v>461</v>
      </c>
      <c r="I449" s="534">
        <v>945372555</v>
      </c>
      <c r="J449" s="49" t="s">
        <v>162</v>
      </c>
      <c r="K449" s="535">
        <v>46071</v>
      </c>
      <c r="L449" s="49" t="s">
        <v>1947</v>
      </c>
      <c r="M449" s="534" t="s">
        <v>230</v>
      </c>
      <c r="N449" s="49" t="s">
        <v>317</v>
      </c>
      <c r="O449" s="441">
        <v>46083</v>
      </c>
      <c r="P449" s="546" t="s">
        <v>1330</v>
      </c>
      <c r="Q449" s="471" t="s">
        <v>358</v>
      </c>
      <c r="R449" s="566"/>
      <c r="S449" s="49"/>
      <c r="T449" s="49"/>
      <c r="U449" s="49"/>
      <c r="V449" s="49"/>
      <c r="W449" s="49"/>
      <c r="X449" s="49"/>
      <c r="Y449" s="49"/>
      <c r="Z449" s="49"/>
      <c r="AA449" s="49"/>
      <c r="AB449" s="49"/>
      <c r="AC449" s="49"/>
      <c r="AD449" s="91"/>
      <c r="AE449" s="91"/>
      <c r="AF449" s="91"/>
      <c r="AG449" s="91"/>
    </row>
    <row r="450" spans="1:33">
      <c r="A450" s="546"/>
      <c r="B450" s="534">
        <v>448</v>
      </c>
      <c r="C450" s="534">
        <v>523137</v>
      </c>
      <c r="D450" s="534">
        <v>40050726</v>
      </c>
      <c r="E450" s="50" t="s">
        <v>2324</v>
      </c>
      <c r="F450" s="534">
        <v>47</v>
      </c>
      <c r="G450" s="49" t="s">
        <v>2325</v>
      </c>
      <c r="H450" s="49" t="s">
        <v>2326</v>
      </c>
      <c r="I450" s="534">
        <v>925386159</v>
      </c>
      <c r="J450" s="49" t="s">
        <v>162</v>
      </c>
      <c r="K450" s="535">
        <v>46071</v>
      </c>
      <c r="L450" s="49" t="s">
        <v>2327</v>
      </c>
      <c r="M450" s="534" t="s">
        <v>260</v>
      </c>
      <c r="N450" s="49" t="s">
        <v>241</v>
      </c>
      <c r="O450" s="441">
        <v>46083</v>
      </c>
      <c r="P450" s="546" t="s">
        <v>1330</v>
      </c>
      <c r="Q450" s="471" t="s">
        <v>358</v>
      </c>
      <c r="R450" s="566"/>
      <c r="S450" s="49"/>
      <c r="T450" s="49"/>
      <c r="U450" s="49"/>
      <c r="V450" s="49"/>
      <c r="W450" s="49"/>
      <c r="X450" s="49"/>
      <c r="Y450" s="49"/>
      <c r="Z450" s="49"/>
      <c r="AA450" s="49"/>
      <c r="AB450" s="49"/>
      <c r="AC450" s="49"/>
      <c r="AD450" s="91"/>
      <c r="AE450" s="91"/>
      <c r="AF450" s="91"/>
      <c r="AG450" s="91"/>
    </row>
    <row r="451" spans="1:33">
      <c r="A451" s="546"/>
      <c r="B451" s="534">
        <v>449</v>
      </c>
      <c r="C451" s="534">
        <v>186862</v>
      </c>
      <c r="D451" s="534">
        <v>15741213</v>
      </c>
      <c r="E451" s="50" t="s">
        <v>2328</v>
      </c>
      <c r="F451" s="534">
        <v>52</v>
      </c>
      <c r="G451" s="49" t="s">
        <v>2329</v>
      </c>
      <c r="H451" s="49" t="s">
        <v>2330</v>
      </c>
      <c r="I451" s="534">
        <v>912613724</v>
      </c>
      <c r="J451" s="49" t="s">
        <v>238</v>
      </c>
      <c r="K451" s="535">
        <v>46071</v>
      </c>
      <c r="L451" s="49" t="s">
        <v>2331</v>
      </c>
      <c r="M451" s="534" t="s">
        <v>312</v>
      </c>
      <c r="N451" s="49" t="s">
        <v>241</v>
      </c>
      <c r="O451" s="441">
        <v>46083</v>
      </c>
      <c r="P451" s="546"/>
      <c r="Q451" s="634"/>
      <c r="R451" s="566"/>
      <c r="S451" s="49"/>
      <c r="T451" s="49"/>
      <c r="U451" s="49"/>
      <c r="V451" s="49"/>
      <c r="W451" s="49"/>
      <c r="X451" s="49"/>
      <c r="Y451" s="49"/>
      <c r="Z451" s="49"/>
      <c r="AA451" s="49"/>
      <c r="AB451" s="49"/>
      <c r="AC451" s="49"/>
      <c r="AD451" s="91"/>
      <c r="AE451" s="91"/>
      <c r="AF451" s="91"/>
      <c r="AG451" s="91"/>
    </row>
    <row r="452" spans="1:33">
      <c r="A452" s="546"/>
      <c r="B452" s="534">
        <v>450</v>
      </c>
      <c r="C452" s="534">
        <v>124280</v>
      </c>
      <c r="D452" s="320">
        <v>17591375</v>
      </c>
      <c r="E452" s="50" t="s">
        <v>2332</v>
      </c>
      <c r="F452" s="534">
        <v>76</v>
      </c>
      <c r="G452" s="49" t="s">
        <v>2333</v>
      </c>
      <c r="H452" s="49" t="s">
        <v>278</v>
      </c>
      <c r="I452" s="534">
        <v>913483328</v>
      </c>
      <c r="J452" s="49" t="s">
        <v>238</v>
      </c>
      <c r="K452" s="535">
        <v>46071</v>
      </c>
      <c r="L452" s="49" t="s">
        <v>2334</v>
      </c>
      <c r="M452" s="534" t="s">
        <v>260</v>
      </c>
      <c r="N452" s="49" t="s">
        <v>241</v>
      </c>
      <c r="O452" s="441">
        <v>46083</v>
      </c>
      <c r="P452" s="546"/>
      <c r="Q452" s="633"/>
      <c r="R452" s="566"/>
      <c r="S452" s="49"/>
      <c r="T452" s="49"/>
      <c r="U452" s="49"/>
      <c r="V452" s="49"/>
      <c r="W452" s="49"/>
      <c r="X452" s="49"/>
      <c r="Y452" s="49"/>
      <c r="Z452" s="49"/>
      <c r="AA452" s="49"/>
      <c r="AB452" s="49"/>
      <c r="AC452" s="49"/>
      <c r="AD452" s="91"/>
      <c r="AE452" s="91"/>
      <c r="AF452" s="91"/>
      <c r="AG452" s="91"/>
    </row>
    <row r="453" spans="1:33">
      <c r="A453" s="546"/>
      <c r="B453" s="534">
        <v>451</v>
      </c>
      <c r="C453" s="534">
        <v>243798</v>
      </c>
      <c r="D453" s="534">
        <v>40506018</v>
      </c>
      <c r="E453" s="50" t="s">
        <v>2335</v>
      </c>
      <c r="F453" s="534">
        <v>47</v>
      </c>
      <c r="G453" s="49" t="s">
        <v>2336</v>
      </c>
      <c r="H453" s="49" t="s">
        <v>2337</v>
      </c>
      <c r="I453" s="534">
        <v>992646420</v>
      </c>
      <c r="J453" s="49" t="s">
        <v>289</v>
      </c>
      <c r="K453" s="535">
        <v>46071</v>
      </c>
      <c r="L453" s="49" t="s">
        <v>2338</v>
      </c>
      <c r="M453" s="534" t="s">
        <v>230</v>
      </c>
      <c r="N453" s="49" t="s">
        <v>241</v>
      </c>
      <c r="O453" s="437">
        <v>46078</v>
      </c>
      <c r="P453" s="534" t="s">
        <v>2157</v>
      </c>
      <c r="Q453" s="807">
        <v>46082</v>
      </c>
      <c r="R453" s="566" t="s">
        <v>242</v>
      </c>
      <c r="S453" s="49"/>
      <c r="T453" s="49"/>
      <c r="U453" s="49"/>
      <c r="V453" s="49"/>
      <c r="W453" s="49"/>
      <c r="X453" s="49"/>
      <c r="Y453" s="49"/>
      <c r="Z453" s="49"/>
      <c r="AA453" s="49"/>
      <c r="AB453" s="49"/>
      <c r="AC453" s="49"/>
      <c r="AD453" s="91"/>
      <c r="AE453" s="91"/>
      <c r="AF453" s="91"/>
      <c r="AG453" s="91"/>
    </row>
    <row r="454" spans="1:33">
      <c r="A454" s="533">
        <v>46072</v>
      </c>
      <c r="B454" s="534">
        <v>452</v>
      </c>
      <c r="C454" s="534">
        <v>184089</v>
      </c>
      <c r="D454" s="534">
        <v>15666127</v>
      </c>
      <c r="E454" s="50" t="s">
        <v>2339</v>
      </c>
      <c r="F454" s="534">
        <v>64</v>
      </c>
      <c r="G454" s="49" t="s">
        <v>2340</v>
      </c>
      <c r="H454" s="49" t="s">
        <v>278</v>
      </c>
      <c r="I454" s="534">
        <v>959216222</v>
      </c>
      <c r="J454" s="49" t="s">
        <v>238</v>
      </c>
      <c r="K454" s="535">
        <v>46072</v>
      </c>
      <c r="L454" s="49" t="s">
        <v>2341</v>
      </c>
      <c r="M454" s="534" t="s">
        <v>312</v>
      </c>
      <c r="N454" s="49" t="s">
        <v>317</v>
      </c>
      <c r="O454" s="441">
        <v>46083</v>
      </c>
      <c r="P454" s="546"/>
      <c r="Q454" s="641"/>
      <c r="R454" s="566"/>
      <c r="S454" s="49"/>
      <c r="T454" s="49"/>
      <c r="U454" s="49"/>
      <c r="V454" s="49"/>
      <c r="W454" s="49"/>
      <c r="X454" s="49"/>
      <c r="Y454" s="49"/>
      <c r="Z454" s="49"/>
      <c r="AA454" s="49"/>
      <c r="AB454" s="49"/>
      <c r="AC454" s="49"/>
      <c r="AD454" s="91"/>
      <c r="AE454" s="91"/>
      <c r="AF454" s="91"/>
      <c r="AG454" s="91"/>
    </row>
    <row r="455" spans="1:33">
      <c r="A455" s="534"/>
      <c r="B455" s="534">
        <v>453</v>
      </c>
      <c r="C455" s="534">
        <v>522871</v>
      </c>
      <c r="D455" s="534">
        <v>15720706</v>
      </c>
      <c r="E455" s="50" t="s">
        <v>2342</v>
      </c>
      <c r="F455" s="534">
        <v>54</v>
      </c>
      <c r="G455" s="49" t="s">
        <v>2343</v>
      </c>
      <c r="H455" s="49" t="s">
        <v>326</v>
      </c>
      <c r="I455" s="534">
        <v>993852989</v>
      </c>
      <c r="J455" s="49" t="s">
        <v>375</v>
      </c>
      <c r="K455" s="535">
        <v>46072</v>
      </c>
      <c r="L455" s="49" t="s">
        <v>1156</v>
      </c>
      <c r="M455" s="534" t="s">
        <v>230</v>
      </c>
      <c r="N455" s="49" t="s">
        <v>2344</v>
      </c>
      <c r="O455" s="437">
        <v>46087</v>
      </c>
      <c r="P455" s="546" t="s">
        <v>2062</v>
      </c>
      <c r="Q455" s="807">
        <v>46082</v>
      </c>
      <c r="R455" s="566" t="s">
        <v>242</v>
      </c>
      <c r="S455" s="49"/>
      <c r="T455" s="49"/>
      <c r="U455" s="49"/>
      <c r="V455" s="49"/>
      <c r="W455" s="49"/>
      <c r="X455" s="49"/>
      <c r="Y455" s="49"/>
      <c r="Z455" s="49"/>
      <c r="AA455" s="49"/>
      <c r="AB455" s="49"/>
      <c r="AC455" s="49"/>
      <c r="AD455" s="91"/>
      <c r="AE455" s="91"/>
      <c r="AF455" s="91"/>
      <c r="AG455" s="91"/>
    </row>
    <row r="456" spans="1:33">
      <c r="A456" s="534"/>
      <c r="B456" s="534">
        <v>454</v>
      </c>
      <c r="C456" s="534">
        <v>465306</v>
      </c>
      <c r="D456" s="320" t="s">
        <v>2345</v>
      </c>
      <c r="E456" s="50" t="s">
        <v>2346</v>
      </c>
      <c r="F456" s="534">
        <v>55</v>
      </c>
      <c r="G456" s="49" t="s">
        <v>2347</v>
      </c>
      <c r="H456" s="49" t="s">
        <v>278</v>
      </c>
      <c r="I456" s="534">
        <v>978340164</v>
      </c>
      <c r="J456" s="49" t="s">
        <v>238</v>
      </c>
      <c r="K456" s="535">
        <v>46072</v>
      </c>
      <c r="L456" s="49" t="s">
        <v>2348</v>
      </c>
      <c r="M456" s="534" t="s">
        <v>260</v>
      </c>
      <c r="N456" s="49" t="s">
        <v>241</v>
      </c>
      <c r="O456" s="441">
        <v>46083</v>
      </c>
      <c r="P456" s="546"/>
      <c r="Q456" s="546" t="s">
        <v>1609</v>
      </c>
      <c r="R456" s="645">
        <v>46059</v>
      </c>
      <c r="S456" s="49" t="s">
        <v>2349</v>
      </c>
      <c r="T456" s="49" t="s">
        <v>312</v>
      </c>
      <c r="U456" s="49"/>
      <c r="V456" s="49"/>
      <c r="W456" s="49"/>
      <c r="X456" s="49"/>
      <c r="Y456" s="49"/>
      <c r="Z456" s="49"/>
      <c r="AA456" s="49"/>
      <c r="AB456" s="49"/>
      <c r="AC456" s="49"/>
      <c r="AD456" s="91"/>
      <c r="AE456" s="91"/>
      <c r="AF456" s="91"/>
      <c r="AG456" s="91"/>
    </row>
    <row r="457" spans="1:33">
      <c r="A457" s="534"/>
      <c r="B457" s="534">
        <v>455</v>
      </c>
      <c r="C457" s="534">
        <v>53829</v>
      </c>
      <c r="D457" s="534">
        <v>15721710</v>
      </c>
      <c r="E457" s="50" t="s">
        <v>2350</v>
      </c>
      <c r="F457" s="534">
        <v>58</v>
      </c>
      <c r="G457" s="49" t="s">
        <v>2351</v>
      </c>
      <c r="H457" s="49" t="s">
        <v>2352</v>
      </c>
      <c r="I457" s="534">
        <v>939924206</v>
      </c>
      <c r="J457" s="49" t="s">
        <v>238</v>
      </c>
      <c r="K457" s="535">
        <v>46072</v>
      </c>
      <c r="L457" s="49" t="s">
        <v>458</v>
      </c>
      <c r="M457" s="534" t="s">
        <v>260</v>
      </c>
      <c r="N457" s="49" t="s">
        <v>241</v>
      </c>
      <c r="O457" s="441">
        <v>46083</v>
      </c>
      <c r="P457" s="546"/>
      <c r="Q457" s="546" t="s">
        <v>1186</v>
      </c>
      <c r="R457" s="566"/>
      <c r="S457" s="49"/>
      <c r="T457" s="49"/>
      <c r="U457" s="49"/>
      <c r="V457" s="49"/>
      <c r="W457" s="49"/>
      <c r="X457" s="49"/>
      <c r="Y457" s="49"/>
      <c r="Z457" s="49"/>
      <c r="AA457" s="49"/>
      <c r="AB457" s="49"/>
      <c r="AC457" s="49"/>
      <c r="AD457" s="91"/>
      <c r="AE457" s="91"/>
      <c r="AF457" s="91"/>
      <c r="AG457" s="91"/>
    </row>
    <row r="458" spans="1:33">
      <c r="A458" s="534"/>
      <c r="B458" s="534">
        <v>456</v>
      </c>
      <c r="C458" s="534">
        <v>373114</v>
      </c>
      <c r="D458" s="534">
        <v>41132425</v>
      </c>
      <c r="E458" s="50" t="s">
        <v>2353</v>
      </c>
      <c r="F458" s="534">
        <v>47</v>
      </c>
      <c r="G458" s="49" t="s">
        <v>2354</v>
      </c>
      <c r="H458" s="49" t="s">
        <v>301</v>
      </c>
      <c r="I458" s="534">
        <v>992834796</v>
      </c>
      <c r="J458" s="49" t="s">
        <v>302</v>
      </c>
      <c r="K458" s="535">
        <v>46072</v>
      </c>
      <c r="L458" s="49" t="s">
        <v>2355</v>
      </c>
      <c r="M458" s="534" t="s">
        <v>260</v>
      </c>
      <c r="N458" s="49" t="s">
        <v>2344</v>
      </c>
      <c r="O458" s="437">
        <v>46086</v>
      </c>
      <c r="P458" s="546" t="s">
        <v>2169</v>
      </c>
      <c r="Q458" s="818" t="s">
        <v>339</v>
      </c>
      <c r="R458" s="566"/>
      <c r="S458" s="49"/>
      <c r="T458" s="49"/>
      <c r="U458" s="49"/>
      <c r="V458" s="49"/>
      <c r="W458" s="49"/>
      <c r="X458" s="49"/>
      <c r="Y458" s="49"/>
      <c r="Z458" s="49"/>
      <c r="AA458" s="49"/>
      <c r="AB458" s="49"/>
      <c r="AC458" s="49"/>
      <c r="AD458" s="91"/>
      <c r="AE458" s="91"/>
      <c r="AF458" s="91"/>
      <c r="AG458" s="91"/>
    </row>
    <row r="459" spans="1:33">
      <c r="A459" s="534"/>
      <c r="B459" s="534">
        <v>457</v>
      </c>
      <c r="C459" s="534">
        <v>523160</v>
      </c>
      <c r="D459" s="534">
        <v>16022567</v>
      </c>
      <c r="E459" s="50" t="s">
        <v>2356</v>
      </c>
      <c r="F459" s="534">
        <v>48</v>
      </c>
      <c r="G459" s="49" t="s">
        <v>2357</v>
      </c>
      <c r="H459" s="49" t="s">
        <v>911</v>
      </c>
      <c r="I459" s="534">
        <v>929313992</v>
      </c>
      <c r="J459" s="49" t="s">
        <v>421</v>
      </c>
      <c r="K459" s="535">
        <v>46072</v>
      </c>
      <c r="L459" s="49" t="s">
        <v>679</v>
      </c>
      <c r="M459" s="534" t="s">
        <v>230</v>
      </c>
      <c r="N459" s="49" t="s">
        <v>2358</v>
      </c>
      <c r="O459" s="441">
        <v>46083</v>
      </c>
      <c r="P459" s="546" t="s">
        <v>1602</v>
      </c>
      <c r="Q459" s="471" t="s">
        <v>358</v>
      </c>
      <c r="R459" s="566"/>
      <c r="S459" s="49"/>
      <c r="T459" s="49"/>
      <c r="U459" s="49"/>
      <c r="V459" s="49"/>
      <c r="W459" s="49"/>
      <c r="X459" s="49"/>
      <c r="Y459" s="49"/>
      <c r="Z459" s="49"/>
      <c r="AA459" s="49"/>
      <c r="AB459" s="49"/>
      <c r="AC459" s="49"/>
      <c r="AD459" s="91"/>
      <c r="AE459" s="91"/>
      <c r="AF459" s="91"/>
      <c r="AG459" s="91"/>
    </row>
    <row r="460" spans="1:33">
      <c r="A460" s="534"/>
      <c r="B460" s="534">
        <v>458</v>
      </c>
      <c r="C460" s="534">
        <v>148454</v>
      </c>
      <c r="D460" s="534">
        <v>15600474</v>
      </c>
      <c r="E460" s="50" t="s">
        <v>2359</v>
      </c>
      <c r="F460" s="534">
        <v>61</v>
      </c>
      <c r="G460" s="49" t="s">
        <v>2360</v>
      </c>
      <c r="H460" s="49" t="s">
        <v>222</v>
      </c>
      <c r="I460" s="534">
        <v>910509113</v>
      </c>
      <c r="J460" s="49" t="s">
        <v>707</v>
      </c>
      <c r="K460" s="535">
        <v>46072</v>
      </c>
      <c r="L460" s="49" t="s">
        <v>2361</v>
      </c>
      <c r="M460" s="534" t="s">
        <v>230</v>
      </c>
      <c r="N460" s="49" t="s">
        <v>2362</v>
      </c>
      <c r="O460" s="437">
        <v>46083</v>
      </c>
      <c r="P460" s="539" t="s">
        <v>292</v>
      </c>
      <c r="Q460" s="807">
        <v>46082</v>
      </c>
      <c r="R460" s="566" t="s">
        <v>242</v>
      </c>
      <c r="S460" s="49"/>
      <c r="T460" s="49"/>
      <c r="U460" s="49"/>
      <c r="V460" s="49"/>
      <c r="W460" s="49"/>
      <c r="X460" s="49"/>
      <c r="Y460" s="49"/>
      <c r="Z460" s="49"/>
      <c r="AA460" s="49"/>
      <c r="AB460" s="49"/>
      <c r="AC460" s="49"/>
      <c r="AD460" s="91"/>
      <c r="AE460" s="91"/>
      <c r="AF460" s="91"/>
      <c r="AG460" s="91"/>
    </row>
    <row r="461" spans="1:33">
      <c r="A461" s="534"/>
      <c r="B461" s="534">
        <v>459</v>
      </c>
      <c r="C461" s="534">
        <v>110282</v>
      </c>
      <c r="D461" s="534">
        <v>41276729</v>
      </c>
      <c r="E461" s="50" t="s">
        <v>2363</v>
      </c>
      <c r="F461" s="534">
        <v>44</v>
      </c>
      <c r="G461" s="49" t="s">
        <v>2364</v>
      </c>
      <c r="H461" s="49" t="s">
        <v>222</v>
      </c>
      <c r="I461" s="534">
        <v>960242355</v>
      </c>
      <c r="J461" s="49" t="s">
        <v>223</v>
      </c>
      <c r="K461" s="535">
        <v>46072</v>
      </c>
      <c r="L461" s="49" t="s">
        <v>458</v>
      </c>
      <c r="M461" s="534" t="s">
        <v>260</v>
      </c>
      <c r="N461" s="49" t="s">
        <v>241</v>
      </c>
      <c r="O461" s="437">
        <v>46083</v>
      </c>
      <c r="P461" s="539" t="s">
        <v>292</v>
      </c>
      <c r="Q461" s="802">
        <v>46082</v>
      </c>
      <c r="R461" s="806" t="s">
        <v>228</v>
      </c>
      <c r="S461" s="49"/>
      <c r="T461" s="49"/>
      <c r="U461" s="49"/>
      <c r="V461" s="49"/>
      <c r="W461" s="49"/>
      <c r="X461" s="49"/>
      <c r="Y461" s="49"/>
      <c r="Z461" s="49"/>
      <c r="AA461" s="49"/>
      <c r="AB461" s="49"/>
      <c r="AC461" s="49"/>
      <c r="AD461" s="91"/>
      <c r="AE461" s="91"/>
      <c r="AF461" s="91"/>
      <c r="AG461" s="91"/>
    </row>
    <row r="462" spans="1:33">
      <c r="A462" s="534"/>
      <c r="B462" s="534">
        <v>460</v>
      </c>
      <c r="C462" s="534">
        <v>523162</v>
      </c>
      <c r="D462" s="534">
        <v>15959878</v>
      </c>
      <c r="E462" s="50" t="s">
        <v>2365</v>
      </c>
      <c r="F462" s="534">
        <v>61</v>
      </c>
      <c r="G462" s="49" t="s">
        <v>2366</v>
      </c>
      <c r="H462" s="49" t="s">
        <v>461</v>
      </c>
      <c r="I462" s="534">
        <v>991023238</v>
      </c>
      <c r="J462" s="49" t="s">
        <v>162</v>
      </c>
      <c r="K462" s="535">
        <v>46072</v>
      </c>
      <c r="L462" s="49" t="s">
        <v>679</v>
      </c>
      <c r="M462" s="534" t="s">
        <v>230</v>
      </c>
      <c r="N462" s="49" t="s">
        <v>2358</v>
      </c>
      <c r="O462" s="441">
        <v>46083</v>
      </c>
      <c r="P462" s="546" t="s">
        <v>1330</v>
      </c>
      <c r="Q462" s="471" t="s">
        <v>358</v>
      </c>
      <c r="R462" s="566"/>
      <c r="S462" s="49"/>
      <c r="T462" s="49"/>
      <c r="U462" s="49"/>
      <c r="V462" s="49"/>
      <c r="W462" s="49"/>
      <c r="X462" s="49"/>
      <c r="Y462" s="49"/>
      <c r="Z462" s="49"/>
      <c r="AA462" s="49"/>
      <c r="AB462" s="49"/>
      <c r="AC462" s="49"/>
      <c r="AD462" s="91"/>
      <c r="AE462" s="91"/>
      <c r="AF462" s="91"/>
      <c r="AG462" s="91"/>
    </row>
    <row r="463" spans="1:33">
      <c r="A463" s="534"/>
      <c r="B463" s="534">
        <v>461</v>
      </c>
      <c r="C463" s="534">
        <v>320675</v>
      </c>
      <c r="D463" s="534">
        <v>15693402</v>
      </c>
      <c r="E463" s="50" t="s">
        <v>2367</v>
      </c>
      <c r="F463" s="534">
        <v>57</v>
      </c>
      <c r="G463" s="49" t="s">
        <v>2368</v>
      </c>
      <c r="H463" s="49" t="s">
        <v>237</v>
      </c>
      <c r="I463" s="534">
        <v>902327911</v>
      </c>
      <c r="J463" s="49" t="s">
        <v>742</v>
      </c>
      <c r="K463" s="535">
        <v>46072</v>
      </c>
      <c r="L463" s="49" t="s">
        <v>2369</v>
      </c>
      <c r="M463" s="534" t="s">
        <v>260</v>
      </c>
      <c r="N463" s="49" t="s">
        <v>2370</v>
      </c>
      <c r="O463" s="437">
        <v>46094</v>
      </c>
      <c r="P463" s="546" t="s">
        <v>2165</v>
      </c>
      <c r="Q463" s="819">
        <v>46082</v>
      </c>
      <c r="R463" s="566" t="s">
        <v>242</v>
      </c>
      <c r="S463" s="49"/>
      <c r="T463" s="49"/>
      <c r="U463" s="49"/>
      <c r="V463" s="49"/>
      <c r="W463" s="49"/>
      <c r="X463" s="49"/>
      <c r="Y463" s="49"/>
      <c r="Z463" s="49"/>
      <c r="AA463" s="49"/>
      <c r="AB463" s="49"/>
      <c r="AC463" s="49"/>
      <c r="AD463" s="91"/>
      <c r="AE463" s="91"/>
      <c r="AF463" s="91"/>
      <c r="AG463" s="91"/>
    </row>
    <row r="464" spans="1:33">
      <c r="A464" s="546"/>
      <c r="B464" s="534">
        <v>462</v>
      </c>
      <c r="C464" s="534">
        <v>487649</v>
      </c>
      <c r="D464" s="534">
        <v>44535724</v>
      </c>
      <c r="E464" s="50" t="s">
        <v>2371</v>
      </c>
      <c r="F464" s="534">
        <v>44</v>
      </c>
      <c r="G464" s="49" t="s">
        <v>2372</v>
      </c>
      <c r="H464" s="49" t="s">
        <v>278</v>
      </c>
      <c r="I464" s="534">
        <v>907229673</v>
      </c>
      <c r="J464" s="49" t="s">
        <v>384</v>
      </c>
      <c r="K464" s="535">
        <v>46071</v>
      </c>
      <c r="L464" s="43" t="s">
        <v>1673</v>
      </c>
      <c r="M464" s="534" t="s">
        <v>312</v>
      </c>
      <c r="N464" s="49" t="s">
        <v>2153</v>
      </c>
      <c r="O464" s="437">
        <v>46086</v>
      </c>
      <c r="P464" s="419" t="s">
        <v>2154</v>
      </c>
      <c r="Q464" s="802">
        <v>46082</v>
      </c>
      <c r="R464" s="808">
        <v>46082</v>
      </c>
      <c r="S464" s="49"/>
      <c r="T464" s="49"/>
      <c r="U464" s="49"/>
      <c r="V464" s="49"/>
      <c r="W464" s="49"/>
      <c r="X464" s="49"/>
      <c r="Y464" s="49"/>
      <c r="Z464" s="49"/>
      <c r="AA464" s="49"/>
      <c r="AB464" s="49"/>
      <c r="AC464" s="49"/>
      <c r="AD464" s="91"/>
      <c r="AE464" s="91"/>
      <c r="AF464" s="91"/>
      <c r="AG464" s="91"/>
    </row>
    <row r="465" spans="1:33">
      <c r="A465" s="534"/>
      <c r="B465" s="534">
        <v>463</v>
      </c>
      <c r="C465" s="534">
        <v>69834</v>
      </c>
      <c r="D465" s="534">
        <v>15757125</v>
      </c>
      <c r="E465" s="50" t="s">
        <v>2373</v>
      </c>
      <c r="F465" s="534">
        <v>49</v>
      </c>
      <c r="G465" s="49" t="s">
        <v>2374</v>
      </c>
      <c r="H465" s="49" t="s">
        <v>237</v>
      </c>
      <c r="I465" s="534" t="s">
        <v>2375</v>
      </c>
      <c r="J465" s="49" t="s">
        <v>742</v>
      </c>
      <c r="K465" s="535">
        <v>46072</v>
      </c>
      <c r="L465" s="49" t="s">
        <v>2376</v>
      </c>
      <c r="M465" s="534" t="s">
        <v>260</v>
      </c>
      <c r="N465" s="49" t="s">
        <v>655</v>
      </c>
      <c r="O465" s="437">
        <v>46094</v>
      </c>
      <c r="P465" s="546" t="s">
        <v>2165</v>
      </c>
      <c r="Q465" s="816" t="s">
        <v>334</v>
      </c>
      <c r="R465" s="566"/>
      <c r="S465" s="49"/>
      <c r="T465" s="49"/>
      <c r="U465" s="49"/>
      <c r="V465" s="49"/>
      <c r="W465" s="49"/>
      <c r="X465" s="49"/>
      <c r="Y465" s="49"/>
      <c r="Z465" s="49"/>
      <c r="AA465" s="49"/>
      <c r="AB465" s="49"/>
      <c r="AC465" s="49"/>
      <c r="AD465" s="91"/>
      <c r="AE465" s="91"/>
      <c r="AF465" s="91"/>
      <c r="AG465" s="91"/>
    </row>
    <row r="466" spans="1:33">
      <c r="A466" s="534"/>
      <c r="B466" s="534">
        <v>464</v>
      </c>
      <c r="C466" s="534">
        <v>523167</v>
      </c>
      <c r="D466" s="534">
        <v>15952922</v>
      </c>
      <c r="E466" s="50" t="s">
        <v>2377</v>
      </c>
      <c r="F466" s="534">
        <v>60</v>
      </c>
      <c r="G466" s="49" t="s">
        <v>2378</v>
      </c>
      <c r="H466" s="49" t="s">
        <v>301</v>
      </c>
      <c r="I466" s="534" t="s">
        <v>2379</v>
      </c>
      <c r="J466" s="49" t="s">
        <v>162</v>
      </c>
      <c r="K466" s="535">
        <v>46072</v>
      </c>
      <c r="L466" s="49" t="s">
        <v>683</v>
      </c>
      <c r="M466" s="534" t="s">
        <v>312</v>
      </c>
      <c r="N466" s="49" t="s">
        <v>317</v>
      </c>
      <c r="O466" s="441">
        <v>46083</v>
      </c>
      <c r="P466" s="546" t="s">
        <v>1330</v>
      </c>
      <c r="Q466" s="471" t="s">
        <v>358</v>
      </c>
      <c r="R466" s="566"/>
      <c r="S466" s="49"/>
      <c r="T466" s="49"/>
      <c r="U466" s="49"/>
      <c r="V466" s="49"/>
      <c r="W466" s="49"/>
      <c r="X466" s="49"/>
      <c r="Y466" s="49"/>
      <c r="Z466" s="49"/>
      <c r="AA466" s="49"/>
      <c r="AB466" s="49"/>
      <c r="AC466" s="49"/>
      <c r="AD466" s="91"/>
      <c r="AE466" s="91"/>
      <c r="AF466" s="91"/>
      <c r="AG466" s="91"/>
    </row>
    <row r="467" spans="1:33">
      <c r="A467" s="534"/>
      <c r="B467" s="534">
        <v>465</v>
      </c>
      <c r="C467" s="534">
        <v>104021</v>
      </c>
      <c r="D467" s="534">
        <v>15689211</v>
      </c>
      <c r="E467" s="50" t="s">
        <v>2380</v>
      </c>
      <c r="F467" s="534">
        <v>62</v>
      </c>
      <c r="G467" s="49" t="s">
        <v>2381</v>
      </c>
      <c r="H467" s="49" t="s">
        <v>288</v>
      </c>
      <c r="I467" s="534" t="s">
        <v>2382</v>
      </c>
      <c r="J467" s="49" t="s">
        <v>347</v>
      </c>
      <c r="K467" s="535">
        <v>46072</v>
      </c>
      <c r="L467" s="49" t="s">
        <v>2383</v>
      </c>
      <c r="M467" s="534" t="s">
        <v>230</v>
      </c>
      <c r="N467" s="49" t="s">
        <v>241</v>
      </c>
      <c r="O467" s="437">
        <v>46083</v>
      </c>
      <c r="P467" s="546" t="s">
        <v>292</v>
      </c>
      <c r="Q467" s="803" t="s">
        <v>2384</v>
      </c>
      <c r="R467" s="566"/>
      <c r="S467" s="49"/>
      <c r="T467" s="49"/>
      <c r="U467" s="49"/>
      <c r="V467" s="49"/>
      <c r="W467" s="49"/>
      <c r="X467" s="49"/>
      <c r="Y467" s="49"/>
      <c r="Z467" s="49"/>
      <c r="AA467" s="49"/>
      <c r="AB467" s="49"/>
      <c r="AC467" s="49"/>
      <c r="AD467" s="91"/>
      <c r="AE467" s="91"/>
      <c r="AF467" s="91"/>
      <c r="AG467" s="91"/>
    </row>
    <row r="468" spans="1:33">
      <c r="A468" s="534"/>
      <c r="B468" s="534">
        <v>466</v>
      </c>
      <c r="C468" s="534">
        <v>226294</v>
      </c>
      <c r="D468" s="534">
        <v>15727354</v>
      </c>
      <c r="E468" s="50" t="s">
        <v>2385</v>
      </c>
      <c r="F468" s="534">
        <v>54</v>
      </c>
      <c r="G468" s="49" t="s">
        <v>2386</v>
      </c>
      <c r="H468" s="49" t="s">
        <v>237</v>
      </c>
      <c r="I468" s="534">
        <v>995782305</v>
      </c>
      <c r="J468" s="49" t="s">
        <v>347</v>
      </c>
      <c r="K468" s="535">
        <v>46072</v>
      </c>
      <c r="L468" s="49" t="s">
        <v>679</v>
      </c>
      <c r="M468" s="534" t="s">
        <v>230</v>
      </c>
      <c r="N468" s="49" t="s">
        <v>2358</v>
      </c>
      <c r="O468" s="437">
        <v>46083</v>
      </c>
      <c r="P468" s="546" t="s">
        <v>292</v>
      </c>
      <c r="Q468" s="815">
        <v>46082</v>
      </c>
      <c r="R468" s="566" t="s">
        <v>242</v>
      </c>
      <c r="S468" s="49"/>
      <c r="T468" s="49"/>
      <c r="U468" s="49"/>
      <c r="V468" s="49"/>
      <c r="W468" s="49"/>
      <c r="X468" s="49"/>
      <c r="Y468" s="49"/>
      <c r="Z468" s="49"/>
      <c r="AA468" s="49"/>
      <c r="AB468" s="49"/>
      <c r="AC468" s="49"/>
      <c r="AD468" s="91"/>
      <c r="AE468" s="91"/>
      <c r="AF468" s="91"/>
      <c r="AG468" s="91"/>
    </row>
    <row r="469" spans="1:33">
      <c r="A469" s="534"/>
      <c r="B469" s="534">
        <v>467</v>
      </c>
      <c r="C469" s="534">
        <v>523166</v>
      </c>
      <c r="D469" s="534">
        <v>15750743</v>
      </c>
      <c r="E469" s="50" t="s">
        <v>2387</v>
      </c>
      <c r="F469" s="534">
        <v>68</v>
      </c>
      <c r="G469" s="49" t="s">
        <v>2388</v>
      </c>
      <c r="H469" s="49" t="s">
        <v>461</v>
      </c>
      <c r="I469" s="534" t="s">
        <v>2389</v>
      </c>
      <c r="J469" s="49" t="s">
        <v>162</v>
      </c>
      <c r="K469" s="535">
        <v>46072</v>
      </c>
      <c r="L469" s="49" t="s">
        <v>718</v>
      </c>
      <c r="M469" s="534" t="s">
        <v>312</v>
      </c>
      <c r="N469" s="49" t="s">
        <v>2390</v>
      </c>
      <c r="O469" s="441">
        <v>46083</v>
      </c>
      <c r="P469" s="546" t="s">
        <v>1330</v>
      </c>
      <c r="Q469" s="471" t="s">
        <v>358</v>
      </c>
      <c r="R469" s="566"/>
      <c r="S469" s="49"/>
      <c r="T469" s="49"/>
      <c r="U469" s="49"/>
      <c r="V469" s="49"/>
      <c r="W469" s="49"/>
      <c r="X469" s="49"/>
      <c r="Y469" s="49"/>
      <c r="Z469" s="49"/>
      <c r="AA469" s="49"/>
      <c r="AB469" s="49"/>
      <c r="AC469" s="49"/>
      <c r="AD469" s="91"/>
      <c r="AE469" s="91"/>
      <c r="AF469" s="91"/>
      <c r="AG469" s="91"/>
    </row>
    <row r="470" spans="1:33">
      <c r="A470" s="534"/>
      <c r="B470" s="534">
        <v>468</v>
      </c>
      <c r="C470" s="534">
        <v>523171</v>
      </c>
      <c r="D470" s="534">
        <v>15963961</v>
      </c>
      <c r="E470" s="50" t="s">
        <v>2391</v>
      </c>
      <c r="F470" s="534">
        <v>62</v>
      </c>
      <c r="G470" s="49" t="s">
        <v>2392</v>
      </c>
      <c r="H470" s="49" t="s">
        <v>461</v>
      </c>
      <c r="I470" s="534">
        <v>924256060</v>
      </c>
      <c r="J470" s="49" t="s">
        <v>162</v>
      </c>
      <c r="K470" s="535">
        <v>46072</v>
      </c>
      <c r="L470" s="49" t="s">
        <v>458</v>
      </c>
      <c r="M470" s="534" t="s">
        <v>260</v>
      </c>
      <c r="N470" s="49" t="s">
        <v>241</v>
      </c>
      <c r="O470" s="441">
        <v>46083</v>
      </c>
      <c r="P470" s="546" t="s">
        <v>1330</v>
      </c>
      <c r="Q470" s="471" t="s">
        <v>358</v>
      </c>
      <c r="R470" s="566"/>
      <c r="S470" s="49"/>
      <c r="T470" s="49"/>
      <c r="U470" s="49"/>
      <c r="V470" s="49"/>
      <c r="W470" s="49"/>
      <c r="X470" s="49"/>
      <c r="Y470" s="49"/>
      <c r="Z470" s="49"/>
      <c r="AA470" s="49"/>
      <c r="AB470" s="49"/>
      <c r="AC470" s="49"/>
      <c r="AD470" s="91"/>
      <c r="AE470" s="91"/>
      <c r="AF470" s="91"/>
      <c r="AG470" s="91"/>
    </row>
    <row r="471" spans="1:33">
      <c r="A471" s="534"/>
      <c r="B471" s="534">
        <v>469</v>
      </c>
      <c r="C471" s="534">
        <v>234635</v>
      </c>
      <c r="D471" s="534">
        <v>40249304</v>
      </c>
      <c r="E471" s="50" t="s">
        <v>2393</v>
      </c>
      <c r="F471" s="534">
        <v>47</v>
      </c>
      <c r="G471" s="49" t="s">
        <v>2394</v>
      </c>
      <c r="H471" s="49" t="s">
        <v>278</v>
      </c>
      <c r="I471" s="534">
        <v>943225723</v>
      </c>
      <c r="J471" s="49" t="s">
        <v>384</v>
      </c>
      <c r="K471" s="535">
        <v>46077</v>
      </c>
      <c r="L471" s="49" t="s">
        <v>2395</v>
      </c>
      <c r="M471" s="534" t="s">
        <v>312</v>
      </c>
      <c r="N471" s="49" t="s">
        <v>884</v>
      </c>
      <c r="O471" s="437">
        <v>46086</v>
      </c>
      <c r="P471" s="419" t="s">
        <v>2154</v>
      </c>
      <c r="Q471" s="802">
        <v>46082</v>
      </c>
      <c r="R471" s="808">
        <v>46082</v>
      </c>
      <c r="S471" s="49"/>
      <c r="T471" s="49"/>
      <c r="U471" s="49"/>
      <c r="V471" s="49"/>
      <c r="W471" s="49"/>
      <c r="X471" s="49"/>
      <c r="Y471" s="49"/>
      <c r="Z471" s="49"/>
      <c r="AA471" s="49"/>
      <c r="AB471" s="49"/>
      <c r="AC471" s="49"/>
      <c r="AD471" s="91"/>
      <c r="AE471" s="91"/>
      <c r="AF471" s="91"/>
      <c r="AG471" s="91"/>
    </row>
    <row r="472" spans="1:33">
      <c r="A472" s="534"/>
      <c r="B472" s="534">
        <v>470</v>
      </c>
      <c r="C472" s="534">
        <v>59902</v>
      </c>
      <c r="D472" s="534">
        <v>15603115</v>
      </c>
      <c r="E472" s="50" t="s">
        <v>2396</v>
      </c>
      <c r="F472" s="534">
        <v>67</v>
      </c>
      <c r="G472" s="49" t="s">
        <v>2397</v>
      </c>
      <c r="H472" s="49" t="s">
        <v>237</v>
      </c>
      <c r="I472" s="534">
        <v>950161188</v>
      </c>
      <c r="J472" s="49" t="s">
        <v>289</v>
      </c>
      <c r="K472" s="535">
        <v>46072</v>
      </c>
      <c r="L472" s="49" t="s">
        <v>2398</v>
      </c>
      <c r="M472" s="534" t="s">
        <v>260</v>
      </c>
      <c r="N472" s="49" t="s">
        <v>241</v>
      </c>
      <c r="O472" s="437">
        <v>46083</v>
      </c>
      <c r="P472" s="546" t="s">
        <v>292</v>
      </c>
      <c r="Q472" s="816" t="s">
        <v>385</v>
      </c>
      <c r="R472" s="566"/>
      <c r="S472" s="49"/>
      <c r="T472" s="49"/>
      <c r="U472" s="49"/>
      <c r="V472" s="49"/>
      <c r="W472" s="49"/>
      <c r="X472" s="49"/>
      <c r="Y472" s="49"/>
      <c r="Z472" s="49"/>
      <c r="AA472" s="49"/>
      <c r="AB472" s="49"/>
      <c r="AC472" s="49"/>
      <c r="AD472" s="91"/>
      <c r="AE472" s="91"/>
      <c r="AF472" s="91"/>
      <c r="AG472" s="91"/>
    </row>
    <row r="473" spans="1:33">
      <c r="A473" s="534"/>
      <c r="B473" s="534">
        <v>471</v>
      </c>
      <c r="C473" s="534">
        <v>168022</v>
      </c>
      <c r="D473" s="534">
        <v>15639086</v>
      </c>
      <c r="E473" s="50" t="s">
        <v>2399</v>
      </c>
      <c r="F473" s="534">
        <v>59</v>
      </c>
      <c r="G473" s="49" t="s">
        <v>2400</v>
      </c>
      <c r="H473" s="49" t="s">
        <v>432</v>
      </c>
      <c r="I473" s="534">
        <v>980532180</v>
      </c>
      <c r="J473" s="49" t="s">
        <v>1209</v>
      </c>
      <c r="K473" s="535">
        <v>46072</v>
      </c>
      <c r="L473" s="49" t="s">
        <v>679</v>
      </c>
      <c r="M473" s="534" t="s">
        <v>230</v>
      </c>
      <c r="N473" s="49" t="s">
        <v>2358</v>
      </c>
      <c r="O473" s="437">
        <v>46083</v>
      </c>
      <c r="P473" s="546" t="s">
        <v>292</v>
      </c>
      <c r="Q473" s="802">
        <v>46082</v>
      </c>
      <c r="R473" s="566" t="s">
        <v>242</v>
      </c>
      <c r="S473" s="49"/>
      <c r="T473" s="49"/>
      <c r="U473" s="49"/>
      <c r="V473" s="49"/>
      <c r="W473" s="49"/>
      <c r="X473" s="49"/>
      <c r="Y473" s="49"/>
      <c r="Z473" s="49"/>
      <c r="AA473" s="49"/>
      <c r="AB473" s="49"/>
      <c r="AC473" s="49"/>
      <c r="AD473" s="91"/>
      <c r="AE473" s="91"/>
      <c r="AF473" s="91"/>
      <c r="AG473" s="91"/>
    </row>
    <row r="474" spans="1:33">
      <c r="A474" s="534"/>
      <c r="B474" s="534">
        <v>472</v>
      </c>
      <c r="C474" s="534">
        <v>102774</v>
      </c>
      <c r="D474" s="534">
        <v>41150538</v>
      </c>
      <c r="E474" s="50" t="s">
        <v>2401</v>
      </c>
      <c r="F474" s="534">
        <v>43</v>
      </c>
      <c r="G474" s="49" t="s">
        <v>2402</v>
      </c>
      <c r="H474" s="49" t="s">
        <v>278</v>
      </c>
      <c r="I474" s="534">
        <v>940620791</v>
      </c>
      <c r="J474" s="49" t="s">
        <v>223</v>
      </c>
      <c r="K474" s="535">
        <v>46072</v>
      </c>
      <c r="L474" s="49" t="s">
        <v>458</v>
      </c>
      <c r="M474" s="534" t="s">
        <v>260</v>
      </c>
      <c r="N474" s="49" t="s">
        <v>241</v>
      </c>
      <c r="O474" s="437">
        <v>46083</v>
      </c>
      <c r="P474" s="539" t="s">
        <v>292</v>
      </c>
      <c r="Q474" s="802">
        <v>46082</v>
      </c>
      <c r="R474" s="806" t="s">
        <v>228</v>
      </c>
      <c r="S474" s="49"/>
      <c r="T474" s="49"/>
      <c r="U474" s="49"/>
      <c r="V474" s="49"/>
      <c r="W474" s="49"/>
      <c r="X474" s="49"/>
      <c r="Y474" s="49"/>
      <c r="Z474" s="49"/>
      <c r="AA474" s="49"/>
      <c r="AB474" s="49"/>
      <c r="AC474" s="49"/>
      <c r="AD474" s="91"/>
      <c r="AE474" s="91"/>
      <c r="AF474" s="91"/>
      <c r="AG474" s="91"/>
    </row>
    <row r="475" spans="1:33">
      <c r="A475" s="534"/>
      <c r="B475" s="534">
        <v>473</v>
      </c>
      <c r="C475" s="534">
        <v>107496</v>
      </c>
      <c r="D475" s="534">
        <v>41457359</v>
      </c>
      <c r="E475" s="50" t="s">
        <v>2403</v>
      </c>
      <c r="F475" s="534">
        <v>43</v>
      </c>
      <c r="G475" s="49" t="s">
        <v>2404</v>
      </c>
      <c r="H475" s="49" t="s">
        <v>432</v>
      </c>
      <c r="I475" s="534">
        <v>918104012</v>
      </c>
      <c r="J475" s="49" t="s">
        <v>1209</v>
      </c>
      <c r="K475" s="535">
        <v>46072</v>
      </c>
      <c r="L475" s="49" t="s">
        <v>458</v>
      </c>
      <c r="M475" s="534" t="s">
        <v>260</v>
      </c>
      <c r="N475" s="49" t="s">
        <v>241</v>
      </c>
      <c r="O475" s="437">
        <v>46083</v>
      </c>
      <c r="P475" s="546" t="s">
        <v>292</v>
      </c>
      <c r="Q475" s="816" t="s">
        <v>334</v>
      </c>
      <c r="R475" s="566"/>
      <c r="S475" s="49"/>
      <c r="T475" s="49"/>
      <c r="U475" s="49"/>
      <c r="V475" s="49"/>
      <c r="W475" s="49"/>
      <c r="X475" s="49"/>
      <c r="Y475" s="49"/>
      <c r="Z475" s="49"/>
      <c r="AA475" s="49"/>
      <c r="AB475" s="49"/>
      <c r="AC475" s="49"/>
      <c r="AD475" s="91"/>
      <c r="AE475" s="91"/>
      <c r="AF475" s="91"/>
      <c r="AG475" s="91"/>
    </row>
    <row r="476" spans="1:33">
      <c r="A476" s="534"/>
      <c r="B476" s="534">
        <v>474</v>
      </c>
      <c r="C476" s="534">
        <v>235947</v>
      </c>
      <c r="D476" s="534">
        <v>40712090</v>
      </c>
      <c r="E476" s="50" t="s">
        <v>2405</v>
      </c>
      <c r="F476" s="534">
        <v>45</v>
      </c>
      <c r="G476" s="49" t="s">
        <v>2406</v>
      </c>
      <c r="H476" s="49" t="s">
        <v>288</v>
      </c>
      <c r="I476" s="534">
        <v>940086651</v>
      </c>
      <c r="J476" s="49" t="s">
        <v>289</v>
      </c>
      <c r="K476" s="535">
        <v>46072</v>
      </c>
      <c r="L476" s="49" t="s">
        <v>2407</v>
      </c>
      <c r="M476" s="534" t="s">
        <v>260</v>
      </c>
      <c r="N476" s="49" t="s">
        <v>241</v>
      </c>
      <c r="O476" s="437">
        <v>46083</v>
      </c>
      <c r="P476" s="546" t="s">
        <v>292</v>
      </c>
      <c r="Q476" s="820" t="s">
        <v>1809</v>
      </c>
      <c r="R476" s="566"/>
      <c r="S476" s="49"/>
      <c r="T476" s="49"/>
      <c r="U476" s="49"/>
      <c r="V476" s="49"/>
      <c r="W476" s="49"/>
      <c r="X476" s="49"/>
      <c r="Y476" s="49"/>
      <c r="Z476" s="49"/>
      <c r="AA476" s="49"/>
      <c r="AB476" s="49"/>
      <c r="AC476" s="49"/>
      <c r="AD476" s="91"/>
      <c r="AE476" s="91"/>
      <c r="AF476" s="91"/>
      <c r="AG476" s="91"/>
    </row>
    <row r="477" spans="1:33">
      <c r="A477" s="534"/>
      <c r="B477" s="534">
        <v>475</v>
      </c>
      <c r="C477" s="534">
        <v>330714</v>
      </c>
      <c r="D477" s="534">
        <v>42502033</v>
      </c>
      <c r="E477" s="50" t="s">
        <v>2408</v>
      </c>
      <c r="F477" s="534">
        <v>41</v>
      </c>
      <c r="G477" s="49" t="s">
        <v>2409</v>
      </c>
      <c r="H477" s="49" t="s">
        <v>301</v>
      </c>
      <c r="I477" s="534">
        <v>992235900</v>
      </c>
      <c r="J477" s="49" t="s">
        <v>707</v>
      </c>
      <c r="K477" s="535">
        <v>46072</v>
      </c>
      <c r="L477" s="49" t="s">
        <v>2410</v>
      </c>
      <c r="M477" s="534" t="s">
        <v>260</v>
      </c>
      <c r="N477" s="49" t="s">
        <v>2411</v>
      </c>
      <c r="O477" s="437">
        <v>46083</v>
      </c>
      <c r="P477" s="539" t="s">
        <v>292</v>
      </c>
      <c r="Q477" s="821" t="s">
        <v>339</v>
      </c>
      <c r="R477" s="566"/>
      <c r="S477" s="49"/>
      <c r="T477" s="49"/>
      <c r="U477" s="49"/>
      <c r="V477" s="49"/>
      <c r="W477" s="49"/>
      <c r="X477" s="49"/>
      <c r="Y477" s="49"/>
      <c r="Z477" s="49"/>
      <c r="AA477" s="49"/>
      <c r="AB477" s="49"/>
      <c r="AC477" s="49"/>
      <c r="AD477" s="91"/>
      <c r="AE477" s="91"/>
      <c r="AF477" s="91"/>
      <c r="AG477" s="91"/>
    </row>
    <row r="478" spans="1:33">
      <c r="A478" s="534"/>
      <c r="B478" s="534">
        <v>476</v>
      </c>
      <c r="C478" s="534">
        <v>131202</v>
      </c>
      <c r="D478" s="534">
        <v>15603781</v>
      </c>
      <c r="E478" s="50" t="s">
        <v>2412</v>
      </c>
      <c r="F478" s="534">
        <v>65</v>
      </c>
      <c r="G478" s="49" t="s">
        <v>2413</v>
      </c>
      <c r="H478" s="49" t="s">
        <v>246</v>
      </c>
      <c r="I478" s="534">
        <v>992235900</v>
      </c>
      <c r="J478" s="49" t="s">
        <v>707</v>
      </c>
      <c r="K478" s="535">
        <v>46072</v>
      </c>
      <c r="L478" s="49" t="s">
        <v>2414</v>
      </c>
      <c r="M478" s="534" t="s">
        <v>312</v>
      </c>
      <c r="N478" s="49" t="s">
        <v>1676</v>
      </c>
      <c r="O478" s="437">
        <v>46083</v>
      </c>
      <c r="P478" s="539" t="s">
        <v>292</v>
      </c>
      <c r="Q478" s="807">
        <v>46082</v>
      </c>
      <c r="R478" s="566" t="s">
        <v>242</v>
      </c>
      <c r="S478" s="49"/>
      <c r="T478" s="49"/>
      <c r="U478" s="49"/>
      <c r="V478" s="49"/>
      <c r="W478" s="49"/>
      <c r="X478" s="49"/>
      <c r="Y478" s="49"/>
      <c r="Z478" s="49"/>
      <c r="AA478" s="49"/>
      <c r="AB478" s="49"/>
      <c r="AC478" s="49"/>
      <c r="AD478" s="91"/>
      <c r="AE478" s="91"/>
      <c r="AF478" s="91"/>
      <c r="AG478" s="91"/>
    </row>
    <row r="479" spans="1:33">
      <c r="A479" s="534"/>
      <c r="B479" s="534">
        <v>477</v>
      </c>
      <c r="C479" s="534">
        <v>523184</v>
      </c>
      <c r="D479" s="534">
        <v>6590069</v>
      </c>
      <c r="E479" s="50" t="s">
        <v>2415</v>
      </c>
      <c r="F479" s="534">
        <v>63</v>
      </c>
      <c r="G479" s="49" t="s">
        <v>2416</v>
      </c>
      <c r="H479" s="49" t="s">
        <v>326</v>
      </c>
      <c r="I479" s="534">
        <v>972039392</v>
      </c>
      <c r="J479" s="49" t="s">
        <v>375</v>
      </c>
      <c r="K479" s="535">
        <v>46072</v>
      </c>
      <c r="L479" s="49" t="s">
        <v>1163</v>
      </c>
      <c r="M479" s="534" t="s">
        <v>230</v>
      </c>
      <c r="N479" s="49" t="s">
        <v>1199</v>
      </c>
      <c r="O479" s="437">
        <v>46087</v>
      </c>
      <c r="P479" s="546" t="s">
        <v>2062</v>
      </c>
      <c r="Q479" s="807">
        <v>46082</v>
      </c>
      <c r="R479" s="566" t="s">
        <v>318</v>
      </c>
      <c r="S479" s="49"/>
      <c r="T479" s="49"/>
      <c r="U479" s="49"/>
      <c r="V479" s="49"/>
      <c r="W479" s="49"/>
      <c r="X479" s="49"/>
      <c r="Y479" s="49"/>
      <c r="Z479" s="49"/>
      <c r="AA479" s="49"/>
      <c r="AB479" s="49"/>
      <c r="AC479" s="49"/>
      <c r="AD479" s="91"/>
      <c r="AE479" s="91"/>
      <c r="AF479" s="91"/>
      <c r="AG479" s="91"/>
    </row>
    <row r="480" spans="1:33">
      <c r="A480" s="534"/>
      <c r="B480" s="534">
        <v>478</v>
      </c>
      <c r="C480" s="534">
        <v>237980</v>
      </c>
      <c r="D480" s="534">
        <v>80616400</v>
      </c>
      <c r="E480" s="50" t="s">
        <v>2417</v>
      </c>
      <c r="F480" s="534">
        <v>46</v>
      </c>
      <c r="G480" s="49" t="s">
        <v>2418</v>
      </c>
      <c r="H480" s="49" t="s">
        <v>432</v>
      </c>
      <c r="I480" s="534">
        <v>945218466</v>
      </c>
      <c r="J480" s="49" t="s">
        <v>588</v>
      </c>
      <c r="K480" s="535">
        <v>46072</v>
      </c>
      <c r="L480" s="49" t="s">
        <v>2419</v>
      </c>
      <c r="M480" s="534" t="s">
        <v>260</v>
      </c>
      <c r="N480" s="49" t="s">
        <v>241</v>
      </c>
      <c r="O480" s="437">
        <v>46083</v>
      </c>
      <c r="P480" s="546" t="s">
        <v>292</v>
      </c>
      <c r="Q480" s="807">
        <v>46082</v>
      </c>
      <c r="R480" s="808">
        <v>46082</v>
      </c>
      <c r="S480" s="49"/>
      <c r="T480" s="49"/>
      <c r="U480" s="49"/>
      <c r="V480" s="49"/>
      <c r="W480" s="49"/>
      <c r="X480" s="49"/>
      <c r="Y480" s="49"/>
      <c r="Z480" s="49"/>
      <c r="AA480" s="49"/>
      <c r="AB480" s="49"/>
      <c r="AC480" s="49"/>
      <c r="AD480" s="91"/>
      <c r="AE480" s="91"/>
      <c r="AF480" s="91"/>
      <c r="AG480" s="91"/>
    </row>
    <row r="481" spans="1:33">
      <c r="A481" s="534"/>
      <c r="B481" s="534">
        <v>479</v>
      </c>
      <c r="C481" s="534">
        <v>55961</v>
      </c>
      <c r="D481" s="534">
        <v>40177067</v>
      </c>
      <c r="E481" s="50" t="s">
        <v>2420</v>
      </c>
      <c r="F481" s="534">
        <v>51</v>
      </c>
      <c r="G481" s="49" t="s">
        <v>2421</v>
      </c>
      <c r="H481" s="49" t="s">
        <v>2422</v>
      </c>
      <c r="I481" s="534">
        <v>941133941</v>
      </c>
      <c r="J481" s="49" t="s">
        <v>588</v>
      </c>
      <c r="K481" s="535">
        <v>46072</v>
      </c>
      <c r="L481" s="49" t="s">
        <v>2423</v>
      </c>
      <c r="M481" s="534" t="s">
        <v>230</v>
      </c>
      <c r="N481" s="49" t="s">
        <v>601</v>
      </c>
      <c r="O481" s="437">
        <v>46083</v>
      </c>
      <c r="P481" s="546" t="s">
        <v>292</v>
      </c>
      <c r="Q481" s="813" t="s">
        <v>339</v>
      </c>
      <c r="R481" s="566"/>
      <c r="S481" s="49"/>
      <c r="T481" s="49"/>
      <c r="U481" s="49"/>
      <c r="V481" s="49"/>
      <c r="W481" s="49"/>
      <c r="X481" s="49"/>
      <c r="Y481" s="49"/>
      <c r="Z481" s="49"/>
      <c r="AA481" s="49"/>
      <c r="AB481" s="49"/>
      <c r="AC481" s="49"/>
      <c r="AD481" s="91"/>
      <c r="AE481" s="91"/>
      <c r="AF481" s="91"/>
      <c r="AG481" s="91"/>
    </row>
    <row r="482" spans="1:33">
      <c r="A482" s="534"/>
      <c r="B482" s="534">
        <v>480</v>
      </c>
      <c r="C482" s="534">
        <v>348320</v>
      </c>
      <c r="D482" s="534">
        <v>41310779</v>
      </c>
      <c r="E482" s="50" t="s">
        <v>2424</v>
      </c>
      <c r="F482" s="534">
        <v>44</v>
      </c>
      <c r="G482" s="49" t="s">
        <v>2425</v>
      </c>
      <c r="H482" s="49" t="s">
        <v>301</v>
      </c>
      <c r="I482" s="534">
        <v>938242966</v>
      </c>
      <c r="J482" s="49" t="s">
        <v>380</v>
      </c>
      <c r="K482" s="535">
        <v>46072</v>
      </c>
      <c r="L482" s="49" t="s">
        <v>2426</v>
      </c>
      <c r="M482" s="534" t="s">
        <v>260</v>
      </c>
      <c r="N482" s="49" t="s">
        <v>241</v>
      </c>
      <c r="O482" s="437">
        <v>46093</v>
      </c>
      <c r="P482" s="546" t="s">
        <v>1873</v>
      </c>
      <c r="Q482" s="813" t="s">
        <v>339</v>
      </c>
      <c r="R482" s="566"/>
      <c r="S482" s="49"/>
      <c r="T482" s="49"/>
      <c r="U482" s="49"/>
      <c r="V482" s="49"/>
      <c r="W482" s="49"/>
      <c r="X482" s="49"/>
      <c r="Y482" s="49"/>
      <c r="Z482" s="49"/>
      <c r="AA482" s="49"/>
      <c r="AB482" s="49"/>
      <c r="AC482" s="49"/>
      <c r="AD482" s="91"/>
      <c r="AE482" s="91"/>
      <c r="AF482" s="91"/>
      <c r="AG482" s="91"/>
    </row>
    <row r="483" spans="1:33">
      <c r="A483" s="534"/>
      <c r="B483" s="534">
        <v>481</v>
      </c>
      <c r="C483" s="534">
        <v>523182</v>
      </c>
      <c r="D483" s="534">
        <v>42926948</v>
      </c>
      <c r="E483" s="50" t="s">
        <v>2427</v>
      </c>
      <c r="F483" s="534">
        <v>45</v>
      </c>
      <c r="G483" s="49" t="s">
        <v>2428</v>
      </c>
      <c r="H483" s="49" t="s">
        <v>278</v>
      </c>
      <c r="I483" s="534">
        <v>939313171</v>
      </c>
      <c r="J483" s="49" t="s">
        <v>223</v>
      </c>
      <c r="K483" s="535">
        <v>46072</v>
      </c>
      <c r="L483" s="49" t="s">
        <v>584</v>
      </c>
      <c r="M483" s="534" t="s">
        <v>230</v>
      </c>
      <c r="N483" s="49" t="s">
        <v>241</v>
      </c>
      <c r="O483" s="437">
        <v>46083</v>
      </c>
      <c r="P483" s="539" t="s">
        <v>292</v>
      </c>
      <c r="Q483" s="802">
        <v>46082</v>
      </c>
      <c r="R483" s="566" t="s">
        <v>242</v>
      </c>
      <c r="S483" s="49"/>
      <c r="T483" s="49"/>
      <c r="U483" s="49"/>
      <c r="V483" s="49"/>
      <c r="W483" s="49"/>
      <c r="X483" s="49"/>
      <c r="Y483" s="49"/>
      <c r="Z483" s="49"/>
      <c r="AA483" s="49"/>
      <c r="AB483" s="49"/>
      <c r="AC483" s="49"/>
      <c r="AD483" s="91"/>
      <c r="AE483" s="91"/>
      <c r="AF483" s="91"/>
      <c r="AG483" s="91"/>
    </row>
    <row r="484" spans="1:33">
      <c r="A484" s="534"/>
      <c r="B484" s="534">
        <v>482</v>
      </c>
      <c r="C484" s="534">
        <v>155132</v>
      </c>
      <c r="D484" s="534">
        <v>15760926</v>
      </c>
      <c r="E484" s="50" t="s">
        <v>2429</v>
      </c>
      <c r="F484" s="534">
        <v>48</v>
      </c>
      <c r="G484" s="49" t="s">
        <v>763</v>
      </c>
      <c r="H484" s="49" t="s">
        <v>246</v>
      </c>
      <c r="I484" s="534">
        <v>940908463</v>
      </c>
      <c r="J484" s="49" t="s">
        <v>707</v>
      </c>
      <c r="K484" s="535">
        <v>46072</v>
      </c>
      <c r="L484" s="49" t="s">
        <v>2430</v>
      </c>
      <c r="M484" s="534" t="s">
        <v>312</v>
      </c>
      <c r="N484" s="49" t="s">
        <v>317</v>
      </c>
      <c r="O484" s="437">
        <v>46083</v>
      </c>
      <c r="P484" s="539" t="s">
        <v>292</v>
      </c>
      <c r="Q484" s="807">
        <v>46082</v>
      </c>
      <c r="R484" s="566" t="s">
        <v>318</v>
      </c>
      <c r="S484" s="49"/>
      <c r="T484" s="49"/>
      <c r="U484" s="49"/>
      <c r="V484" s="49"/>
      <c r="W484" s="49"/>
      <c r="X484" s="49"/>
      <c r="Y484" s="49"/>
      <c r="Z484" s="49"/>
      <c r="AA484" s="49"/>
      <c r="AB484" s="49"/>
      <c r="AC484" s="49"/>
      <c r="AD484" s="91"/>
      <c r="AE484" s="91"/>
      <c r="AF484" s="91"/>
      <c r="AG484" s="91"/>
    </row>
    <row r="485" spans="1:33">
      <c r="A485" s="534"/>
      <c r="B485" s="534">
        <v>483</v>
      </c>
      <c r="C485" s="534">
        <v>345457</v>
      </c>
      <c r="D485" s="534">
        <v>15736836</v>
      </c>
      <c r="E485" s="50" t="s">
        <v>2431</v>
      </c>
      <c r="F485" s="534">
        <v>51</v>
      </c>
      <c r="G485" s="49" t="s">
        <v>2432</v>
      </c>
      <c r="H485" s="49" t="s">
        <v>246</v>
      </c>
      <c r="I485" s="534">
        <v>972292844</v>
      </c>
      <c r="J485" s="49" t="s">
        <v>707</v>
      </c>
      <c r="K485" s="535">
        <v>46072</v>
      </c>
      <c r="L485" s="49" t="s">
        <v>2433</v>
      </c>
      <c r="M485" s="534" t="s">
        <v>312</v>
      </c>
      <c r="N485" s="49" t="s">
        <v>1676</v>
      </c>
      <c r="O485" s="437">
        <v>46083</v>
      </c>
      <c r="P485" s="539" t="s">
        <v>292</v>
      </c>
      <c r="Q485" s="807">
        <v>46082</v>
      </c>
      <c r="R485" s="566" t="s">
        <v>242</v>
      </c>
      <c r="S485" s="49"/>
      <c r="T485" s="49"/>
      <c r="U485" s="49"/>
      <c r="V485" s="49"/>
      <c r="W485" s="49"/>
      <c r="X485" s="49"/>
      <c r="Y485" s="49"/>
      <c r="Z485" s="49"/>
      <c r="AA485" s="49"/>
      <c r="AB485" s="49"/>
      <c r="AC485" s="49"/>
      <c r="AD485" s="91"/>
      <c r="AE485" s="91"/>
      <c r="AF485" s="91"/>
      <c r="AG485" s="91"/>
    </row>
    <row r="486" spans="1:33">
      <c r="A486" s="534"/>
      <c r="B486" s="534">
        <v>484</v>
      </c>
      <c r="C486" s="534">
        <v>47912</v>
      </c>
      <c r="D486" s="534">
        <v>15736501</v>
      </c>
      <c r="E486" s="50" t="s">
        <v>2434</v>
      </c>
      <c r="F486" s="534">
        <v>51</v>
      </c>
      <c r="G486" s="49" t="s">
        <v>2435</v>
      </c>
      <c r="H486" s="49" t="s">
        <v>278</v>
      </c>
      <c r="I486" s="534">
        <v>987918562</v>
      </c>
      <c r="J486" s="49" t="s">
        <v>238</v>
      </c>
      <c r="K486" s="535">
        <v>46072</v>
      </c>
      <c r="L486" s="49" t="s">
        <v>1908</v>
      </c>
      <c r="M486" s="534" t="s">
        <v>312</v>
      </c>
      <c r="N486" s="49" t="s">
        <v>1676</v>
      </c>
      <c r="O486" s="441">
        <v>46083</v>
      </c>
      <c r="P486" s="546"/>
      <c r="Q486" s="546" t="s">
        <v>1667</v>
      </c>
      <c r="R486" s="566"/>
      <c r="S486" s="49"/>
      <c r="T486" s="49"/>
      <c r="U486" s="49"/>
      <c r="V486" s="49"/>
      <c r="W486" s="49"/>
      <c r="X486" s="49"/>
      <c r="Y486" s="49"/>
      <c r="Z486" s="49"/>
      <c r="AA486" s="49"/>
      <c r="AB486" s="49"/>
      <c r="AC486" s="49"/>
      <c r="AD486" s="91"/>
      <c r="AE486" s="91"/>
      <c r="AF486" s="91"/>
      <c r="AG486" s="91"/>
    </row>
    <row r="487" spans="1:33" ht="24.75">
      <c r="A487" s="552" t="s">
        <v>2436</v>
      </c>
      <c r="B487" s="534">
        <v>485</v>
      </c>
      <c r="C487" s="534">
        <v>147203</v>
      </c>
      <c r="D487" s="534">
        <v>15648728</v>
      </c>
      <c r="E487" s="50" t="s">
        <v>2437</v>
      </c>
      <c r="F487" s="534">
        <v>56</v>
      </c>
      <c r="G487" s="49" t="s">
        <v>2438</v>
      </c>
      <c r="H487" s="49" t="s">
        <v>326</v>
      </c>
      <c r="I487" s="534">
        <v>993608773</v>
      </c>
      <c r="J487" s="49" t="s">
        <v>827</v>
      </c>
      <c r="K487" s="535">
        <v>46073</v>
      </c>
      <c r="L487" s="49" t="s">
        <v>916</v>
      </c>
      <c r="M487" s="534" t="s">
        <v>230</v>
      </c>
      <c r="N487" s="49" t="s">
        <v>1199</v>
      </c>
      <c r="O487" s="437">
        <v>46104</v>
      </c>
      <c r="P487" s="546" t="s">
        <v>1798</v>
      </c>
      <c r="Q487" s="802">
        <v>46082</v>
      </c>
      <c r="R487" s="566" t="s">
        <v>318</v>
      </c>
      <c r="S487" s="49"/>
      <c r="T487" s="49"/>
      <c r="U487" s="49"/>
      <c r="V487" s="49"/>
      <c r="W487" s="49"/>
      <c r="X487" s="49"/>
      <c r="Y487" s="49"/>
      <c r="Z487" s="49"/>
      <c r="AA487" s="49"/>
      <c r="AB487" s="49"/>
      <c r="AC487" s="49"/>
      <c r="AD487" s="91"/>
      <c r="AE487" s="91"/>
      <c r="AF487" s="91"/>
      <c r="AG487" s="91"/>
    </row>
    <row r="488" spans="1:33">
      <c r="A488" s="534"/>
      <c r="B488" s="534">
        <v>486</v>
      </c>
      <c r="C488" s="534">
        <v>242117</v>
      </c>
      <c r="D488" s="534">
        <v>15583674</v>
      </c>
      <c r="E488" s="50" t="s">
        <v>2439</v>
      </c>
      <c r="F488" s="534">
        <v>59</v>
      </c>
      <c r="G488" s="49" t="s">
        <v>2440</v>
      </c>
      <c r="H488" s="49" t="s">
        <v>222</v>
      </c>
      <c r="I488" s="534">
        <v>994822972</v>
      </c>
      <c r="J488" s="49" t="s">
        <v>707</v>
      </c>
      <c r="K488" s="535">
        <v>46073</v>
      </c>
      <c r="L488" s="49" t="s">
        <v>2441</v>
      </c>
      <c r="M488" s="534" t="s">
        <v>260</v>
      </c>
      <c r="N488" s="49" t="s">
        <v>2362</v>
      </c>
      <c r="O488" s="437">
        <v>46083</v>
      </c>
      <c r="P488" s="539" t="s">
        <v>292</v>
      </c>
      <c r="Q488" s="813" t="s">
        <v>339</v>
      </c>
      <c r="R488" s="566"/>
      <c r="S488" s="49"/>
      <c r="T488" s="49"/>
      <c r="U488" s="49"/>
      <c r="V488" s="49"/>
      <c r="W488" s="49"/>
      <c r="X488" s="49"/>
      <c r="Y488" s="49"/>
      <c r="Z488" s="49"/>
      <c r="AA488" s="49"/>
      <c r="AB488" s="49"/>
      <c r="AC488" s="49"/>
      <c r="AD488" s="91"/>
      <c r="AE488" s="91"/>
      <c r="AF488" s="91"/>
      <c r="AG488" s="91"/>
    </row>
    <row r="489" spans="1:33">
      <c r="A489" s="534"/>
      <c r="B489" s="534">
        <v>487</v>
      </c>
      <c r="C489" s="534">
        <v>63946</v>
      </c>
      <c r="D489" s="534">
        <v>15759713</v>
      </c>
      <c r="E489" s="50" t="s">
        <v>2442</v>
      </c>
      <c r="F489" s="534">
        <v>52</v>
      </c>
      <c r="G489" s="49" t="s">
        <v>2443</v>
      </c>
      <c r="H489" s="49" t="s">
        <v>278</v>
      </c>
      <c r="I489" s="534">
        <v>9106243381</v>
      </c>
      <c r="J489" s="49" t="s">
        <v>384</v>
      </c>
      <c r="K489" s="535">
        <v>46072</v>
      </c>
      <c r="L489" s="49" t="s">
        <v>2444</v>
      </c>
      <c r="M489" s="534" t="s">
        <v>260</v>
      </c>
      <c r="N489" s="49" t="s">
        <v>2153</v>
      </c>
      <c r="O489" s="437">
        <v>46086</v>
      </c>
      <c r="P489" s="419" t="s">
        <v>2154</v>
      </c>
      <c r="Q489" s="802">
        <v>46082</v>
      </c>
      <c r="R489" s="808">
        <v>46082</v>
      </c>
      <c r="S489" s="49"/>
      <c r="T489" s="49"/>
      <c r="U489" s="49"/>
      <c r="V489" s="49"/>
      <c r="W489" s="49"/>
      <c r="X489" s="49"/>
      <c r="Y489" s="49"/>
      <c r="Z489" s="49"/>
      <c r="AA489" s="49"/>
      <c r="AB489" s="49"/>
      <c r="AC489" s="49"/>
      <c r="AD489" s="91"/>
      <c r="AE489" s="91"/>
      <c r="AF489" s="91"/>
      <c r="AG489" s="91"/>
    </row>
    <row r="490" spans="1:33">
      <c r="A490" s="534"/>
      <c r="B490" s="534">
        <v>488</v>
      </c>
      <c r="C490" s="534">
        <v>523202</v>
      </c>
      <c r="D490" s="534">
        <v>15964464</v>
      </c>
      <c r="E490" s="50" t="s">
        <v>2445</v>
      </c>
      <c r="F490" s="534">
        <v>66</v>
      </c>
      <c r="G490" s="49" t="s">
        <v>2446</v>
      </c>
      <c r="H490" s="49" t="s">
        <v>301</v>
      </c>
      <c r="I490" s="534">
        <v>953506683</v>
      </c>
      <c r="J490" s="49" t="s">
        <v>162</v>
      </c>
      <c r="K490" s="535">
        <v>46073</v>
      </c>
      <c r="L490" s="49" t="s">
        <v>2447</v>
      </c>
      <c r="M490" s="534" t="s">
        <v>312</v>
      </c>
      <c r="N490" s="49" t="s">
        <v>2358</v>
      </c>
      <c r="O490" s="441">
        <v>46083</v>
      </c>
      <c r="P490" s="546" t="s">
        <v>1330</v>
      </c>
      <c r="Q490" s="471" t="s">
        <v>358</v>
      </c>
      <c r="R490" s="566"/>
      <c r="S490" s="49"/>
      <c r="T490" s="49"/>
      <c r="U490" s="49"/>
      <c r="V490" s="49"/>
      <c r="W490" s="49"/>
      <c r="X490" s="49"/>
      <c r="Y490" s="49"/>
      <c r="Z490" s="49"/>
      <c r="AA490" s="49"/>
      <c r="AB490" s="49"/>
      <c r="AC490" s="49"/>
      <c r="AD490" s="91"/>
      <c r="AE490" s="91"/>
      <c r="AF490" s="91"/>
      <c r="AG490" s="91"/>
    </row>
    <row r="491" spans="1:33">
      <c r="A491" s="534"/>
      <c r="B491" s="534">
        <v>489</v>
      </c>
      <c r="C491" s="534">
        <v>523201</v>
      </c>
      <c r="D491" s="320">
        <v>40117495</v>
      </c>
      <c r="E491" s="50" t="s">
        <v>2448</v>
      </c>
      <c r="F491" s="534">
        <v>48</v>
      </c>
      <c r="G491" s="49" t="s">
        <v>2449</v>
      </c>
      <c r="H491" s="49" t="s">
        <v>271</v>
      </c>
      <c r="I491" s="534">
        <v>915962671</v>
      </c>
      <c r="J491" s="49" t="s">
        <v>1804</v>
      </c>
      <c r="K491" s="535">
        <v>46073</v>
      </c>
      <c r="L491" s="49" t="s">
        <v>1098</v>
      </c>
      <c r="M491" s="534" t="s">
        <v>230</v>
      </c>
      <c r="N491" s="49" t="s">
        <v>2358</v>
      </c>
      <c r="O491" s="441">
        <v>46083</v>
      </c>
      <c r="P491" s="546" t="s">
        <v>1812</v>
      </c>
      <c r="Q491" s="471" t="s">
        <v>358</v>
      </c>
      <c r="R491" s="566"/>
      <c r="S491" s="49"/>
      <c r="T491" s="49"/>
      <c r="U491" s="49"/>
      <c r="V491" s="49"/>
      <c r="W491" s="49"/>
      <c r="X491" s="49"/>
      <c r="Y491" s="49"/>
      <c r="Z491" s="49"/>
      <c r="AA491" s="49"/>
      <c r="AB491" s="49"/>
      <c r="AC491" s="49"/>
      <c r="AD491" s="91"/>
      <c r="AE491" s="91"/>
      <c r="AF491" s="91"/>
      <c r="AG491" s="91"/>
    </row>
    <row r="492" spans="1:33">
      <c r="A492" s="540" t="s">
        <v>513</v>
      </c>
      <c r="B492" s="534">
        <v>490</v>
      </c>
      <c r="C492" s="534">
        <v>64700</v>
      </c>
      <c r="D492" s="534">
        <v>15739950</v>
      </c>
      <c r="E492" s="50" t="s">
        <v>2450</v>
      </c>
      <c r="F492" s="534">
        <v>49</v>
      </c>
      <c r="G492" s="49" t="s">
        <v>2451</v>
      </c>
      <c r="H492" s="49" t="s">
        <v>278</v>
      </c>
      <c r="I492" s="534">
        <v>923992881</v>
      </c>
      <c r="J492" s="49" t="s">
        <v>384</v>
      </c>
      <c r="K492" s="535">
        <v>46072</v>
      </c>
      <c r="L492" s="49" t="s">
        <v>2452</v>
      </c>
      <c r="M492" s="534" t="s">
        <v>260</v>
      </c>
      <c r="N492" s="49" t="s">
        <v>241</v>
      </c>
      <c r="O492" s="437">
        <v>46086</v>
      </c>
      <c r="P492" s="419" t="s">
        <v>2154</v>
      </c>
      <c r="Q492" s="802">
        <v>46082</v>
      </c>
      <c r="R492" s="808">
        <v>46082</v>
      </c>
      <c r="S492" s="49"/>
      <c r="T492" s="49"/>
      <c r="U492" s="49"/>
      <c r="V492" s="49"/>
      <c r="W492" s="49"/>
      <c r="X492" s="49"/>
      <c r="Y492" s="49"/>
      <c r="Z492" s="49"/>
      <c r="AA492" s="49"/>
      <c r="AB492" s="49"/>
      <c r="AC492" s="49"/>
      <c r="AD492" s="91"/>
      <c r="AE492" s="91"/>
      <c r="AF492" s="91"/>
      <c r="AG492" s="91"/>
    </row>
    <row r="493" spans="1:33">
      <c r="A493" s="534"/>
      <c r="B493" s="534">
        <v>491</v>
      </c>
      <c r="C493" s="534">
        <v>296282</v>
      </c>
      <c r="D493" s="534">
        <v>43692025</v>
      </c>
      <c r="E493" s="50" t="s">
        <v>2453</v>
      </c>
      <c r="F493" s="534">
        <v>40</v>
      </c>
      <c r="G493" s="49" t="s">
        <v>2454</v>
      </c>
      <c r="H493" s="49" t="s">
        <v>301</v>
      </c>
      <c r="I493" s="534">
        <v>923133880</v>
      </c>
      <c r="J493" s="49" t="s">
        <v>302</v>
      </c>
      <c r="K493" s="535">
        <v>46073</v>
      </c>
      <c r="L493" s="49" t="s">
        <v>458</v>
      </c>
      <c r="M493" s="534" t="s">
        <v>260</v>
      </c>
      <c r="N493" s="49" t="s">
        <v>241</v>
      </c>
      <c r="O493" s="437">
        <v>46086</v>
      </c>
      <c r="P493" s="546" t="s">
        <v>2169</v>
      </c>
      <c r="Q493" s="813" t="s">
        <v>339</v>
      </c>
      <c r="R493" s="566"/>
      <c r="S493" s="49"/>
      <c r="T493" s="49"/>
      <c r="U493" s="49"/>
      <c r="V493" s="49"/>
      <c r="W493" s="49"/>
      <c r="X493" s="49"/>
      <c r="Y493" s="49"/>
      <c r="Z493" s="49"/>
      <c r="AA493" s="49"/>
      <c r="AB493" s="49"/>
      <c r="AC493" s="49"/>
      <c r="AD493" s="91"/>
      <c r="AE493" s="91"/>
      <c r="AF493" s="91"/>
      <c r="AG493" s="91"/>
    </row>
    <row r="494" spans="1:33">
      <c r="A494" s="534"/>
      <c r="B494" s="534">
        <v>492</v>
      </c>
      <c r="C494" s="534">
        <v>232532</v>
      </c>
      <c r="D494" s="534">
        <v>42502050</v>
      </c>
      <c r="E494" s="50" t="s">
        <v>2455</v>
      </c>
      <c r="F494" s="534">
        <v>42</v>
      </c>
      <c r="G494" s="49" t="s">
        <v>2456</v>
      </c>
      <c r="H494" s="49" t="s">
        <v>1217</v>
      </c>
      <c r="I494" s="534">
        <v>963974134</v>
      </c>
      <c r="J494" s="49" t="s">
        <v>238</v>
      </c>
      <c r="K494" s="535">
        <v>46073</v>
      </c>
      <c r="L494" s="49" t="s">
        <v>2457</v>
      </c>
      <c r="M494" s="534" t="s">
        <v>260</v>
      </c>
      <c r="N494" s="49" t="s">
        <v>241</v>
      </c>
      <c r="O494" s="441">
        <v>46083</v>
      </c>
      <c r="P494" s="546"/>
      <c r="Q494" s="634"/>
      <c r="R494" s="566"/>
      <c r="S494" s="49"/>
      <c r="T494" s="49"/>
      <c r="U494" s="49"/>
      <c r="V494" s="49"/>
      <c r="W494" s="49"/>
      <c r="X494" s="49"/>
      <c r="Y494" s="49"/>
      <c r="Z494" s="49"/>
      <c r="AA494" s="49"/>
      <c r="AB494" s="49"/>
      <c r="AC494" s="49"/>
      <c r="AD494" s="91"/>
      <c r="AE494" s="91"/>
      <c r="AF494" s="91"/>
      <c r="AG494" s="91"/>
    </row>
    <row r="495" spans="1:33">
      <c r="A495" s="534"/>
      <c r="B495" s="534">
        <v>493</v>
      </c>
      <c r="C495" s="534">
        <v>379816</v>
      </c>
      <c r="D495" s="534">
        <v>15653888</v>
      </c>
      <c r="E495" s="50" t="s">
        <v>2458</v>
      </c>
      <c r="F495" s="534">
        <v>66</v>
      </c>
      <c r="G495" s="49" t="s">
        <v>2456</v>
      </c>
      <c r="H495" s="49" t="s">
        <v>1217</v>
      </c>
      <c r="I495" s="534">
        <v>963974134</v>
      </c>
      <c r="J495" s="49" t="s">
        <v>238</v>
      </c>
      <c r="K495" s="535">
        <v>46073</v>
      </c>
      <c r="L495" s="49" t="s">
        <v>683</v>
      </c>
      <c r="M495" s="534" t="s">
        <v>312</v>
      </c>
      <c r="N495" s="49" t="s">
        <v>807</v>
      </c>
      <c r="O495" s="441">
        <v>46083</v>
      </c>
      <c r="P495" s="546"/>
      <c r="Q495" s="634"/>
      <c r="R495" s="566"/>
      <c r="S495" s="49"/>
      <c r="T495" s="49"/>
      <c r="U495" s="49"/>
      <c r="V495" s="49"/>
      <c r="W495" s="49"/>
      <c r="X495" s="49"/>
      <c r="Y495" s="49"/>
      <c r="Z495" s="49"/>
      <c r="AA495" s="49"/>
      <c r="AB495" s="49"/>
      <c r="AC495" s="49"/>
      <c r="AD495" s="91"/>
      <c r="AE495" s="91"/>
      <c r="AF495" s="91"/>
      <c r="AG495" s="91"/>
    </row>
    <row r="496" spans="1:33">
      <c r="A496" s="534"/>
      <c r="B496" s="534">
        <v>494</v>
      </c>
      <c r="C496" s="534">
        <v>359873</v>
      </c>
      <c r="D496" s="534">
        <v>40894918</v>
      </c>
      <c r="E496" s="50" t="s">
        <v>2459</v>
      </c>
      <c r="F496" s="534">
        <v>45</v>
      </c>
      <c r="G496" s="49" t="s">
        <v>2460</v>
      </c>
      <c r="H496" s="49" t="s">
        <v>2352</v>
      </c>
      <c r="I496" s="534">
        <v>987933315</v>
      </c>
      <c r="J496" s="49" t="s">
        <v>238</v>
      </c>
      <c r="K496" s="535">
        <v>46073</v>
      </c>
      <c r="L496" s="49" t="s">
        <v>2058</v>
      </c>
      <c r="M496" s="534" t="s">
        <v>260</v>
      </c>
      <c r="N496" s="49" t="s">
        <v>241</v>
      </c>
      <c r="O496" s="441">
        <v>46083</v>
      </c>
      <c r="P496" s="546"/>
      <c r="Q496" s="633"/>
      <c r="R496" s="566"/>
      <c r="S496" s="49"/>
      <c r="T496" s="49"/>
      <c r="U496" s="49"/>
      <c r="V496" s="49"/>
      <c r="W496" s="49"/>
      <c r="X496" s="49"/>
      <c r="Y496" s="49"/>
      <c r="Z496" s="49"/>
      <c r="AA496" s="49"/>
      <c r="AB496" s="49"/>
      <c r="AC496" s="49"/>
      <c r="AD496" s="91"/>
      <c r="AE496" s="91"/>
      <c r="AF496" s="91"/>
      <c r="AG496" s="91"/>
    </row>
    <row r="497" spans="1:33">
      <c r="A497" s="534"/>
      <c r="B497" s="534">
        <v>495</v>
      </c>
      <c r="C497" s="534">
        <v>131067</v>
      </c>
      <c r="D497" s="534">
        <v>43228595</v>
      </c>
      <c r="E497" s="50" t="s">
        <v>2461</v>
      </c>
      <c r="F497" s="534">
        <v>40</v>
      </c>
      <c r="G497" s="49" t="s">
        <v>2462</v>
      </c>
      <c r="H497" s="49" t="s">
        <v>301</v>
      </c>
      <c r="I497" s="534">
        <v>902460143</v>
      </c>
      <c r="J497" s="49" t="s">
        <v>302</v>
      </c>
      <c r="K497" s="535">
        <v>46073</v>
      </c>
      <c r="L497" s="49" t="s">
        <v>523</v>
      </c>
      <c r="M497" s="534" t="s">
        <v>230</v>
      </c>
      <c r="N497" s="49" t="s">
        <v>2358</v>
      </c>
      <c r="O497" s="437">
        <v>46086</v>
      </c>
      <c r="P497" s="546" t="s">
        <v>2169</v>
      </c>
      <c r="Q497" s="803" t="s">
        <v>334</v>
      </c>
      <c r="R497" s="566"/>
      <c r="S497" s="49"/>
      <c r="T497" s="49"/>
      <c r="U497" s="49"/>
      <c r="V497" s="49"/>
      <c r="W497" s="49"/>
      <c r="X497" s="49"/>
      <c r="Y497" s="49"/>
      <c r="Z497" s="49"/>
      <c r="AA497" s="49"/>
      <c r="AB497" s="49"/>
      <c r="AC497" s="49"/>
      <c r="AD497" s="91"/>
      <c r="AE497" s="91"/>
      <c r="AF497" s="91"/>
      <c r="AG497" s="91"/>
    </row>
    <row r="498" spans="1:33">
      <c r="A498" s="534"/>
      <c r="B498" s="534">
        <v>496</v>
      </c>
      <c r="C498" s="534">
        <v>523204</v>
      </c>
      <c r="D498" s="534">
        <v>43439122</v>
      </c>
      <c r="E498" s="50" t="s">
        <v>2463</v>
      </c>
      <c r="F498" s="534">
        <v>40</v>
      </c>
      <c r="G498" s="49" t="s">
        <v>2464</v>
      </c>
      <c r="H498" s="49" t="s">
        <v>461</v>
      </c>
      <c r="I498" s="534">
        <v>978607917</v>
      </c>
      <c r="J498" s="49" t="s">
        <v>162</v>
      </c>
      <c r="K498" s="535">
        <v>46073</v>
      </c>
      <c r="L498" s="49" t="s">
        <v>2465</v>
      </c>
      <c r="M498" s="534" t="s">
        <v>260</v>
      </c>
      <c r="N498" s="49" t="s">
        <v>241</v>
      </c>
      <c r="O498" s="441">
        <v>46083</v>
      </c>
      <c r="P498" s="546" t="s">
        <v>1330</v>
      </c>
      <c r="Q498" s="471" t="s">
        <v>358</v>
      </c>
      <c r="R498" s="566"/>
      <c r="S498" s="49"/>
      <c r="T498" s="49"/>
      <c r="U498" s="49"/>
      <c r="V498" s="49"/>
      <c r="W498" s="49"/>
      <c r="X498" s="49"/>
      <c r="Y498" s="49"/>
      <c r="Z498" s="49"/>
      <c r="AA498" s="49"/>
      <c r="AB498" s="49"/>
      <c r="AC498" s="49"/>
      <c r="AD498" s="91"/>
      <c r="AE498" s="91"/>
      <c r="AF498" s="91"/>
      <c r="AG498" s="91"/>
    </row>
    <row r="499" spans="1:33">
      <c r="A499" s="534"/>
      <c r="B499" s="534">
        <v>497</v>
      </c>
      <c r="C499" s="534">
        <v>523205</v>
      </c>
      <c r="D499" s="534">
        <v>16011524</v>
      </c>
      <c r="E499" s="50" t="s">
        <v>2466</v>
      </c>
      <c r="F499" s="534">
        <v>64</v>
      </c>
      <c r="G499" s="49" t="s">
        <v>2467</v>
      </c>
      <c r="H499" s="49" t="s">
        <v>271</v>
      </c>
      <c r="I499" s="534">
        <v>984702334</v>
      </c>
      <c r="J499" s="49" t="s">
        <v>164</v>
      </c>
      <c r="K499" s="535">
        <v>46073</v>
      </c>
      <c r="L499" s="49" t="s">
        <v>2468</v>
      </c>
      <c r="M499" s="534" t="s">
        <v>230</v>
      </c>
      <c r="N499" s="49" t="s">
        <v>317</v>
      </c>
      <c r="O499" s="441">
        <v>46083</v>
      </c>
      <c r="P499" s="414" t="s">
        <v>1630</v>
      </c>
      <c r="Q499" s="471" t="s">
        <v>358</v>
      </c>
      <c r="R499" s="566"/>
      <c r="S499" s="49"/>
      <c r="T499" s="49"/>
      <c r="U499" s="49"/>
      <c r="V499" s="49"/>
      <c r="W499" s="49"/>
      <c r="X499" s="49"/>
      <c r="Y499" s="49"/>
      <c r="Z499" s="49"/>
      <c r="AA499" s="49"/>
      <c r="AB499" s="49"/>
      <c r="AC499" s="49"/>
      <c r="AD499" s="91"/>
      <c r="AE499" s="91"/>
      <c r="AF499" s="91"/>
      <c r="AG499" s="91"/>
    </row>
    <row r="500" spans="1:33">
      <c r="A500" s="534"/>
      <c r="B500" s="534">
        <v>498</v>
      </c>
      <c r="C500" s="534">
        <v>523208</v>
      </c>
      <c r="D500" s="534">
        <v>15985884</v>
      </c>
      <c r="E500" s="50" t="s">
        <v>2469</v>
      </c>
      <c r="F500" s="534">
        <v>68</v>
      </c>
      <c r="G500" s="49" t="s">
        <v>2470</v>
      </c>
      <c r="H500" s="49" t="s">
        <v>271</v>
      </c>
      <c r="I500" s="534">
        <v>951022296</v>
      </c>
      <c r="J500" s="49" t="s">
        <v>164</v>
      </c>
      <c r="K500" s="535">
        <v>46073</v>
      </c>
      <c r="L500" s="49" t="s">
        <v>2471</v>
      </c>
      <c r="M500" s="534" t="s">
        <v>260</v>
      </c>
      <c r="N500" s="49" t="s">
        <v>2358</v>
      </c>
      <c r="O500" s="441">
        <v>46083</v>
      </c>
      <c r="P500" s="414" t="s">
        <v>1630</v>
      </c>
      <c r="Q500" s="471" t="s">
        <v>358</v>
      </c>
      <c r="R500" s="566"/>
      <c r="S500" s="49"/>
      <c r="T500" s="49"/>
      <c r="U500" s="49"/>
      <c r="V500" s="49"/>
      <c r="W500" s="49"/>
      <c r="X500" s="49"/>
      <c r="Y500" s="49"/>
      <c r="Z500" s="49"/>
      <c r="AA500" s="49"/>
      <c r="AB500" s="49"/>
      <c r="AC500" s="49"/>
      <c r="AD500" s="91"/>
      <c r="AE500" s="91"/>
      <c r="AF500" s="91"/>
      <c r="AG500" s="91"/>
    </row>
    <row r="501" spans="1:33">
      <c r="A501" s="534"/>
      <c r="B501" s="534">
        <v>499</v>
      </c>
      <c r="C501" s="534">
        <v>523209</v>
      </c>
      <c r="D501" s="534">
        <v>15648638</v>
      </c>
      <c r="E501" s="50" t="s">
        <v>2472</v>
      </c>
      <c r="F501" s="534">
        <v>55</v>
      </c>
      <c r="G501" s="49" t="s">
        <v>2473</v>
      </c>
      <c r="H501" s="49" t="s">
        <v>222</v>
      </c>
      <c r="I501" s="534">
        <v>933960761</v>
      </c>
      <c r="J501" s="49" t="s">
        <v>238</v>
      </c>
      <c r="K501" s="535">
        <v>46073</v>
      </c>
      <c r="L501" s="49" t="s">
        <v>845</v>
      </c>
      <c r="M501" s="534" t="s">
        <v>260</v>
      </c>
      <c r="N501" s="49" t="s">
        <v>241</v>
      </c>
      <c r="O501" s="441">
        <v>46083</v>
      </c>
      <c r="P501" s="546"/>
      <c r="Q501" s="634"/>
      <c r="R501" s="566"/>
      <c r="S501" s="49"/>
      <c r="T501" s="49"/>
      <c r="U501" s="49"/>
      <c r="V501" s="49"/>
      <c r="W501" s="49"/>
      <c r="X501" s="49"/>
      <c r="Y501" s="49"/>
      <c r="Z501" s="49"/>
      <c r="AA501" s="49"/>
      <c r="AB501" s="49"/>
      <c r="AC501" s="49"/>
      <c r="AD501" s="91"/>
      <c r="AE501" s="91"/>
      <c r="AF501" s="91"/>
      <c r="AG501" s="91"/>
    </row>
    <row r="502" spans="1:33">
      <c r="A502" s="534"/>
      <c r="B502" s="534">
        <v>500</v>
      </c>
      <c r="C502" s="534">
        <v>93880</v>
      </c>
      <c r="D502" s="534">
        <v>41042190</v>
      </c>
      <c r="E502" s="50" t="s">
        <v>2474</v>
      </c>
      <c r="F502" s="534">
        <v>45</v>
      </c>
      <c r="G502" s="49" t="s">
        <v>2475</v>
      </c>
      <c r="H502" s="49" t="s">
        <v>237</v>
      </c>
      <c r="I502" s="534">
        <v>954123747</v>
      </c>
      <c r="J502" s="49" t="s">
        <v>238</v>
      </c>
      <c r="K502" s="535">
        <v>46073</v>
      </c>
      <c r="L502" s="49" t="s">
        <v>458</v>
      </c>
      <c r="M502" s="534" t="s">
        <v>260</v>
      </c>
      <c r="N502" s="49" t="s">
        <v>241</v>
      </c>
      <c r="O502" s="441">
        <v>46083</v>
      </c>
      <c r="P502" s="546"/>
      <c r="Q502" s="632"/>
      <c r="R502" s="566"/>
      <c r="S502" s="49"/>
      <c r="T502" s="49"/>
      <c r="U502" s="49"/>
      <c r="V502" s="49"/>
      <c r="W502" s="49"/>
      <c r="X502" s="49"/>
      <c r="Y502" s="49"/>
      <c r="Z502" s="49"/>
      <c r="AA502" s="49"/>
      <c r="AB502" s="49"/>
      <c r="AC502" s="49"/>
      <c r="AD502" s="91"/>
      <c r="AE502" s="91"/>
      <c r="AF502" s="91"/>
      <c r="AG502" s="91"/>
    </row>
    <row r="503" spans="1:33">
      <c r="A503" s="534"/>
      <c r="B503" s="534">
        <v>501</v>
      </c>
      <c r="C503" s="534">
        <v>91635</v>
      </c>
      <c r="D503" s="534">
        <v>40447456</v>
      </c>
      <c r="E503" s="50" t="s">
        <v>2476</v>
      </c>
      <c r="F503" s="534">
        <v>46</v>
      </c>
      <c r="G503" s="49" t="s">
        <v>2477</v>
      </c>
      <c r="H503" s="49" t="s">
        <v>246</v>
      </c>
      <c r="I503" s="534">
        <v>968982506</v>
      </c>
      <c r="J503" s="49" t="s">
        <v>707</v>
      </c>
      <c r="K503" s="535">
        <v>46073</v>
      </c>
      <c r="L503" s="49" t="s">
        <v>458</v>
      </c>
      <c r="M503" s="534" t="s">
        <v>260</v>
      </c>
      <c r="N503" s="49" t="s">
        <v>241</v>
      </c>
      <c r="O503" s="437">
        <v>46084</v>
      </c>
      <c r="P503" s="546" t="s">
        <v>2478</v>
      </c>
      <c r="Q503" s="809" t="s">
        <v>334</v>
      </c>
      <c r="R503" s="566"/>
      <c r="S503" s="49"/>
      <c r="T503" s="49"/>
      <c r="U503" s="49"/>
      <c r="V503" s="49"/>
      <c r="W503" s="49"/>
      <c r="X503" s="49"/>
      <c r="Y503" s="49"/>
      <c r="Z503" s="49"/>
      <c r="AA503" s="49"/>
      <c r="AB503" s="49"/>
      <c r="AC503" s="49"/>
      <c r="AD503" s="91"/>
      <c r="AE503" s="91"/>
      <c r="AF503" s="91"/>
      <c r="AG503" s="91"/>
    </row>
    <row r="504" spans="1:33">
      <c r="A504" s="534"/>
      <c r="B504" s="534">
        <v>502</v>
      </c>
      <c r="C504" s="534">
        <v>523210</v>
      </c>
      <c r="D504" s="534">
        <v>43746857</v>
      </c>
      <c r="E504" s="50" t="s">
        <v>2479</v>
      </c>
      <c r="F504" s="534">
        <v>42</v>
      </c>
      <c r="G504" s="49" t="s">
        <v>2480</v>
      </c>
      <c r="H504" s="49" t="s">
        <v>461</v>
      </c>
      <c r="I504" s="534">
        <v>941302766</v>
      </c>
      <c r="J504" s="49" t="s">
        <v>162</v>
      </c>
      <c r="K504" s="535">
        <v>46073</v>
      </c>
      <c r="L504" s="49" t="s">
        <v>2481</v>
      </c>
      <c r="M504" s="534" t="s">
        <v>230</v>
      </c>
      <c r="N504" s="49" t="s">
        <v>2358</v>
      </c>
      <c r="O504" s="441">
        <v>46083</v>
      </c>
      <c r="P504" s="546" t="s">
        <v>1330</v>
      </c>
      <c r="Q504" s="471" t="s">
        <v>358</v>
      </c>
      <c r="R504" s="566"/>
      <c r="S504" s="49"/>
      <c r="T504" s="49"/>
      <c r="U504" s="49"/>
      <c r="V504" s="49"/>
      <c r="W504" s="49"/>
      <c r="X504" s="49"/>
      <c r="Y504" s="49"/>
      <c r="Z504" s="49"/>
      <c r="AA504" s="49"/>
      <c r="AB504" s="49"/>
      <c r="AC504" s="49"/>
      <c r="AD504" s="91"/>
      <c r="AE504" s="91"/>
      <c r="AF504" s="91"/>
      <c r="AG504" s="91"/>
    </row>
    <row r="505" spans="1:33">
      <c r="A505" s="534"/>
      <c r="B505" s="534">
        <v>503</v>
      </c>
      <c r="C505" s="534">
        <v>172138</v>
      </c>
      <c r="D505" s="534">
        <v>15611320</v>
      </c>
      <c r="E505" s="50" t="s">
        <v>2482</v>
      </c>
      <c r="F505" s="534">
        <v>59</v>
      </c>
      <c r="G505" s="49" t="s">
        <v>2483</v>
      </c>
      <c r="H505" s="49" t="s">
        <v>222</v>
      </c>
      <c r="I505" s="534">
        <v>977517015</v>
      </c>
      <c r="J505" s="49" t="s">
        <v>707</v>
      </c>
      <c r="K505" s="535">
        <v>46073</v>
      </c>
      <c r="L505" s="49" t="s">
        <v>2484</v>
      </c>
      <c r="M505" s="534" t="s">
        <v>260</v>
      </c>
      <c r="N505" s="49" t="s">
        <v>241</v>
      </c>
      <c r="O505" s="437">
        <v>46084</v>
      </c>
      <c r="P505" s="546" t="s">
        <v>2478</v>
      </c>
      <c r="Q505" s="809" t="s">
        <v>334</v>
      </c>
      <c r="R505" s="566"/>
      <c r="S505" s="49"/>
      <c r="T505" s="49"/>
      <c r="U505" s="49"/>
      <c r="V505" s="49"/>
      <c r="W505" s="49"/>
      <c r="X505" s="49"/>
      <c r="Y505" s="49"/>
      <c r="Z505" s="49"/>
      <c r="AA505" s="49"/>
      <c r="AB505" s="49"/>
      <c r="AC505" s="49"/>
      <c r="AD505" s="91"/>
      <c r="AE505" s="91"/>
      <c r="AF505" s="91"/>
      <c r="AG505" s="91"/>
    </row>
    <row r="506" spans="1:33">
      <c r="A506" s="534"/>
      <c r="B506" s="534">
        <v>504</v>
      </c>
      <c r="C506" s="534">
        <v>523211</v>
      </c>
      <c r="D506" s="534">
        <v>45575800</v>
      </c>
      <c r="E506" s="50" t="s">
        <v>2485</v>
      </c>
      <c r="F506" s="534">
        <v>41</v>
      </c>
      <c r="G506" s="49" t="s">
        <v>2486</v>
      </c>
      <c r="H506" s="49" t="s">
        <v>461</v>
      </c>
      <c r="I506" s="534">
        <v>971790056</v>
      </c>
      <c r="J506" s="49" t="s">
        <v>162</v>
      </c>
      <c r="K506" s="535">
        <v>46073</v>
      </c>
      <c r="L506" s="49" t="s">
        <v>1098</v>
      </c>
      <c r="M506" s="534" t="s">
        <v>230</v>
      </c>
      <c r="N506" s="49" t="s">
        <v>2358</v>
      </c>
      <c r="O506" s="441">
        <v>46083</v>
      </c>
      <c r="P506" s="546" t="s">
        <v>1330</v>
      </c>
      <c r="Q506" s="471" t="s">
        <v>358</v>
      </c>
      <c r="R506" s="566"/>
      <c r="S506" s="49"/>
      <c r="T506" s="49"/>
      <c r="U506" s="49"/>
      <c r="V506" s="49"/>
      <c r="W506" s="49"/>
      <c r="X506" s="49"/>
      <c r="Y506" s="49"/>
      <c r="Z506" s="49"/>
      <c r="AA506" s="49"/>
      <c r="AB506" s="49"/>
      <c r="AC506" s="49"/>
      <c r="AD506" s="91"/>
      <c r="AE506" s="91"/>
      <c r="AF506" s="91"/>
      <c r="AG506" s="91"/>
    </row>
    <row r="507" spans="1:33">
      <c r="A507" s="534"/>
      <c r="B507" s="534">
        <v>505</v>
      </c>
      <c r="C507" s="534">
        <v>740</v>
      </c>
      <c r="D507" s="534">
        <v>15738562</v>
      </c>
      <c r="E507" s="50" t="s">
        <v>2487</v>
      </c>
      <c r="F507" s="534">
        <v>57</v>
      </c>
      <c r="G507" s="49" t="s">
        <v>2488</v>
      </c>
      <c r="H507" s="49" t="s">
        <v>278</v>
      </c>
      <c r="I507" s="534">
        <v>977569880</v>
      </c>
      <c r="J507" s="49" t="s">
        <v>238</v>
      </c>
      <c r="K507" s="535">
        <v>46073</v>
      </c>
      <c r="L507" s="49" t="s">
        <v>458</v>
      </c>
      <c r="M507" s="534" t="s">
        <v>260</v>
      </c>
      <c r="N507" s="49" t="s">
        <v>241</v>
      </c>
      <c r="O507" s="441">
        <v>46083</v>
      </c>
      <c r="P507" s="546"/>
      <c r="Q507" s="634"/>
      <c r="R507" s="566"/>
      <c r="S507" s="49"/>
      <c r="T507" s="49"/>
      <c r="U507" s="49"/>
      <c r="V507" s="49"/>
      <c r="W507" s="49"/>
      <c r="X507" s="49"/>
      <c r="Y507" s="49"/>
      <c r="Z507" s="49"/>
      <c r="AA507" s="49"/>
      <c r="AB507" s="49"/>
      <c r="AC507" s="49"/>
      <c r="AD507" s="91"/>
      <c r="AE507" s="91"/>
      <c r="AF507" s="91"/>
      <c r="AG507" s="91"/>
    </row>
    <row r="508" spans="1:33">
      <c r="A508" s="553" t="s">
        <v>513</v>
      </c>
      <c r="B508" s="534">
        <v>506</v>
      </c>
      <c r="C508" s="571">
        <v>490537</v>
      </c>
      <c r="D508" s="571" t="s">
        <v>2489</v>
      </c>
      <c r="E508" s="244" t="s">
        <v>2490</v>
      </c>
      <c r="F508" s="320">
        <v>47</v>
      </c>
      <c r="G508" s="43" t="s">
        <v>2491</v>
      </c>
      <c r="H508" s="43" t="s">
        <v>222</v>
      </c>
      <c r="I508" s="320">
        <v>935583693</v>
      </c>
      <c r="J508" s="43" t="s">
        <v>223</v>
      </c>
      <c r="K508" s="493">
        <v>46038</v>
      </c>
      <c r="L508" s="43" t="s">
        <v>2492</v>
      </c>
      <c r="M508" s="320" t="s">
        <v>312</v>
      </c>
      <c r="N508" s="43" t="s">
        <v>317</v>
      </c>
      <c r="O508" s="448">
        <v>46065</v>
      </c>
      <c r="P508" s="419" t="s">
        <v>292</v>
      </c>
      <c r="Q508" s="802">
        <v>46082</v>
      </c>
      <c r="R508" s="320" t="s">
        <v>318</v>
      </c>
      <c r="S508" s="43"/>
      <c r="T508" s="43"/>
      <c r="U508" s="43"/>
      <c r="V508" s="43"/>
      <c r="W508" s="43"/>
      <c r="X508" s="43"/>
      <c r="Y508" s="43"/>
      <c r="Z508" s="43"/>
      <c r="AA508" s="43"/>
      <c r="AB508" s="43"/>
      <c r="AC508" s="43"/>
      <c r="AD508" s="91"/>
      <c r="AE508" s="91"/>
      <c r="AF508" s="91"/>
      <c r="AG508" s="91"/>
    </row>
    <row r="509" spans="1:33">
      <c r="A509" s="534"/>
      <c r="B509" s="534">
        <v>507</v>
      </c>
      <c r="C509" s="534">
        <v>105035</v>
      </c>
      <c r="D509" s="534">
        <v>15726550</v>
      </c>
      <c r="E509" s="50" t="s">
        <v>2493</v>
      </c>
      <c r="F509" s="534">
        <v>54</v>
      </c>
      <c r="G509" s="49" t="s">
        <v>2494</v>
      </c>
      <c r="H509" s="49" t="s">
        <v>1581</v>
      </c>
      <c r="I509" s="534">
        <v>991350292</v>
      </c>
      <c r="J509" s="54" t="s">
        <v>384</v>
      </c>
      <c r="K509" s="543">
        <v>46073</v>
      </c>
      <c r="L509" s="49" t="s">
        <v>679</v>
      </c>
      <c r="M509" s="534" t="s">
        <v>230</v>
      </c>
      <c r="N509" s="49" t="s">
        <v>317</v>
      </c>
      <c r="O509" s="437">
        <v>46086</v>
      </c>
      <c r="P509" s="419" t="s">
        <v>2154</v>
      </c>
      <c r="Q509" s="802">
        <v>46082</v>
      </c>
      <c r="R509" s="808">
        <v>46082</v>
      </c>
      <c r="S509" s="49"/>
      <c r="T509" s="49"/>
      <c r="U509" s="49"/>
      <c r="V509" s="49"/>
      <c r="W509" s="49"/>
      <c r="X509" s="49"/>
      <c r="Y509" s="49"/>
      <c r="Z509" s="49"/>
      <c r="AA509" s="49"/>
      <c r="AB509" s="49"/>
      <c r="AC509" s="49"/>
      <c r="AD509" s="91"/>
      <c r="AE509" s="91"/>
      <c r="AF509" s="91"/>
      <c r="AG509" s="91"/>
    </row>
    <row r="510" spans="1:33">
      <c r="A510" s="320"/>
      <c r="B510" s="534">
        <v>508</v>
      </c>
      <c r="C510" s="571">
        <v>522321</v>
      </c>
      <c r="D510" s="575">
        <v>32278779</v>
      </c>
      <c r="E510" s="58" t="s">
        <v>2495</v>
      </c>
      <c r="F510" s="485">
        <v>48</v>
      </c>
      <c r="G510" s="46" t="s">
        <v>2496</v>
      </c>
      <c r="H510" s="46" t="s">
        <v>2497</v>
      </c>
      <c r="I510" s="479">
        <v>900699372</v>
      </c>
      <c r="J510" s="43" t="s">
        <v>164</v>
      </c>
      <c r="K510" s="493">
        <v>46049</v>
      </c>
      <c r="L510" s="43" t="s">
        <v>1156</v>
      </c>
      <c r="M510" s="320" t="s">
        <v>230</v>
      </c>
      <c r="N510" s="43" t="s">
        <v>655</v>
      </c>
      <c r="O510" s="449">
        <v>46062</v>
      </c>
      <c r="P510" s="414" t="s">
        <v>512</v>
      </c>
      <c r="Q510" s="471" t="s">
        <v>358</v>
      </c>
      <c r="R510" s="320"/>
      <c r="S510" s="43"/>
      <c r="T510" s="43"/>
      <c r="U510" s="43"/>
      <c r="V510" s="43"/>
      <c r="W510" s="43"/>
      <c r="X510" s="43"/>
      <c r="Y510" s="43"/>
      <c r="Z510" s="43"/>
      <c r="AA510" s="43"/>
      <c r="AB510" s="43"/>
      <c r="AC510" s="43"/>
      <c r="AD510" s="91"/>
      <c r="AE510" s="91"/>
      <c r="AF510" s="91"/>
      <c r="AG510" s="91"/>
    </row>
    <row r="511" spans="1:33">
      <c r="A511" s="320"/>
      <c r="B511" s="534">
        <v>509</v>
      </c>
      <c r="C511" s="158">
        <v>51604</v>
      </c>
      <c r="D511" s="173">
        <v>15742469</v>
      </c>
      <c r="E511" s="58" t="s">
        <v>2498</v>
      </c>
      <c r="F511" s="485">
        <v>50</v>
      </c>
      <c r="G511" s="46" t="s">
        <v>2499</v>
      </c>
      <c r="H511" s="46"/>
      <c r="I511" s="479">
        <v>907569294</v>
      </c>
      <c r="J511" s="43" t="s">
        <v>1105</v>
      </c>
      <c r="K511" s="493">
        <v>46049</v>
      </c>
      <c r="L511" s="43" t="s">
        <v>1156</v>
      </c>
      <c r="M511" s="320" t="s">
        <v>230</v>
      </c>
      <c r="N511" s="43" t="s">
        <v>655</v>
      </c>
      <c r="O511" s="448">
        <v>46065</v>
      </c>
      <c r="P511" s="419" t="s">
        <v>292</v>
      </c>
      <c r="Q511" s="807">
        <v>46082</v>
      </c>
      <c r="R511" s="320" t="s">
        <v>242</v>
      </c>
      <c r="S511" s="43"/>
      <c r="T511" s="43"/>
      <c r="U511" s="43"/>
      <c r="V511" s="43"/>
      <c r="W511" s="43"/>
      <c r="X511" s="43"/>
      <c r="Y511" s="43"/>
      <c r="Z511" s="43"/>
      <c r="AA511" s="43"/>
      <c r="AB511" s="43"/>
      <c r="AC511" s="43"/>
      <c r="AD511" s="91"/>
      <c r="AE511" s="91"/>
      <c r="AF511" s="91"/>
      <c r="AG511" s="91"/>
    </row>
    <row r="512" spans="1:33">
      <c r="A512" s="320"/>
      <c r="B512" s="534">
        <v>510</v>
      </c>
      <c r="C512" s="571">
        <v>522445</v>
      </c>
      <c r="D512" s="571">
        <v>43069419</v>
      </c>
      <c r="E512" s="244" t="s">
        <v>1154</v>
      </c>
      <c r="F512" s="320">
        <v>40</v>
      </c>
      <c r="G512" s="43"/>
      <c r="H512" s="43" t="s">
        <v>461</v>
      </c>
      <c r="I512" s="320">
        <v>926040354</v>
      </c>
      <c r="J512" s="43" t="s">
        <v>162</v>
      </c>
      <c r="K512" s="493">
        <v>46052</v>
      </c>
      <c r="L512" s="43" t="s">
        <v>913</v>
      </c>
      <c r="M512" s="320" t="s">
        <v>260</v>
      </c>
      <c r="N512" s="43" t="s">
        <v>241</v>
      </c>
      <c r="O512" s="449">
        <v>46062</v>
      </c>
      <c r="P512" s="414" t="s">
        <v>512</v>
      </c>
      <c r="Q512" s="471" t="s">
        <v>358</v>
      </c>
      <c r="R512" s="320"/>
      <c r="S512" s="43"/>
      <c r="T512" s="43"/>
      <c r="U512" s="43"/>
      <c r="V512" s="43"/>
      <c r="W512" s="43"/>
      <c r="X512" s="43"/>
      <c r="Y512" s="43"/>
      <c r="Z512" s="43"/>
      <c r="AA512" s="43"/>
      <c r="AB512" s="43"/>
      <c r="AC512" s="43"/>
      <c r="AD512" s="91"/>
      <c r="AE512" s="91"/>
      <c r="AF512" s="91"/>
      <c r="AG512" s="91"/>
    </row>
    <row r="513" spans="1:33">
      <c r="A513" s="534"/>
      <c r="B513" s="534">
        <v>511</v>
      </c>
      <c r="C513" s="534">
        <v>288984</v>
      </c>
      <c r="D513" s="534">
        <v>42355327</v>
      </c>
      <c r="E513" s="50" t="s">
        <v>2500</v>
      </c>
      <c r="F513" s="534">
        <v>41</v>
      </c>
      <c r="G513" s="49" t="s">
        <v>2501</v>
      </c>
      <c r="H513" s="49" t="s">
        <v>237</v>
      </c>
      <c r="I513" s="534">
        <v>982005148</v>
      </c>
      <c r="J513" s="49" t="s">
        <v>223</v>
      </c>
      <c r="K513" s="535">
        <v>46073</v>
      </c>
      <c r="L513" s="49" t="s">
        <v>2502</v>
      </c>
      <c r="M513" s="534" t="s">
        <v>260</v>
      </c>
      <c r="N513" s="49" t="s">
        <v>241</v>
      </c>
      <c r="O513" s="437">
        <v>46083</v>
      </c>
      <c r="P513" s="539" t="s">
        <v>292</v>
      </c>
      <c r="Q513" s="802">
        <v>46082</v>
      </c>
      <c r="R513" s="806" t="s">
        <v>228</v>
      </c>
      <c r="S513" s="49"/>
      <c r="T513" s="49"/>
      <c r="U513" s="49"/>
      <c r="V513" s="49"/>
      <c r="W513" s="49"/>
      <c r="X513" s="49"/>
      <c r="Y513" s="49"/>
      <c r="Z513" s="49"/>
      <c r="AA513" s="49"/>
      <c r="AB513" s="49"/>
      <c r="AC513" s="49"/>
      <c r="AD513" s="91"/>
      <c r="AE513" s="91"/>
      <c r="AF513" s="91"/>
      <c r="AG513" s="91"/>
    </row>
    <row r="514" spans="1:33">
      <c r="A514" s="534"/>
      <c r="B514" s="534">
        <v>512</v>
      </c>
      <c r="C514" s="534">
        <v>523219</v>
      </c>
      <c r="D514" s="534">
        <v>22418473</v>
      </c>
      <c r="E514" s="50" t="s">
        <v>2503</v>
      </c>
      <c r="F514" s="534">
        <v>63</v>
      </c>
      <c r="G514" s="49" t="s">
        <v>2504</v>
      </c>
      <c r="H514" s="49" t="s">
        <v>2505</v>
      </c>
      <c r="I514" s="534">
        <v>984513846</v>
      </c>
      <c r="J514" s="49" t="s">
        <v>162</v>
      </c>
      <c r="K514" s="535">
        <v>46073</v>
      </c>
      <c r="L514" s="49" t="s">
        <v>1098</v>
      </c>
      <c r="M514" s="534" t="s">
        <v>230</v>
      </c>
      <c r="N514" s="49" t="s">
        <v>2506</v>
      </c>
      <c r="O514" s="441">
        <v>46083</v>
      </c>
      <c r="P514" s="546" t="s">
        <v>1602</v>
      </c>
      <c r="Q514" s="471" t="s">
        <v>358</v>
      </c>
      <c r="R514" s="566"/>
      <c r="S514" s="49"/>
      <c r="T514" s="49"/>
      <c r="U514" s="49"/>
      <c r="V514" s="49"/>
      <c r="W514" s="49"/>
      <c r="X514" s="49"/>
      <c r="Y514" s="49"/>
      <c r="Z514" s="49"/>
      <c r="AA514" s="49"/>
      <c r="AB514" s="49"/>
      <c r="AC514" s="49"/>
      <c r="AD514" s="91"/>
      <c r="AE514" s="91"/>
      <c r="AF514" s="91"/>
      <c r="AG514" s="91"/>
    </row>
    <row r="515" spans="1:33">
      <c r="A515" s="534"/>
      <c r="B515" s="534">
        <v>513</v>
      </c>
      <c r="C515" s="534">
        <v>523217</v>
      </c>
      <c r="D515" s="534">
        <v>19096054</v>
      </c>
      <c r="E515" s="50" t="s">
        <v>2507</v>
      </c>
      <c r="F515" s="534">
        <v>49</v>
      </c>
      <c r="G515" s="49" t="s">
        <v>2508</v>
      </c>
      <c r="H515" s="49" t="s">
        <v>911</v>
      </c>
      <c r="I515" s="534">
        <v>922005607</v>
      </c>
      <c r="J515" s="49" t="s">
        <v>421</v>
      </c>
      <c r="K515" s="535">
        <v>46073</v>
      </c>
      <c r="L515" s="49" t="s">
        <v>458</v>
      </c>
      <c r="M515" s="534" t="s">
        <v>260</v>
      </c>
      <c r="N515" s="49" t="s">
        <v>241</v>
      </c>
      <c r="O515" s="441">
        <v>46083</v>
      </c>
      <c r="P515" s="546" t="s">
        <v>1602</v>
      </c>
      <c r="Q515" s="471" t="s">
        <v>358</v>
      </c>
      <c r="R515" s="566"/>
      <c r="S515" s="49"/>
      <c r="T515" s="49"/>
      <c r="U515" s="49"/>
      <c r="V515" s="49"/>
      <c r="W515" s="49"/>
      <c r="X515" s="49"/>
      <c r="Y515" s="49"/>
      <c r="Z515" s="49"/>
      <c r="AA515" s="49"/>
      <c r="AB515" s="49"/>
      <c r="AC515" s="49"/>
      <c r="AD515" s="91"/>
      <c r="AE515" s="91"/>
      <c r="AF515" s="91"/>
      <c r="AG515" s="91"/>
    </row>
    <row r="516" spans="1:33">
      <c r="A516" s="534"/>
      <c r="B516" s="534">
        <v>514</v>
      </c>
      <c r="C516" s="534">
        <v>51948</v>
      </c>
      <c r="D516" s="534">
        <v>40815798</v>
      </c>
      <c r="E516" s="50" t="s">
        <v>2509</v>
      </c>
      <c r="F516" s="534">
        <v>50</v>
      </c>
      <c r="G516" s="49" t="s">
        <v>2510</v>
      </c>
      <c r="H516" s="49" t="s">
        <v>237</v>
      </c>
      <c r="I516" s="534">
        <v>991695526</v>
      </c>
      <c r="J516" s="49" t="s">
        <v>347</v>
      </c>
      <c r="K516" s="535">
        <v>46073</v>
      </c>
      <c r="L516" s="49" t="s">
        <v>2511</v>
      </c>
      <c r="M516" s="534" t="s">
        <v>260</v>
      </c>
      <c r="N516" s="49" t="s">
        <v>241</v>
      </c>
      <c r="O516" s="437">
        <v>46083</v>
      </c>
      <c r="P516" s="546" t="s">
        <v>292</v>
      </c>
      <c r="Q516" s="809" t="s">
        <v>334</v>
      </c>
      <c r="R516" s="566"/>
      <c r="S516" s="49"/>
      <c r="T516" s="49"/>
      <c r="U516" s="49"/>
      <c r="V516" s="49"/>
      <c r="W516" s="49"/>
      <c r="X516" s="49"/>
      <c r="Y516" s="49"/>
      <c r="Z516" s="49"/>
      <c r="AA516" s="49"/>
      <c r="AB516" s="49"/>
      <c r="AC516" s="49"/>
      <c r="AD516" s="91"/>
      <c r="AE516" s="91"/>
      <c r="AF516" s="91"/>
      <c r="AG516" s="91"/>
    </row>
    <row r="517" spans="1:33">
      <c r="A517" s="534"/>
      <c r="B517" s="534">
        <v>515</v>
      </c>
      <c r="C517" s="534">
        <v>523224</v>
      </c>
      <c r="D517" s="534">
        <v>42239324</v>
      </c>
      <c r="E517" s="50" t="s">
        <v>2512</v>
      </c>
      <c r="F517" s="534">
        <v>42</v>
      </c>
      <c r="G517" s="49" t="s">
        <v>2513</v>
      </c>
      <c r="H517" s="49" t="s">
        <v>461</v>
      </c>
      <c r="I517" s="534">
        <v>958097422</v>
      </c>
      <c r="J517" s="49" t="s">
        <v>164</v>
      </c>
      <c r="K517" s="535">
        <v>46073</v>
      </c>
      <c r="L517" s="49" t="s">
        <v>683</v>
      </c>
      <c r="M517" s="534" t="s">
        <v>312</v>
      </c>
      <c r="N517" s="49" t="s">
        <v>2358</v>
      </c>
      <c r="O517" s="441">
        <v>46083</v>
      </c>
      <c r="P517" s="414" t="s">
        <v>1630</v>
      </c>
      <c r="Q517" s="471" t="s">
        <v>358</v>
      </c>
      <c r="R517" s="320"/>
      <c r="S517" s="49"/>
      <c r="T517" s="49"/>
      <c r="U517" s="49"/>
      <c r="V517" s="49"/>
      <c r="W517" s="49"/>
      <c r="X517" s="49"/>
      <c r="Y517" s="49"/>
      <c r="Z517" s="49"/>
      <c r="AA517" s="49"/>
      <c r="AB517" s="49"/>
      <c r="AC517" s="49"/>
      <c r="AD517" s="91"/>
      <c r="AE517" s="91"/>
      <c r="AF517" s="91"/>
      <c r="AG517" s="91"/>
    </row>
    <row r="518" spans="1:33">
      <c r="A518" s="534"/>
      <c r="B518" s="534">
        <v>516</v>
      </c>
      <c r="C518" s="534">
        <v>374840</v>
      </c>
      <c r="D518" s="534">
        <v>42997348</v>
      </c>
      <c r="E518" s="50" t="s">
        <v>2514</v>
      </c>
      <c r="F518" s="534">
        <v>40</v>
      </c>
      <c r="G518" s="49" t="s">
        <v>2515</v>
      </c>
      <c r="H518" s="49" t="s">
        <v>278</v>
      </c>
      <c r="I518" s="534">
        <v>953336822</v>
      </c>
      <c r="J518" s="49" t="s">
        <v>238</v>
      </c>
      <c r="K518" s="535">
        <v>46073</v>
      </c>
      <c r="L518" s="49" t="s">
        <v>1098</v>
      </c>
      <c r="M518" s="534" t="s">
        <v>230</v>
      </c>
      <c r="N518" s="49" t="s">
        <v>2358</v>
      </c>
      <c r="O518" s="441">
        <v>46083</v>
      </c>
      <c r="P518" s="546"/>
      <c r="Q518" s="546" t="s">
        <v>1438</v>
      </c>
      <c r="R518" s="566"/>
      <c r="S518" s="49"/>
      <c r="T518" s="49"/>
      <c r="U518" s="49"/>
      <c r="V518" s="49"/>
      <c r="W518" s="49"/>
      <c r="X518" s="49"/>
      <c r="Y518" s="49"/>
      <c r="Z518" s="49"/>
      <c r="AA518" s="49"/>
      <c r="AB518" s="49"/>
      <c r="AC518" s="49"/>
      <c r="AD518" s="91"/>
      <c r="AE518" s="91"/>
      <c r="AF518" s="91"/>
      <c r="AG518" s="91"/>
    </row>
    <row r="519" spans="1:33">
      <c r="A519" s="534"/>
      <c r="B519" s="534">
        <v>517</v>
      </c>
      <c r="C519" s="534">
        <v>117259</v>
      </c>
      <c r="D519" s="534">
        <v>41994682</v>
      </c>
      <c r="E519" s="50" t="s">
        <v>2516</v>
      </c>
      <c r="F519" s="534">
        <v>40</v>
      </c>
      <c r="G519" s="49" t="s">
        <v>2517</v>
      </c>
      <c r="H519" s="49" t="s">
        <v>326</v>
      </c>
      <c r="I519" s="534">
        <v>989615336</v>
      </c>
      <c r="J519" s="49" t="s">
        <v>375</v>
      </c>
      <c r="K519" s="535">
        <v>46073</v>
      </c>
      <c r="L519" s="49" t="s">
        <v>620</v>
      </c>
      <c r="M519" s="534" t="s">
        <v>260</v>
      </c>
      <c r="N519" s="49" t="s">
        <v>1413</v>
      </c>
      <c r="O519" s="437">
        <v>46087</v>
      </c>
      <c r="P519" s="546" t="s">
        <v>2062</v>
      </c>
      <c r="Q519" s="809" t="s">
        <v>334</v>
      </c>
      <c r="R519" s="566"/>
      <c r="S519" s="49"/>
      <c r="T519" s="49"/>
      <c r="U519" s="49"/>
      <c r="V519" s="49"/>
      <c r="W519" s="49"/>
      <c r="X519" s="49"/>
      <c r="Y519" s="49"/>
      <c r="Z519" s="49"/>
      <c r="AA519" s="49"/>
      <c r="AB519" s="49"/>
      <c r="AC519" s="49"/>
      <c r="AD519" s="91"/>
      <c r="AE519" s="91"/>
      <c r="AF519" s="91"/>
      <c r="AG519" s="91"/>
    </row>
    <row r="520" spans="1:33">
      <c r="A520" s="534"/>
      <c r="B520" s="534">
        <v>518</v>
      </c>
      <c r="C520" s="534">
        <v>523226</v>
      </c>
      <c r="D520" s="320">
        <v>16005989</v>
      </c>
      <c r="E520" s="50" t="s">
        <v>2518</v>
      </c>
      <c r="F520" s="534">
        <v>56</v>
      </c>
      <c r="G520" s="49" t="s">
        <v>2519</v>
      </c>
      <c r="H520" s="49" t="s">
        <v>461</v>
      </c>
      <c r="I520" s="534">
        <v>961725457</v>
      </c>
      <c r="J520" s="49" t="s">
        <v>162</v>
      </c>
      <c r="K520" s="535">
        <v>46073</v>
      </c>
      <c r="L520" s="49" t="s">
        <v>458</v>
      </c>
      <c r="M520" s="534" t="s">
        <v>260</v>
      </c>
      <c r="N520" s="49" t="s">
        <v>241</v>
      </c>
      <c r="O520" s="441">
        <v>46083</v>
      </c>
      <c r="P520" s="546" t="s">
        <v>1602</v>
      </c>
      <c r="Q520" s="471" t="s">
        <v>358</v>
      </c>
      <c r="R520" s="566"/>
      <c r="S520" s="49"/>
      <c r="T520" s="49"/>
      <c r="U520" s="49"/>
      <c r="V520" s="49"/>
      <c r="W520" s="49"/>
      <c r="X520" s="49"/>
      <c r="Y520" s="49"/>
      <c r="Z520" s="49"/>
      <c r="AA520" s="49"/>
      <c r="AB520" s="49"/>
      <c r="AC520" s="49"/>
      <c r="AD520" s="91"/>
      <c r="AE520" s="91"/>
      <c r="AF520" s="91"/>
      <c r="AG520" s="91"/>
    </row>
    <row r="521" spans="1:33">
      <c r="A521" s="534"/>
      <c r="B521" s="534">
        <v>519</v>
      </c>
      <c r="C521" s="534">
        <v>523228</v>
      </c>
      <c r="D521" s="534">
        <v>41714585</v>
      </c>
      <c r="E521" s="50" t="s">
        <v>2520</v>
      </c>
      <c r="F521" s="534">
        <v>42</v>
      </c>
      <c r="G521" s="49" t="s">
        <v>2521</v>
      </c>
      <c r="H521" s="49" t="s">
        <v>461</v>
      </c>
      <c r="I521" s="534">
        <v>962876532</v>
      </c>
      <c r="J521" s="49" t="s">
        <v>162</v>
      </c>
      <c r="K521" s="535">
        <v>46073</v>
      </c>
      <c r="L521" s="49" t="s">
        <v>458</v>
      </c>
      <c r="M521" s="534" t="s">
        <v>260</v>
      </c>
      <c r="N521" s="49" t="s">
        <v>241</v>
      </c>
      <c r="O521" s="441">
        <v>46083</v>
      </c>
      <c r="P521" s="546" t="s">
        <v>1602</v>
      </c>
      <c r="Q521" s="471" t="s">
        <v>358</v>
      </c>
      <c r="R521" s="566"/>
      <c r="S521" s="49"/>
      <c r="T521" s="49"/>
      <c r="U521" s="49"/>
      <c r="V521" s="49"/>
      <c r="W521" s="49"/>
      <c r="X521" s="49"/>
      <c r="Y521" s="49"/>
      <c r="Z521" s="49"/>
      <c r="AA521" s="49"/>
      <c r="AB521" s="49"/>
      <c r="AC521" s="49"/>
      <c r="AD521" s="91"/>
      <c r="AE521" s="91"/>
      <c r="AF521" s="91"/>
      <c r="AG521" s="91"/>
    </row>
    <row r="522" spans="1:33">
      <c r="A522" s="534"/>
      <c r="B522" s="534">
        <v>520</v>
      </c>
      <c r="C522" s="534">
        <v>523229</v>
      </c>
      <c r="D522" s="534">
        <v>15998160</v>
      </c>
      <c r="E522" s="50" t="s">
        <v>2522</v>
      </c>
      <c r="F522" s="534">
        <v>58</v>
      </c>
      <c r="G522" s="49" t="s">
        <v>2521</v>
      </c>
      <c r="H522" s="49" t="s">
        <v>461</v>
      </c>
      <c r="I522" s="534">
        <v>980782015</v>
      </c>
      <c r="J522" s="49" t="s">
        <v>162</v>
      </c>
      <c r="K522" s="535">
        <v>46073</v>
      </c>
      <c r="L522" s="49" t="s">
        <v>2523</v>
      </c>
      <c r="M522" s="534" t="s">
        <v>260</v>
      </c>
      <c r="N522" s="49" t="s">
        <v>2506</v>
      </c>
      <c r="O522" s="441">
        <v>46083</v>
      </c>
      <c r="P522" s="546" t="s">
        <v>1602</v>
      </c>
      <c r="Q522" s="471" t="s">
        <v>358</v>
      </c>
      <c r="R522" s="566"/>
      <c r="S522" s="49"/>
      <c r="T522" s="49"/>
      <c r="U522" s="49"/>
      <c r="V522" s="49"/>
      <c r="W522" s="49"/>
      <c r="X522" s="49"/>
      <c r="Y522" s="49"/>
      <c r="Z522" s="49"/>
      <c r="AA522" s="49"/>
      <c r="AB522" s="49"/>
      <c r="AC522" s="49"/>
      <c r="AD522" s="91"/>
      <c r="AE522" s="91"/>
      <c r="AF522" s="91"/>
      <c r="AG522" s="91"/>
    </row>
    <row r="523" spans="1:33">
      <c r="A523" s="534"/>
      <c r="B523" s="534">
        <v>521</v>
      </c>
      <c r="C523" s="534">
        <v>523227</v>
      </c>
      <c r="D523" s="534">
        <v>16012326</v>
      </c>
      <c r="E523" s="50" t="s">
        <v>2524</v>
      </c>
      <c r="F523" s="534">
        <v>49</v>
      </c>
      <c r="G523" s="49" t="s">
        <v>2521</v>
      </c>
      <c r="H523" s="49" t="s">
        <v>461</v>
      </c>
      <c r="I523" s="534">
        <v>921196022</v>
      </c>
      <c r="J523" s="49" t="s">
        <v>162</v>
      </c>
      <c r="K523" s="535">
        <v>46073</v>
      </c>
      <c r="L523" s="49" t="s">
        <v>458</v>
      </c>
      <c r="M523" s="534" t="s">
        <v>260</v>
      </c>
      <c r="N523" s="49" t="s">
        <v>241</v>
      </c>
      <c r="O523" s="441">
        <v>46083</v>
      </c>
      <c r="P523" s="546" t="s">
        <v>1602</v>
      </c>
      <c r="Q523" s="471" t="s">
        <v>358</v>
      </c>
      <c r="R523" s="566"/>
      <c r="S523" s="49"/>
      <c r="T523" s="49"/>
      <c r="U523" s="49"/>
      <c r="V523" s="49"/>
      <c r="W523" s="49"/>
      <c r="X523" s="49"/>
      <c r="Y523" s="49"/>
      <c r="Z523" s="49"/>
      <c r="AA523" s="49"/>
      <c r="AB523" s="49"/>
      <c r="AC523" s="49"/>
      <c r="AD523" s="91"/>
      <c r="AE523" s="91"/>
      <c r="AF523" s="91"/>
      <c r="AG523" s="91"/>
    </row>
    <row r="524" spans="1:33">
      <c r="A524" s="534"/>
      <c r="B524" s="534">
        <v>522</v>
      </c>
      <c r="C524" s="534">
        <v>523230</v>
      </c>
      <c r="D524" s="320">
        <v>40373772</v>
      </c>
      <c r="E524" s="50" t="s">
        <v>2525</v>
      </c>
      <c r="F524" s="534">
        <v>52</v>
      </c>
      <c r="G524" s="49" t="s">
        <v>2526</v>
      </c>
      <c r="H524" s="49" t="s">
        <v>461</v>
      </c>
      <c r="I524" s="534">
        <v>988929463</v>
      </c>
      <c r="J524" s="49" t="s">
        <v>162</v>
      </c>
      <c r="K524" s="535">
        <v>46073</v>
      </c>
      <c r="L524" s="49" t="s">
        <v>683</v>
      </c>
      <c r="M524" s="534" t="s">
        <v>312</v>
      </c>
      <c r="N524" s="49" t="s">
        <v>2358</v>
      </c>
      <c r="O524" s="441">
        <v>46083</v>
      </c>
      <c r="P524" s="546" t="s">
        <v>1602</v>
      </c>
      <c r="Q524" s="471" t="s">
        <v>358</v>
      </c>
      <c r="R524" s="566"/>
      <c r="S524" s="49"/>
      <c r="T524" s="49"/>
      <c r="U524" s="49"/>
      <c r="V524" s="49"/>
      <c r="W524" s="49"/>
      <c r="X524" s="49"/>
      <c r="Y524" s="49"/>
      <c r="Z524" s="49"/>
      <c r="AA524" s="49"/>
      <c r="AB524" s="49"/>
      <c r="AC524" s="49"/>
      <c r="AD524" s="91"/>
      <c r="AE524" s="91"/>
      <c r="AF524" s="91"/>
      <c r="AG524" s="91"/>
    </row>
    <row r="525" spans="1:33">
      <c r="A525" s="534"/>
      <c r="B525" s="534">
        <v>523</v>
      </c>
      <c r="C525" s="534">
        <v>220986</v>
      </c>
      <c r="D525" s="534">
        <v>80644896</v>
      </c>
      <c r="E525" s="50" t="s">
        <v>2527</v>
      </c>
      <c r="F525" s="534">
        <v>46</v>
      </c>
      <c r="G525" s="49" t="s">
        <v>2528</v>
      </c>
      <c r="H525" s="49" t="s">
        <v>1217</v>
      </c>
      <c r="I525" s="534">
        <v>936360177</v>
      </c>
      <c r="J525" s="49" t="s">
        <v>238</v>
      </c>
      <c r="K525" s="535">
        <v>46073</v>
      </c>
      <c r="L525" s="49" t="s">
        <v>1098</v>
      </c>
      <c r="M525" s="534" t="s">
        <v>230</v>
      </c>
      <c r="N525" s="49" t="s">
        <v>2358</v>
      </c>
      <c r="O525" s="441">
        <v>46083</v>
      </c>
      <c r="P525" s="546"/>
      <c r="Q525" s="637"/>
      <c r="R525" s="566"/>
      <c r="S525" s="49"/>
      <c r="T525" s="49"/>
      <c r="U525" s="49"/>
      <c r="V525" s="49"/>
      <c r="W525" s="49"/>
      <c r="X525" s="49"/>
      <c r="Y525" s="49"/>
      <c r="Z525" s="49"/>
      <c r="AA525" s="49"/>
      <c r="AB525" s="49"/>
      <c r="AC525" s="49"/>
      <c r="AD525" s="91"/>
      <c r="AE525" s="91"/>
      <c r="AF525" s="91"/>
      <c r="AG525" s="91"/>
    </row>
    <row r="526" spans="1:33" ht="37.5">
      <c r="A526" s="536"/>
      <c r="B526" s="534">
        <v>524</v>
      </c>
      <c r="C526" s="536">
        <v>523236</v>
      </c>
      <c r="D526" s="536">
        <v>43585394</v>
      </c>
      <c r="E526" s="212" t="s">
        <v>2529</v>
      </c>
      <c r="F526" s="536">
        <v>40</v>
      </c>
      <c r="G526" s="59" t="s">
        <v>2530</v>
      </c>
      <c r="H526" s="59" t="s">
        <v>461</v>
      </c>
      <c r="I526" s="536">
        <v>945645167</v>
      </c>
      <c r="J526" s="59" t="s">
        <v>162</v>
      </c>
      <c r="K526" s="591">
        <v>46073</v>
      </c>
      <c r="L526" s="60" t="s">
        <v>2531</v>
      </c>
      <c r="M526" s="536" t="s">
        <v>323</v>
      </c>
      <c r="N526" s="59" t="s">
        <v>2532</v>
      </c>
      <c r="O526" s="445">
        <v>46083</v>
      </c>
      <c r="P526" s="612" t="s">
        <v>1602</v>
      </c>
      <c r="Q526" s="471" t="s">
        <v>358</v>
      </c>
      <c r="R526" s="612" t="s">
        <v>2533</v>
      </c>
      <c r="S526" s="59"/>
      <c r="T526" s="59"/>
      <c r="U526" s="59"/>
      <c r="V526" s="59"/>
      <c r="W526" s="59"/>
      <c r="X526" s="59"/>
      <c r="Y526" s="59"/>
      <c r="Z526" s="59"/>
      <c r="AA526" s="59"/>
      <c r="AB526" s="59"/>
      <c r="AC526" s="59"/>
      <c r="AD526" s="91"/>
      <c r="AE526" s="91"/>
      <c r="AF526" s="91"/>
      <c r="AG526" s="91"/>
    </row>
    <row r="527" spans="1:33">
      <c r="A527" s="554">
        <v>46074</v>
      </c>
      <c r="B527" s="534">
        <v>525</v>
      </c>
      <c r="C527" s="536">
        <v>268484</v>
      </c>
      <c r="D527" s="536">
        <v>40283239</v>
      </c>
      <c r="E527" s="212" t="s">
        <v>2534</v>
      </c>
      <c r="F527" s="536">
        <v>46</v>
      </c>
      <c r="G527" s="59" t="s">
        <v>2535</v>
      </c>
      <c r="H527" s="59" t="s">
        <v>237</v>
      </c>
      <c r="I527" s="536">
        <v>994482224</v>
      </c>
      <c r="J527" s="59" t="s">
        <v>429</v>
      </c>
      <c r="K527" s="591">
        <v>46074</v>
      </c>
      <c r="L527" s="59" t="s">
        <v>2536</v>
      </c>
      <c r="M527" s="536" t="s">
        <v>323</v>
      </c>
      <c r="N527" s="59" t="s">
        <v>601</v>
      </c>
      <c r="O527" s="437">
        <v>46101</v>
      </c>
      <c r="P527" s="546" t="s">
        <v>2227</v>
      </c>
      <c r="Q527" s="471" t="s">
        <v>358</v>
      </c>
      <c r="R527" s="612"/>
      <c r="S527" s="59"/>
      <c r="T527" s="59"/>
      <c r="U527" s="59"/>
      <c r="V527" s="59"/>
      <c r="W527" s="59"/>
      <c r="X527" s="59"/>
      <c r="Y527" s="59"/>
      <c r="Z527" s="59"/>
      <c r="AA527" s="59"/>
      <c r="AB527" s="59"/>
      <c r="AC527" s="59"/>
      <c r="AD527" s="91"/>
      <c r="AE527" s="91"/>
      <c r="AF527" s="91"/>
      <c r="AG527" s="91"/>
    </row>
    <row r="528" spans="1:33">
      <c r="A528" s="534"/>
      <c r="B528" s="534">
        <v>526</v>
      </c>
      <c r="C528" s="534">
        <v>523249</v>
      </c>
      <c r="D528" s="534">
        <v>15971743</v>
      </c>
      <c r="E528" s="50" t="s">
        <v>2537</v>
      </c>
      <c r="F528" s="534">
        <v>63</v>
      </c>
      <c r="G528" s="49" t="s">
        <v>2538</v>
      </c>
      <c r="H528" s="49" t="s">
        <v>911</v>
      </c>
      <c r="I528" s="534">
        <v>954263959</v>
      </c>
      <c r="J528" s="49" t="s">
        <v>421</v>
      </c>
      <c r="K528" s="535">
        <v>46074</v>
      </c>
      <c r="L528" s="49" t="s">
        <v>2539</v>
      </c>
      <c r="M528" s="534" t="s">
        <v>312</v>
      </c>
      <c r="N528" s="49" t="s">
        <v>317</v>
      </c>
      <c r="O528" s="441">
        <v>46083</v>
      </c>
      <c r="P528" s="546" t="s">
        <v>1602</v>
      </c>
      <c r="Q528" s="471" t="s">
        <v>358</v>
      </c>
      <c r="R528" s="566"/>
      <c r="S528" s="49"/>
      <c r="T528" s="49"/>
      <c r="U528" s="49"/>
      <c r="V528" s="49"/>
      <c r="W528" s="49"/>
      <c r="X528" s="49"/>
      <c r="Y528" s="49"/>
      <c r="Z528" s="49"/>
      <c r="AA528" s="49"/>
      <c r="AB528" s="49"/>
      <c r="AC528" s="49"/>
      <c r="AD528" s="91"/>
      <c r="AE528" s="91"/>
      <c r="AF528" s="91"/>
      <c r="AG528" s="91"/>
    </row>
    <row r="529" spans="1:33">
      <c r="A529" s="534"/>
      <c r="B529" s="534">
        <v>527</v>
      </c>
      <c r="C529" s="534">
        <v>244536</v>
      </c>
      <c r="D529" s="534">
        <v>42898084</v>
      </c>
      <c r="E529" s="50" t="s">
        <v>2540</v>
      </c>
      <c r="F529" s="534">
        <v>41</v>
      </c>
      <c r="G529" s="49" t="s">
        <v>2541</v>
      </c>
      <c r="H529" s="49" t="s">
        <v>301</v>
      </c>
      <c r="I529" s="534">
        <v>997272707</v>
      </c>
      <c r="J529" s="49" t="s">
        <v>302</v>
      </c>
      <c r="K529" s="535">
        <v>46074</v>
      </c>
      <c r="L529" s="49" t="s">
        <v>2542</v>
      </c>
      <c r="M529" s="534" t="s">
        <v>260</v>
      </c>
      <c r="N529" s="49" t="s">
        <v>241</v>
      </c>
      <c r="O529" s="437">
        <v>46086</v>
      </c>
      <c r="P529" s="546" t="s">
        <v>2169</v>
      </c>
      <c r="Q529" s="813" t="s">
        <v>339</v>
      </c>
      <c r="R529" s="566"/>
      <c r="S529" s="49"/>
      <c r="T529" s="49"/>
      <c r="U529" s="49"/>
      <c r="V529" s="49"/>
      <c r="W529" s="49"/>
      <c r="X529" s="49"/>
      <c r="Y529" s="49"/>
      <c r="Z529" s="49"/>
      <c r="AA529" s="49"/>
      <c r="AB529" s="49"/>
      <c r="AC529" s="49"/>
      <c r="AD529" s="91"/>
      <c r="AE529" s="91"/>
      <c r="AF529" s="91"/>
      <c r="AG529" s="91"/>
    </row>
    <row r="530" spans="1:33">
      <c r="A530" s="534"/>
      <c r="B530" s="534">
        <v>528</v>
      </c>
      <c r="C530" s="534">
        <v>247469</v>
      </c>
      <c r="D530" s="534">
        <v>42234417</v>
      </c>
      <c r="E530" s="50" t="s">
        <v>2543</v>
      </c>
      <c r="F530" s="534">
        <v>42</v>
      </c>
      <c r="G530" s="49" t="s">
        <v>2544</v>
      </c>
      <c r="H530" s="49" t="s">
        <v>237</v>
      </c>
      <c r="I530" s="534">
        <v>978821763</v>
      </c>
      <c r="J530" s="49" t="s">
        <v>347</v>
      </c>
      <c r="K530" s="535">
        <v>46074</v>
      </c>
      <c r="L530" s="43" t="s">
        <v>1109</v>
      </c>
      <c r="M530" s="534" t="s">
        <v>260</v>
      </c>
      <c r="N530" s="49" t="s">
        <v>241</v>
      </c>
      <c r="O530" s="437">
        <v>46083</v>
      </c>
      <c r="P530" s="546" t="s">
        <v>292</v>
      </c>
      <c r="Q530" s="807">
        <v>46082</v>
      </c>
      <c r="R530" s="822" t="s">
        <v>2545</v>
      </c>
      <c r="S530" s="49"/>
      <c r="T530" s="49"/>
      <c r="U530" s="49"/>
      <c r="V530" s="49"/>
      <c r="W530" s="49"/>
      <c r="X530" s="49"/>
      <c r="Y530" s="49"/>
      <c r="Z530" s="49"/>
      <c r="AA530" s="49"/>
      <c r="AB530" s="49"/>
      <c r="AC530" s="49"/>
      <c r="AD530" s="91"/>
      <c r="AE530" s="91"/>
      <c r="AF530" s="91"/>
      <c r="AG530" s="91"/>
    </row>
    <row r="531" spans="1:33">
      <c r="A531" s="534"/>
      <c r="B531" s="534">
        <v>529</v>
      </c>
      <c r="C531" s="534">
        <v>96754</v>
      </c>
      <c r="D531" s="534">
        <v>15730342</v>
      </c>
      <c r="E531" s="50" t="s">
        <v>2546</v>
      </c>
      <c r="F531" s="534">
        <v>57</v>
      </c>
      <c r="G531" s="49" t="s">
        <v>2547</v>
      </c>
      <c r="H531" s="49" t="s">
        <v>301</v>
      </c>
      <c r="I531" s="534">
        <v>934092621</v>
      </c>
      <c r="J531" s="49" t="s">
        <v>302</v>
      </c>
      <c r="K531" s="535">
        <v>46074</v>
      </c>
      <c r="L531" s="49" t="s">
        <v>2548</v>
      </c>
      <c r="M531" s="534" t="s">
        <v>260</v>
      </c>
      <c r="N531" s="49" t="s">
        <v>2549</v>
      </c>
      <c r="O531" s="437">
        <v>46086</v>
      </c>
      <c r="P531" s="546" t="s">
        <v>2169</v>
      </c>
      <c r="Q531" s="813" t="s">
        <v>339</v>
      </c>
      <c r="R531" s="564"/>
      <c r="S531" s="49"/>
      <c r="T531" s="49"/>
      <c r="U531" s="49"/>
      <c r="V531" s="49"/>
      <c r="W531" s="49"/>
      <c r="X531" s="49"/>
      <c r="Y531" s="49"/>
      <c r="Z531" s="49"/>
      <c r="AA531" s="49"/>
      <c r="AB531" s="49"/>
      <c r="AC531" s="49"/>
      <c r="AD531" s="91"/>
      <c r="AE531" s="91"/>
      <c r="AF531" s="91"/>
      <c r="AG531" s="91"/>
    </row>
    <row r="532" spans="1:33">
      <c r="A532" s="534"/>
      <c r="B532" s="534">
        <v>530</v>
      </c>
      <c r="C532" s="534">
        <v>325073</v>
      </c>
      <c r="D532" s="534">
        <v>40937732</v>
      </c>
      <c r="E532" s="50" t="s">
        <v>2550</v>
      </c>
      <c r="F532" s="534">
        <v>43</v>
      </c>
      <c r="G532" s="49" t="s">
        <v>2551</v>
      </c>
      <c r="H532" s="49" t="s">
        <v>2552</v>
      </c>
      <c r="I532" s="534">
        <v>980208301</v>
      </c>
      <c r="J532" s="49" t="s">
        <v>247</v>
      </c>
      <c r="K532" s="535">
        <v>46074</v>
      </c>
      <c r="L532" s="49" t="s">
        <v>2553</v>
      </c>
      <c r="M532" s="534" t="s">
        <v>230</v>
      </c>
      <c r="N532" s="49" t="s">
        <v>601</v>
      </c>
      <c r="O532" s="440">
        <v>46101</v>
      </c>
      <c r="P532" s="546" t="s">
        <v>251</v>
      </c>
      <c r="Q532" s="809" t="s">
        <v>334</v>
      </c>
      <c r="R532" s="566"/>
      <c r="S532" s="49"/>
      <c r="T532" s="49"/>
      <c r="U532" s="49"/>
      <c r="V532" s="49"/>
      <c r="W532" s="49"/>
      <c r="X532" s="49"/>
      <c r="Y532" s="49"/>
      <c r="Z532" s="49"/>
      <c r="AA532" s="49"/>
      <c r="AB532" s="49"/>
      <c r="AC532" s="49"/>
      <c r="AD532" s="91"/>
      <c r="AE532" s="91"/>
      <c r="AF532" s="91"/>
      <c r="AG532" s="91"/>
    </row>
    <row r="533" spans="1:33">
      <c r="A533" s="534"/>
      <c r="B533" s="534">
        <v>531</v>
      </c>
      <c r="C533" s="534">
        <v>239769</v>
      </c>
      <c r="D533" s="534">
        <v>15762397</v>
      </c>
      <c r="E533" s="50" t="s">
        <v>2554</v>
      </c>
      <c r="F533" s="534">
        <v>48</v>
      </c>
      <c r="G533" s="49" t="s">
        <v>2555</v>
      </c>
      <c r="H533" s="49" t="s">
        <v>301</v>
      </c>
      <c r="I533" s="534">
        <v>980807668</v>
      </c>
      <c r="J533" s="49" t="s">
        <v>283</v>
      </c>
      <c r="K533" s="535">
        <v>46074</v>
      </c>
      <c r="L533" s="49" t="s">
        <v>2556</v>
      </c>
      <c r="M533" s="534" t="s">
        <v>260</v>
      </c>
      <c r="N533" s="49" t="s">
        <v>655</v>
      </c>
      <c r="O533" s="437">
        <v>46086</v>
      </c>
      <c r="P533" s="534" t="s">
        <v>1962</v>
      </c>
      <c r="Q533" s="809" t="s">
        <v>385</v>
      </c>
      <c r="R533" s="566"/>
      <c r="S533" s="49"/>
      <c r="T533" s="49"/>
      <c r="U533" s="49"/>
      <c r="V533" s="49"/>
      <c r="W533" s="49"/>
      <c r="X533" s="49"/>
      <c r="Y533" s="49"/>
      <c r="Z533" s="49"/>
      <c r="AA533" s="49"/>
      <c r="AB533" s="49"/>
      <c r="AC533" s="49"/>
      <c r="AD533" s="91"/>
      <c r="AE533" s="91"/>
      <c r="AF533" s="91"/>
      <c r="AG533" s="91"/>
    </row>
    <row r="534" spans="1:33">
      <c r="A534" s="534"/>
      <c r="B534" s="534">
        <v>532</v>
      </c>
      <c r="C534" s="534">
        <v>421007</v>
      </c>
      <c r="D534" s="534">
        <v>41454015</v>
      </c>
      <c r="E534" s="50" t="s">
        <v>2557</v>
      </c>
      <c r="F534" s="534">
        <v>43</v>
      </c>
      <c r="G534" s="49" t="s">
        <v>2555</v>
      </c>
      <c r="H534" s="49" t="s">
        <v>301</v>
      </c>
      <c r="I534" s="534">
        <v>998642829</v>
      </c>
      <c r="J534" s="49" t="s">
        <v>283</v>
      </c>
      <c r="K534" s="535">
        <v>46074</v>
      </c>
      <c r="L534" s="49" t="s">
        <v>2558</v>
      </c>
      <c r="M534" s="534" t="s">
        <v>260</v>
      </c>
      <c r="N534" s="49" t="s">
        <v>655</v>
      </c>
      <c r="O534" s="437">
        <v>46086</v>
      </c>
      <c r="P534" s="534" t="s">
        <v>1962</v>
      </c>
      <c r="Q534" s="823">
        <v>46082</v>
      </c>
      <c r="R534" s="566" t="s">
        <v>242</v>
      </c>
      <c r="S534" s="49"/>
      <c r="T534" s="49"/>
      <c r="U534" s="49"/>
      <c r="V534" s="49"/>
      <c r="W534" s="49"/>
      <c r="X534" s="49"/>
      <c r="Y534" s="49"/>
      <c r="Z534" s="49"/>
      <c r="AA534" s="49"/>
      <c r="AB534" s="49"/>
      <c r="AC534" s="49"/>
      <c r="AD534" s="91"/>
      <c r="AE534" s="91"/>
      <c r="AF534" s="91"/>
      <c r="AG534" s="91"/>
    </row>
    <row r="535" spans="1:33">
      <c r="A535" s="534"/>
      <c r="B535" s="534">
        <v>533</v>
      </c>
      <c r="C535" s="534">
        <v>167421</v>
      </c>
      <c r="D535" s="534">
        <v>15204774</v>
      </c>
      <c r="E535" s="50" t="s">
        <v>2559</v>
      </c>
      <c r="F535" s="534">
        <v>49</v>
      </c>
      <c r="G535" s="49" t="s">
        <v>745</v>
      </c>
      <c r="H535" s="49" t="s">
        <v>1420</v>
      </c>
      <c r="I535" s="534">
        <v>994845415</v>
      </c>
      <c r="J535" s="49" t="s">
        <v>746</v>
      </c>
      <c r="K535" s="535">
        <v>46074</v>
      </c>
      <c r="L535" s="49" t="s">
        <v>2560</v>
      </c>
      <c r="M535" s="534" t="s">
        <v>230</v>
      </c>
      <c r="N535" s="49" t="s">
        <v>2561</v>
      </c>
      <c r="O535" s="437">
        <v>46090</v>
      </c>
      <c r="P535" s="539" t="s">
        <v>1423</v>
      </c>
      <c r="Q535" s="802">
        <v>46082</v>
      </c>
      <c r="R535" s="566" t="s">
        <v>242</v>
      </c>
      <c r="S535" s="49"/>
      <c r="T535" s="49"/>
      <c r="U535" s="49"/>
      <c r="V535" s="49"/>
      <c r="W535" s="49"/>
      <c r="X535" s="49"/>
      <c r="Y535" s="49"/>
      <c r="Z535" s="49"/>
      <c r="AA535" s="49"/>
      <c r="AB535" s="49"/>
      <c r="AC535" s="49"/>
      <c r="AD535" s="91"/>
      <c r="AE535" s="91"/>
      <c r="AF535" s="91"/>
      <c r="AG535" s="91"/>
    </row>
    <row r="536" spans="1:33">
      <c r="A536" s="534"/>
      <c r="B536" s="534">
        <v>534</v>
      </c>
      <c r="C536" s="534">
        <v>131528</v>
      </c>
      <c r="D536" s="534">
        <v>42404534</v>
      </c>
      <c r="E536" s="50" t="s">
        <v>2562</v>
      </c>
      <c r="F536" s="534">
        <v>41</v>
      </c>
      <c r="G536" s="49" t="s">
        <v>2563</v>
      </c>
      <c r="H536" s="49" t="s">
        <v>301</v>
      </c>
      <c r="I536" s="534">
        <v>947066917</v>
      </c>
      <c r="J536" s="49" t="s">
        <v>302</v>
      </c>
      <c r="K536" s="535">
        <v>46074</v>
      </c>
      <c r="L536" s="49" t="s">
        <v>2564</v>
      </c>
      <c r="M536" s="534" t="s">
        <v>230</v>
      </c>
      <c r="N536" s="49" t="s">
        <v>601</v>
      </c>
      <c r="O536" s="437">
        <v>46086</v>
      </c>
      <c r="P536" s="546" t="s">
        <v>2169</v>
      </c>
      <c r="Q536" s="823">
        <v>46082</v>
      </c>
      <c r="R536" s="566" t="s">
        <v>242</v>
      </c>
      <c r="S536" s="49"/>
      <c r="T536" s="49"/>
      <c r="U536" s="49"/>
      <c r="V536" s="49"/>
      <c r="W536" s="49"/>
      <c r="X536" s="49"/>
      <c r="Y536" s="49"/>
      <c r="Z536" s="49"/>
      <c r="AA536" s="49"/>
      <c r="AB536" s="49"/>
      <c r="AC536" s="49"/>
      <c r="AD536" s="91"/>
      <c r="AE536" s="91"/>
      <c r="AF536" s="91"/>
      <c r="AG536" s="91"/>
    </row>
    <row r="537" spans="1:33">
      <c r="A537" s="534"/>
      <c r="B537" s="534">
        <v>535</v>
      </c>
      <c r="C537" s="534">
        <v>392234</v>
      </c>
      <c r="D537" s="534">
        <v>80503974</v>
      </c>
      <c r="E537" s="50" t="s">
        <v>2565</v>
      </c>
      <c r="F537" s="534">
        <v>48</v>
      </c>
      <c r="G537" s="49" t="s">
        <v>2566</v>
      </c>
      <c r="H537" s="49" t="s">
        <v>301</v>
      </c>
      <c r="I537" s="534">
        <v>934171055</v>
      </c>
      <c r="J537" s="49" t="s">
        <v>302</v>
      </c>
      <c r="K537" s="535">
        <v>46074</v>
      </c>
      <c r="L537" s="49" t="s">
        <v>2567</v>
      </c>
      <c r="M537" s="534" t="s">
        <v>260</v>
      </c>
      <c r="N537" s="49" t="s">
        <v>241</v>
      </c>
      <c r="O537" s="437">
        <v>46086</v>
      </c>
      <c r="P537" s="546" t="s">
        <v>2169</v>
      </c>
      <c r="Q537" s="823">
        <v>46082</v>
      </c>
      <c r="R537" s="566" t="s">
        <v>242</v>
      </c>
      <c r="S537" s="49"/>
      <c r="T537" s="49"/>
      <c r="U537" s="49"/>
      <c r="V537" s="49"/>
      <c r="W537" s="49"/>
      <c r="X537" s="49"/>
      <c r="Y537" s="49"/>
      <c r="Z537" s="49"/>
      <c r="AA537" s="49"/>
      <c r="AB537" s="49"/>
      <c r="AC537" s="49"/>
      <c r="AD537" s="91"/>
      <c r="AE537" s="91"/>
      <c r="AF537" s="91"/>
      <c r="AG537" s="91"/>
    </row>
    <row r="538" spans="1:33">
      <c r="A538" s="536"/>
      <c r="B538" s="534">
        <v>536</v>
      </c>
      <c r="C538" s="536">
        <v>523252</v>
      </c>
      <c r="D538" s="536">
        <v>41229795</v>
      </c>
      <c r="E538" s="212" t="s">
        <v>2568</v>
      </c>
      <c r="F538" s="536">
        <v>43</v>
      </c>
      <c r="G538" s="59" t="s">
        <v>2569</v>
      </c>
      <c r="H538" s="59" t="s">
        <v>271</v>
      </c>
      <c r="I538" s="536">
        <v>931864793</v>
      </c>
      <c r="J538" s="59" t="s">
        <v>238</v>
      </c>
      <c r="K538" s="591">
        <v>46074</v>
      </c>
      <c r="L538" s="59" t="s">
        <v>2570</v>
      </c>
      <c r="M538" s="536" t="s">
        <v>323</v>
      </c>
      <c r="N538" s="59" t="s">
        <v>601</v>
      </c>
      <c r="O538" s="445">
        <v>46083</v>
      </c>
      <c r="P538" s="612"/>
      <c r="Q538" s="637"/>
      <c r="R538" s="612"/>
      <c r="S538" s="59"/>
      <c r="T538" s="59"/>
      <c r="U538" s="59"/>
      <c r="V538" s="59"/>
      <c r="W538" s="59"/>
      <c r="X538" s="59"/>
      <c r="Y538" s="59"/>
      <c r="Z538" s="59"/>
      <c r="AA538" s="59"/>
      <c r="AB538" s="59"/>
      <c r="AC538" s="59"/>
      <c r="AD538" s="91"/>
      <c r="AE538" s="91"/>
      <c r="AF538" s="91"/>
      <c r="AG538" s="91"/>
    </row>
    <row r="539" spans="1:33">
      <c r="A539" s="534"/>
      <c r="B539" s="534">
        <v>537</v>
      </c>
      <c r="C539" s="534">
        <v>94732</v>
      </c>
      <c r="D539" s="534">
        <v>15611591</v>
      </c>
      <c r="E539" s="50" t="s">
        <v>2571</v>
      </c>
      <c r="F539" s="534">
        <v>60</v>
      </c>
      <c r="G539" s="49" t="s">
        <v>2572</v>
      </c>
      <c r="H539" s="49" t="s">
        <v>2352</v>
      </c>
      <c r="I539" s="534">
        <v>912122042</v>
      </c>
      <c r="J539" s="49" t="s">
        <v>238</v>
      </c>
      <c r="K539" s="535">
        <v>46074</v>
      </c>
      <c r="L539" s="49" t="s">
        <v>683</v>
      </c>
      <c r="M539" s="534" t="s">
        <v>312</v>
      </c>
      <c r="N539" s="49" t="s">
        <v>601</v>
      </c>
      <c r="O539" s="441">
        <v>46083</v>
      </c>
      <c r="P539" s="546"/>
      <c r="Q539" s="546" t="s">
        <v>2573</v>
      </c>
      <c r="R539" s="566"/>
      <c r="S539" s="49"/>
      <c r="T539" s="49"/>
      <c r="U539" s="49"/>
      <c r="V539" s="49"/>
      <c r="W539" s="49"/>
      <c r="X539" s="49"/>
      <c r="Y539" s="49"/>
      <c r="Z539" s="49"/>
      <c r="AA539" s="49"/>
      <c r="AB539" s="49"/>
      <c r="AC539" s="49"/>
      <c r="AD539" s="91"/>
      <c r="AE539" s="91"/>
      <c r="AF539" s="91"/>
      <c r="AG539" s="91"/>
    </row>
    <row r="540" spans="1:33">
      <c r="A540" s="534"/>
      <c r="B540" s="534">
        <v>538</v>
      </c>
      <c r="C540" s="534">
        <v>164274</v>
      </c>
      <c r="D540" s="534">
        <v>15692007</v>
      </c>
      <c r="E540" s="50" t="s">
        <v>2574</v>
      </c>
      <c r="F540" s="534">
        <v>60</v>
      </c>
      <c r="G540" s="49" t="s">
        <v>2575</v>
      </c>
      <c r="H540" s="49" t="s">
        <v>237</v>
      </c>
      <c r="I540" s="534">
        <v>945115957</v>
      </c>
      <c r="J540" s="49" t="s">
        <v>1105</v>
      </c>
      <c r="K540" s="535">
        <v>46074</v>
      </c>
      <c r="L540" s="49" t="s">
        <v>2481</v>
      </c>
      <c r="M540" s="534" t="s">
        <v>230</v>
      </c>
      <c r="N540" s="49" t="s">
        <v>708</v>
      </c>
      <c r="O540" s="437">
        <v>46090</v>
      </c>
      <c r="P540" s="546" t="s">
        <v>1478</v>
      </c>
      <c r="Q540" s="807">
        <v>46082</v>
      </c>
      <c r="R540" s="566" t="s">
        <v>242</v>
      </c>
      <c r="S540" s="49"/>
      <c r="T540" s="49"/>
      <c r="U540" s="49"/>
      <c r="V540" s="49"/>
      <c r="W540" s="49"/>
      <c r="X540" s="49"/>
      <c r="Y540" s="49"/>
      <c r="Z540" s="49"/>
      <c r="AA540" s="49"/>
      <c r="AB540" s="49"/>
      <c r="AC540" s="49"/>
      <c r="AD540" s="91"/>
      <c r="AE540" s="91"/>
      <c r="AF540" s="91"/>
      <c r="AG540" s="91"/>
    </row>
    <row r="541" spans="1:33">
      <c r="A541" s="534"/>
      <c r="B541" s="534">
        <v>539</v>
      </c>
      <c r="C541" s="534">
        <v>256940</v>
      </c>
      <c r="D541" s="534">
        <v>40811829</v>
      </c>
      <c r="E541" s="50" t="s">
        <v>2576</v>
      </c>
      <c r="F541" s="534">
        <v>45</v>
      </c>
      <c r="G541" s="49" t="s">
        <v>2577</v>
      </c>
      <c r="H541" s="49" t="s">
        <v>237</v>
      </c>
      <c r="I541" s="534">
        <v>999676112</v>
      </c>
      <c r="J541" s="49" t="s">
        <v>238</v>
      </c>
      <c r="K541" s="535">
        <v>46074</v>
      </c>
      <c r="L541" s="49" t="s">
        <v>2578</v>
      </c>
      <c r="M541" s="534" t="s">
        <v>260</v>
      </c>
      <c r="N541" s="49" t="s">
        <v>241</v>
      </c>
      <c r="O541" s="441">
        <v>46083</v>
      </c>
      <c r="P541" s="546"/>
      <c r="Q541" s="546" t="s">
        <v>2579</v>
      </c>
      <c r="R541" s="566"/>
      <c r="S541" s="49"/>
      <c r="T541" s="49"/>
      <c r="U541" s="49"/>
      <c r="V541" s="49"/>
      <c r="W541" s="49"/>
      <c r="X541" s="49"/>
      <c r="Y541" s="49"/>
      <c r="Z541" s="49"/>
      <c r="AA541" s="49"/>
      <c r="AB541" s="49"/>
      <c r="AC541" s="49"/>
      <c r="AD541" s="91"/>
      <c r="AE541" s="91"/>
      <c r="AF541" s="91"/>
      <c r="AG541" s="91"/>
    </row>
    <row r="542" spans="1:33">
      <c r="A542" s="534"/>
      <c r="B542" s="534">
        <v>540</v>
      </c>
      <c r="C542" s="534">
        <v>243518</v>
      </c>
      <c r="D542" s="534">
        <v>15763232</v>
      </c>
      <c r="E542" s="50" t="s">
        <v>2580</v>
      </c>
      <c r="F542" s="534">
        <v>45</v>
      </c>
      <c r="G542" s="49" t="s">
        <v>2577</v>
      </c>
      <c r="H542" s="49" t="s">
        <v>237</v>
      </c>
      <c r="I542" s="534">
        <v>979306489</v>
      </c>
      <c r="J542" s="49" t="s">
        <v>238</v>
      </c>
      <c r="K542" s="535">
        <v>46074</v>
      </c>
      <c r="L542" s="49" t="s">
        <v>1098</v>
      </c>
      <c r="M542" s="534" t="s">
        <v>230</v>
      </c>
      <c r="N542" s="49" t="s">
        <v>601</v>
      </c>
      <c r="O542" s="441">
        <v>46083</v>
      </c>
      <c r="P542" s="546"/>
      <c r="Q542" s="546" t="s">
        <v>2581</v>
      </c>
      <c r="R542" s="566"/>
      <c r="S542" s="49"/>
      <c r="T542" s="49"/>
      <c r="U542" s="49"/>
      <c r="V542" s="49"/>
      <c r="W542" s="49"/>
      <c r="X542" s="49"/>
      <c r="Y542" s="49"/>
      <c r="Z542" s="49"/>
      <c r="AA542" s="49"/>
      <c r="AB542" s="49"/>
      <c r="AC542" s="49"/>
      <c r="AD542" s="91"/>
      <c r="AE542" s="91"/>
      <c r="AF542" s="91"/>
      <c r="AG542" s="91"/>
    </row>
    <row r="543" spans="1:33">
      <c r="A543" s="534"/>
      <c r="B543" s="534">
        <v>541</v>
      </c>
      <c r="C543" s="534">
        <v>33695</v>
      </c>
      <c r="D543" s="534">
        <v>15723279</v>
      </c>
      <c r="E543" s="50" t="s">
        <v>2582</v>
      </c>
      <c r="F543" s="534">
        <v>56</v>
      </c>
      <c r="G543" s="49" t="s">
        <v>2583</v>
      </c>
      <c r="H543" s="49" t="s">
        <v>278</v>
      </c>
      <c r="I543" s="534">
        <v>955624088</v>
      </c>
      <c r="J543" s="49" t="s">
        <v>238</v>
      </c>
      <c r="K543" s="535">
        <v>46074</v>
      </c>
      <c r="L543" s="49" t="s">
        <v>458</v>
      </c>
      <c r="M543" s="534" t="s">
        <v>260</v>
      </c>
      <c r="N543" s="49" t="s">
        <v>241</v>
      </c>
      <c r="O543" s="441">
        <v>46084</v>
      </c>
      <c r="P543" s="546"/>
      <c r="Q543" s="546" t="s">
        <v>1186</v>
      </c>
      <c r="R543" s="566"/>
      <c r="S543" s="49"/>
      <c r="T543" s="49"/>
      <c r="U543" s="49"/>
      <c r="V543" s="49"/>
      <c r="W543" s="49"/>
      <c r="X543" s="49"/>
      <c r="Y543" s="49"/>
      <c r="Z543" s="49"/>
      <c r="AA543" s="49"/>
      <c r="AB543" s="49"/>
      <c r="AC543" s="49"/>
      <c r="AD543" s="91"/>
      <c r="AE543" s="91"/>
      <c r="AF543" s="91"/>
      <c r="AG543" s="91"/>
    </row>
    <row r="544" spans="1:33">
      <c r="A544" s="534"/>
      <c r="B544" s="534">
        <v>542</v>
      </c>
      <c r="C544" s="534">
        <v>65048</v>
      </c>
      <c r="D544" s="534">
        <v>15758256</v>
      </c>
      <c r="E544" s="50" t="s">
        <v>2584</v>
      </c>
      <c r="F544" s="534">
        <v>49</v>
      </c>
      <c r="G544" s="49" t="s">
        <v>2585</v>
      </c>
      <c r="H544" s="49" t="s">
        <v>222</v>
      </c>
      <c r="I544" s="534">
        <v>993960669</v>
      </c>
      <c r="J544" s="49" t="s">
        <v>223</v>
      </c>
      <c r="K544" s="535">
        <v>46074</v>
      </c>
      <c r="L544" s="49" t="s">
        <v>845</v>
      </c>
      <c r="M544" s="534" t="s">
        <v>260</v>
      </c>
      <c r="N544" s="49" t="s">
        <v>241</v>
      </c>
      <c r="O544" s="437">
        <v>46083</v>
      </c>
      <c r="P544" s="539" t="s">
        <v>292</v>
      </c>
      <c r="Q544" s="802">
        <v>46082</v>
      </c>
      <c r="R544" s="806" t="s">
        <v>228</v>
      </c>
      <c r="S544" s="49"/>
      <c r="T544" s="49"/>
      <c r="U544" s="49"/>
      <c r="V544" s="49"/>
      <c r="W544" s="49"/>
      <c r="X544" s="49"/>
      <c r="Y544" s="49"/>
      <c r="Z544" s="49"/>
      <c r="AA544" s="49"/>
      <c r="AB544" s="49"/>
      <c r="AC544" s="49"/>
      <c r="AD544" s="91"/>
      <c r="AE544" s="91"/>
      <c r="AF544" s="91"/>
      <c r="AG544" s="91"/>
    </row>
    <row r="545" spans="1:33">
      <c r="A545" s="552">
        <v>46076</v>
      </c>
      <c r="B545" s="534">
        <v>543</v>
      </c>
      <c r="C545" s="555">
        <v>523299</v>
      </c>
      <c r="D545" s="479">
        <v>16007282</v>
      </c>
      <c r="E545" s="58" t="s">
        <v>2586</v>
      </c>
      <c r="F545" s="555">
        <v>57</v>
      </c>
      <c r="G545" s="52" t="s">
        <v>2587</v>
      </c>
      <c r="H545" s="52" t="s">
        <v>271</v>
      </c>
      <c r="I545" s="555">
        <v>929470713</v>
      </c>
      <c r="J545" s="52" t="s">
        <v>164</v>
      </c>
      <c r="K545" s="601">
        <v>46076</v>
      </c>
      <c r="L545" s="49" t="s">
        <v>458</v>
      </c>
      <c r="M545" s="534" t="s">
        <v>260</v>
      </c>
      <c r="N545" s="49" t="s">
        <v>241</v>
      </c>
      <c r="O545" s="441">
        <v>46083</v>
      </c>
      <c r="P545" s="414" t="s">
        <v>2588</v>
      </c>
      <c r="Q545" s="471" t="s">
        <v>358</v>
      </c>
      <c r="R545" s="534"/>
      <c r="S545" s="49"/>
      <c r="T545" s="49"/>
      <c r="U545" s="49"/>
      <c r="V545" s="49"/>
      <c r="W545" s="49"/>
      <c r="X545" s="49"/>
      <c r="Y545" s="49"/>
      <c r="Z545" s="49"/>
      <c r="AA545" s="49"/>
      <c r="AB545" s="49"/>
      <c r="AC545" s="49"/>
      <c r="AD545" s="91"/>
      <c r="AE545" s="91"/>
      <c r="AF545" s="91"/>
      <c r="AG545" s="91"/>
    </row>
    <row r="546" spans="1:33">
      <c r="A546" s="534"/>
      <c r="B546" s="534">
        <v>544</v>
      </c>
      <c r="C546" s="534">
        <v>156744</v>
      </c>
      <c r="D546" s="534">
        <v>47377450</v>
      </c>
      <c r="E546" s="50" t="s">
        <v>2589</v>
      </c>
      <c r="F546" s="534">
        <v>67</v>
      </c>
      <c r="G546" s="49" t="s">
        <v>2590</v>
      </c>
      <c r="H546" s="49" t="s">
        <v>326</v>
      </c>
      <c r="I546" s="534">
        <v>978701751</v>
      </c>
      <c r="J546" s="49" t="s">
        <v>1527</v>
      </c>
      <c r="K546" s="601">
        <v>46076</v>
      </c>
      <c r="L546" s="49" t="s">
        <v>683</v>
      </c>
      <c r="M546" s="534" t="s">
        <v>312</v>
      </c>
      <c r="N546" s="49" t="s">
        <v>601</v>
      </c>
      <c r="O546" s="437">
        <v>46094</v>
      </c>
      <c r="P546" s="539" t="s">
        <v>1529</v>
      </c>
      <c r="Q546" s="802">
        <v>46082</v>
      </c>
      <c r="R546" s="566" t="s">
        <v>242</v>
      </c>
      <c r="S546" s="49"/>
      <c r="T546" s="49"/>
      <c r="U546" s="49"/>
      <c r="V546" s="49"/>
      <c r="W546" s="49"/>
      <c r="X546" s="49"/>
      <c r="Y546" s="49"/>
      <c r="Z546" s="49"/>
      <c r="AA546" s="49"/>
      <c r="AB546" s="49"/>
      <c r="AC546" s="49"/>
      <c r="AD546" s="91"/>
      <c r="AE546" s="91"/>
      <c r="AF546" s="91"/>
      <c r="AG546" s="91"/>
    </row>
    <row r="547" spans="1:33" ht="24.75">
      <c r="A547" s="555"/>
      <c r="B547" s="534">
        <v>545</v>
      </c>
      <c r="C547" s="555">
        <v>310112</v>
      </c>
      <c r="D547" s="555">
        <v>42747825</v>
      </c>
      <c r="E547" s="254" t="s">
        <v>2591</v>
      </c>
      <c r="F547" s="555">
        <v>42</v>
      </c>
      <c r="G547" s="52" t="s">
        <v>2592</v>
      </c>
      <c r="H547" s="52" t="s">
        <v>326</v>
      </c>
      <c r="I547" s="555">
        <v>999458274</v>
      </c>
      <c r="J547" s="52" t="s">
        <v>328</v>
      </c>
      <c r="K547" s="601">
        <v>46076</v>
      </c>
      <c r="L547" s="49" t="s">
        <v>2593</v>
      </c>
      <c r="M547" s="534" t="s">
        <v>260</v>
      </c>
      <c r="N547" s="49" t="s">
        <v>2344</v>
      </c>
      <c r="O547" s="437">
        <v>46083</v>
      </c>
      <c r="P547" s="546" t="s">
        <v>292</v>
      </c>
      <c r="Q547" s="824" t="s">
        <v>334</v>
      </c>
      <c r="R547" s="534"/>
      <c r="S547" s="49"/>
      <c r="T547" s="49"/>
      <c r="U547" s="49"/>
      <c r="V547" s="49"/>
      <c r="W547" s="49"/>
      <c r="X547" s="49"/>
      <c r="Y547" s="49"/>
      <c r="Z547" s="49"/>
      <c r="AA547" s="49"/>
      <c r="AB547" s="49"/>
      <c r="AC547" s="49"/>
      <c r="AD547" s="91"/>
      <c r="AE547" s="91"/>
      <c r="AF547" s="91"/>
      <c r="AG547" s="91"/>
    </row>
    <row r="548" spans="1:33">
      <c r="A548" s="555"/>
      <c r="B548" s="534">
        <v>546</v>
      </c>
      <c r="C548" s="555">
        <v>316942</v>
      </c>
      <c r="D548" s="479">
        <v>22753361</v>
      </c>
      <c r="E548" s="58" t="s">
        <v>2594</v>
      </c>
      <c r="F548" s="479">
        <v>48</v>
      </c>
      <c r="G548" s="52" t="s">
        <v>2595</v>
      </c>
      <c r="H548" s="52" t="s">
        <v>301</v>
      </c>
      <c r="I548" s="479">
        <v>997087489</v>
      </c>
      <c r="J548" s="47" t="s">
        <v>302</v>
      </c>
      <c r="K548" s="601">
        <v>46076</v>
      </c>
      <c r="L548" s="49" t="s">
        <v>2596</v>
      </c>
      <c r="M548" s="534" t="s">
        <v>260</v>
      </c>
      <c r="N548" s="49" t="s">
        <v>2597</v>
      </c>
      <c r="O548" s="437">
        <v>46086</v>
      </c>
      <c r="P548" s="546" t="s">
        <v>2169</v>
      </c>
      <c r="Q548" s="825">
        <v>46082</v>
      </c>
      <c r="R548" s="534" t="s">
        <v>242</v>
      </c>
      <c r="S548" s="49"/>
      <c r="T548" s="49"/>
      <c r="U548" s="49"/>
      <c r="V548" s="49"/>
      <c r="W548" s="49"/>
      <c r="X548" s="49"/>
      <c r="Y548" s="49"/>
      <c r="Z548" s="49"/>
      <c r="AA548" s="49"/>
      <c r="AB548" s="49"/>
      <c r="AC548" s="49"/>
      <c r="AD548" s="91"/>
      <c r="AE548" s="91"/>
      <c r="AF548" s="91"/>
      <c r="AG548" s="91"/>
    </row>
    <row r="549" spans="1:33">
      <c r="A549" s="534"/>
      <c r="B549" s="534">
        <v>547</v>
      </c>
      <c r="C549" s="534">
        <v>174742</v>
      </c>
      <c r="D549" s="534">
        <v>27666222</v>
      </c>
      <c r="E549" s="50" t="s">
        <v>2598</v>
      </c>
      <c r="F549" s="534">
        <v>61</v>
      </c>
      <c r="G549" s="49" t="s">
        <v>2599</v>
      </c>
      <c r="H549" s="49" t="s">
        <v>278</v>
      </c>
      <c r="I549" s="534">
        <v>950652235</v>
      </c>
      <c r="J549" s="49" t="s">
        <v>384</v>
      </c>
      <c r="K549" s="535">
        <v>46073</v>
      </c>
      <c r="L549" s="49" t="s">
        <v>2600</v>
      </c>
      <c r="M549" s="534" t="s">
        <v>230</v>
      </c>
      <c r="N549" s="49" t="s">
        <v>2358</v>
      </c>
      <c r="O549" s="437">
        <v>46086</v>
      </c>
      <c r="P549" s="419" t="s">
        <v>2154</v>
      </c>
      <c r="Q549" s="802">
        <v>46082</v>
      </c>
      <c r="R549" s="808">
        <v>46082</v>
      </c>
      <c r="S549" s="49"/>
      <c r="T549" s="49"/>
      <c r="U549" s="49"/>
      <c r="V549" s="49"/>
      <c r="W549" s="49"/>
      <c r="X549" s="49"/>
      <c r="Y549" s="49"/>
      <c r="Z549" s="49"/>
      <c r="AA549" s="49"/>
      <c r="AB549" s="49"/>
      <c r="AC549" s="49"/>
      <c r="AD549" s="91"/>
      <c r="AE549" s="91"/>
      <c r="AF549" s="91"/>
      <c r="AG549" s="91"/>
    </row>
    <row r="550" spans="1:33">
      <c r="A550" s="555"/>
      <c r="B550" s="534">
        <v>548</v>
      </c>
      <c r="C550" s="555">
        <v>401800</v>
      </c>
      <c r="D550" s="479">
        <v>15657957</v>
      </c>
      <c r="E550" s="58" t="s">
        <v>2601</v>
      </c>
      <c r="F550" s="479">
        <v>62</v>
      </c>
      <c r="G550" s="52" t="s">
        <v>2602</v>
      </c>
      <c r="H550" s="52" t="s">
        <v>301</v>
      </c>
      <c r="I550" s="479">
        <v>900878527</v>
      </c>
      <c r="J550" s="47" t="s">
        <v>302</v>
      </c>
      <c r="K550" s="601">
        <v>46076</v>
      </c>
      <c r="L550" s="49" t="s">
        <v>2603</v>
      </c>
      <c r="M550" s="534" t="s">
        <v>260</v>
      </c>
      <c r="N550" s="49" t="s">
        <v>2604</v>
      </c>
      <c r="O550" s="437">
        <v>46086</v>
      </c>
      <c r="P550" s="546" t="s">
        <v>2169</v>
      </c>
      <c r="Q550" s="825">
        <v>46082</v>
      </c>
      <c r="R550" s="534" t="s">
        <v>242</v>
      </c>
      <c r="S550" s="49"/>
      <c r="T550" s="49"/>
      <c r="U550" s="49"/>
      <c r="V550" s="49"/>
      <c r="W550" s="49"/>
      <c r="X550" s="49"/>
      <c r="Y550" s="49"/>
      <c r="Z550" s="49"/>
      <c r="AA550" s="49"/>
      <c r="AB550" s="49"/>
      <c r="AC550" s="49"/>
      <c r="AD550" s="91"/>
      <c r="AE550" s="91"/>
      <c r="AF550" s="91"/>
      <c r="AG550" s="91"/>
    </row>
    <row r="551" spans="1:33" ht="24.75">
      <c r="A551" s="555"/>
      <c r="B551" s="534">
        <v>549</v>
      </c>
      <c r="C551" s="555">
        <v>7308</v>
      </c>
      <c r="D551" s="479">
        <v>15731964</v>
      </c>
      <c r="E551" s="58" t="s">
        <v>2605</v>
      </c>
      <c r="F551" s="479">
        <v>55</v>
      </c>
      <c r="G551" s="52" t="s">
        <v>2606</v>
      </c>
      <c r="H551" s="52" t="s">
        <v>301</v>
      </c>
      <c r="I551" s="479">
        <v>935923405</v>
      </c>
      <c r="J551" s="47" t="s">
        <v>302</v>
      </c>
      <c r="K551" s="601">
        <v>46076</v>
      </c>
      <c r="L551" s="49" t="s">
        <v>2607</v>
      </c>
      <c r="M551" s="534" t="s">
        <v>1102</v>
      </c>
      <c r="N551" s="49" t="s">
        <v>1199</v>
      </c>
      <c r="O551" s="437">
        <v>46086</v>
      </c>
      <c r="P551" s="546" t="s">
        <v>2169</v>
      </c>
      <c r="Q551" s="824" t="s">
        <v>334</v>
      </c>
      <c r="R551" s="534"/>
      <c r="S551" s="49"/>
      <c r="T551" s="49"/>
      <c r="U551" s="49"/>
      <c r="V551" s="49"/>
      <c r="W551" s="49"/>
      <c r="X551" s="49"/>
      <c r="Y551" s="49"/>
      <c r="Z551" s="49"/>
      <c r="AA551" s="49"/>
      <c r="AB551" s="49"/>
      <c r="AC551" s="49"/>
      <c r="AD551" s="91"/>
      <c r="AE551" s="91"/>
      <c r="AF551" s="91"/>
      <c r="AG551" s="91"/>
    </row>
    <row r="552" spans="1:33" ht="24.75">
      <c r="A552" s="555"/>
      <c r="B552" s="534">
        <v>550</v>
      </c>
      <c r="C552" s="555">
        <v>489332</v>
      </c>
      <c r="D552" s="555">
        <v>31834554</v>
      </c>
      <c r="E552" s="254" t="s">
        <v>2608</v>
      </c>
      <c r="F552" s="555">
        <v>48</v>
      </c>
      <c r="G552" s="52" t="s">
        <v>2609</v>
      </c>
      <c r="H552" s="52" t="s">
        <v>326</v>
      </c>
      <c r="I552" s="555">
        <v>918774718</v>
      </c>
      <c r="J552" s="52" t="s">
        <v>827</v>
      </c>
      <c r="K552" s="601">
        <v>46076</v>
      </c>
      <c r="L552" s="49" t="s">
        <v>913</v>
      </c>
      <c r="M552" s="534" t="s">
        <v>260</v>
      </c>
      <c r="N552" s="49" t="s">
        <v>655</v>
      </c>
      <c r="O552" s="437">
        <v>46104</v>
      </c>
      <c r="P552" s="546" t="s">
        <v>1798</v>
      </c>
      <c r="Q552" s="826">
        <v>46082</v>
      </c>
      <c r="R552" s="534" t="s">
        <v>242</v>
      </c>
      <c r="S552" s="49"/>
      <c r="T552" s="49"/>
      <c r="U552" s="49"/>
      <c r="V552" s="49"/>
      <c r="W552" s="49"/>
      <c r="X552" s="49"/>
      <c r="Y552" s="49"/>
      <c r="Z552" s="49"/>
      <c r="AA552" s="49"/>
      <c r="AB552" s="49"/>
      <c r="AC552" s="49"/>
      <c r="AD552" s="91"/>
      <c r="AE552" s="91"/>
      <c r="AF552" s="91"/>
      <c r="AG552" s="91"/>
    </row>
    <row r="553" spans="1:33">
      <c r="A553" s="555"/>
      <c r="B553" s="534">
        <v>551</v>
      </c>
      <c r="C553" s="555">
        <v>140901</v>
      </c>
      <c r="D553" s="479">
        <v>15657663</v>
      </c>
      <c r="E553" s="58" t="s">
        <v>2610</v>
      </c>
      <c r="F553" s="479">
        <v>64</v>
      </c>
      <c r="G553" s="52" t="s">
        <v>2611</v>
      </c>
      <c r="H553" s="52" t="s">
        <v>301</v>
      </c>
      <c r="I553" s="479">
        <v>941426659</v>
      </c>
      <c r="J553" s="47" t="s">
        <v>302</v>
      </c>
      <c r="K553" s="601">
        <v>46076</v>
      </c>
      <c r="L553" s="49" t="s">
        <v>2612</v>
      </c>
      <c r="M553" s="534" t="s">
        <v>1102</v>
      </c>
      <c r="N553" s="49" t="s">
        <v>2344</v>
      </c>
      <c r="O553" s="437">
        <v>46086</v>
      </c>
      <c r="P553" s="546" t="s">
        <v>2169</v>
      </c>
      <c r="Q553" s="824" t="s">
        <v>385</v>
      </c>
      <c r="R553" s="534"/>
      <c r="S553" s="49"/>
      <c r="T553" s="49"/>
      <c r="U553" s="49"/>
      <c r="V553" s="49"/>
      <c r="W553" s="49"/>
      <c r="X553" s="49"/>
      <c r="Y553" s="49"/>
      <c r="Z553" s="49"/>
      <c r="AA553" s="49"/>
      <c r="AB553" s="49"/>
      <c r="AC553" s="49"/>
      <c r="AD553" s="91"/>
      <c r="AE553" s="91"/>
      <c r="AF553" s="91"/>
      <c r="AG553" s="91"/>
    </row>
    <row r="554" spans="1:33">
      <c r="A554" s="534"/>
      <c r="B554" s="534">
        <v>552</v>
      </c>
      <c r="C554" s="534">
        <v>4526581</v>
      </c>
      <c r="D554" s="534">
        <v>16019157</v>
      </c>
      <c r="E554" s="50" t="s">
        <v>2613</v>
      </c>
      <c r="F554" s="534">
        <v>48</v>
      </c>
      <c r="G554" s="49" t="s">
        <v>2614</v>
      </c>
      <c r="H554" s="49" t="s">
        <v>2149</v>
      </c>
      <c r="I554" s="534">
        <v>900933904</v>
      </c>
      <c r="J554" s="49" t="s">
        <v>2150</v>
      </c>
      <c r="K554" s="601">
        <v>46076</v>
      </c>
      <c r="L554" s="49" t="s">
        <v>388</v>
      </c>
      <c r="M554" s="534" t="s">
        <v>230</v>
      </c>
      <c r="N554" s="49" t="s">
        <v>241</v>
      </c>
      <c r="O554" s="441">
        <v>46083</v>
      </c>
      <c r="P554" s="566" t="s">
        <v>1621</v>
      </c>
      <c r="Q554" s="471" t="s">
        <v>358</v>
      </c>
      <c r="R554" s="566"/>
      <c r="S554" s="49"/>
      <c r="T554" s="49"/>
      <c r="U554" s="49"/>
      <c r="V554" s="49"/>
      <c r="W554" s="49"/>
      <c r="X554" s="49"/>
      <c r="Y554" s="49"/>
      <c r="Z554" s="49"/>
      <c r="AA554" s="49"/>
      <c r="AB554" s="49"/>
      <c r="AC554" s="49"/>
      <c r="AD554" s="91"/>
      <c r="AE554" s="91"/>
      <c r="AF554" s="91"/>
      <c r="AG554" s="91"/>
    </row>
    <row r="555" spans="1:33">
      <c r="A555" s="555"/>
      <c r="B555" s="534">
        <v>553</v>
      </c>
      <c r="C555" s="555">
        <v>41406</v>
      </c>
      <c r="D555" s="555">
        <v>15741860</v>
      </c>
      <c r="E555" s="254" t="s">
        <v>2615</v>
      </c>
      <c r="F555" s="555">
        <v>52</v>
      </c>
      <c r="G555" s="52" t="s">
        <v>2616</v>
      </c>
      <c r="H555" s="52" t="s">
        <v>237</v>
      </c>
      <c r="I555" s="555">
        <v>959273707</v>
      </c>
      <c r="J555" s="52" t="s">
        <v>742</v>
      </c>
      <c r="K555" s="601">
        <v>46076</v>
      </c>
      <c r="L555" s="49" t="s">
        <v>2617</v>
      </c>
      <c r="M555" s="534" t="s">
        <v>312</v>
      </c>
      <c r="N555" s="49" t="s">
        <v>2370</v>
      </c>
      <c r="O555" s="437">
        <v>46094</v>
      </c>
      <c r="P555" s="546" t="s">
        <v>2165</v>
      </c>
      <c r="Q555" s="824" t="s">
        <v>334</v>
      </c>
      <c r="R555" s="534"/>
      <c r="S555" s="49"/>
      <c r="T555" s="49"/>
      <c r="U555" s="49"/>
      <c r="V555" s="49"/>
      <c r="W555" s="49"/>
      <c r="X555" s="49"/>
      <c r="Y555" s="49"/>
      <c r="Z555" s="49"/>
      <c r="AA555" s="49"/>
      <c r="AB555" s="49"/>
      <c r="AC555" s="49"/>
      <c r="AD555" s="91"/>
      <c r="AE555" s="91"/>
      <c r="AF555" s="91"/>
      <c r="AG555" s="91"/>
    </row>
    <row r="556" spans="1:33">
      <c r="A556" s="555"/>
      <c r="B556" s="534">
        <v>554</v>
      </c>
      <c r="C556" s="555">
        <v>83584</v>
      </c>
      <c r="D556" s="479">
        <v>15616562</v>
      </c>
      <c r="E556" s="58" t="s">
        <v>2618</v>
      </c>
      <c r="F556" s="479">
        <v>58</v>
      </c>
      <c r="G556" s="52" t="s">
        <v>2619</v>
      </c>
      <c r="H556" s="52" t="s">
        <v>278</v>
      </c>
      <c r="I556" s="479">
        <v>982624668</v>
      </c>
      <c r="J556" s="47" t="s">
        <v>384</v>
      </c>
      <c r="K556" s="601">
        <v>46076</v>
      </c>
      <c r="L556" s="49" t="s">
        <v>2620</v>
      </c>
      <c r="M556" s="534" t="s">
        <v>260</v>
      </c>
      <c r="N556" s="43" t="s">
        <v>655</v>
      </c>
      <c r="O556" s="437">
        <v>46086</v>
      </c>
      <c r="P556" s="419" t="s">
        <v>2154</v>
      </c>
      <c r="Q556" s="802">
        <v>46082</v>
      </c>
      <c r="R556" s="808">
        <v>46082</v>
      </c>
      <c r="S556" s="49"/>
      <c r="T556" s="49"/>
      <c r="U556" s="49"/>
      <c r="V556" s="49"/>
      <c r="W556" s="49"/>
      <c r="X556" s="49"/>
      <c r="Y556" s="49"/>
      <c r="Z556" s="49"/>
      <c r="AA556" s="49"/>
      <c r="AB556" s="49"/>
      <c r="AC556" s="49"/>
      <c r="AD556" s="91"/>
      <c r="AE556" s="91"/>
      <c r="AF556" s="91"/>
      <c r="AG556" s="91"/>
    </row>
    <row r="557" spans="1:33">
      <c r="A557" s="534"/>
      <c r="B557" s="534">
        <v>555</v>
      </c>
      <c r="C557" s="534">
        <v>523308</v>
      </c>
      <c r="D557" s="320">
        <v>16012380</v>
      </c>
      <c r="E557" s="50" t="s">
        <v>2621</v>
      </c>
      <c r="F557" s="534">
        <v>48</v>
      </c>
      <c r="G557" s="49" t="s">
        <v>2622</v>
      </c>
      <c r="H557" s="49" t="s">
        <v>461</v>
      </c>
      <c r="I557" s="534">
        <v>929578495</v>
      </c>
      <c r="J557" s="49" t="s">
        <v>162</v>
      </c>
      <c r="K557" s="601">
        <v>46076</v>
      </c>
      <c r="L557" s="49" t="s">
        <v>388</v>
      </c>
      <c r="M557" s="534" t="s">
        <v>230</v>
      </c>
      <c r="N557" s="49" t="s">
        <v>241</v>
      </c>
      <c r="O557" s="441">
        <v>46083</v>
      </c>
      <c r="P557" s="546" t="s">
        <v>1602</v>
      </c>
      <c r="Q557" s="471" t="s">
        <v>358</v>
      </c>
      <c r="R557" s="566"/>
      <c r="S557" s="49"/>
      <c r="T557" s="49"/>
      <c r="U557" s="49"/>
      <c r="V557" s="49"/>
      <c r="W557" s="49"/>
      <c r="X557" s="49"/>
      <c r="Y557" s="49"/>
      <c r="Z557" s="49"/>
      <c r="AA557" s="49"/>
      <c r="AB557" s="49"/>
      <c r="AC557" s="49"/>
      <c r="AD557" s="91"/>
      <c r="AE557" s="91"/>
      <c r="AF557" s="91"/>
      <c r="AG557" s="91"/>
    </row>
    <row r="558" spans="1:33">
      <c r="A558" s="534"/>
      <c r="B558" s="534">
        <v>556</v>
      </c>
      <c r="C558" s="534">
        <v>296527</v>
      </c>
      <c r="D558" s="534">
        <v>15763342</v>
      </c>
      <c r="E558" s="50" t="s">
        <v>2623</v>
      </c>
      <c r="F558" s="534">
        <v>48</v>
      </c>
      <c r="G558" s="49" t="s">
        <v>2624</v>
      </c>
      <c r="H558" s="49" t="s">
        <v>237</v>
      </c>
      <c r="I558" s="534">
        <v>993584301</v>
      </c>
      <c r="J558" s="49" t="s">
        <v>238</v>
      </c>
      <c r="K558" s="601">
        <v>46076</v>
      </c>
      <c r="L558" s="49" t="s">
        <v>516</v>
      </c>
      <c r="M558" s="534" t="s">
        <v>312</v>
      </c>
      <c r="N558" s="49" t="s">
        <v>884</v>
      </c>
      <c r="O558" s="441">
        <v>46083</v>
      </c>
      <c r="P558" s="546"/>
      <c r="Q558" s="546" t="s">
        <v>2625</v>
      </c>
      <c r="R558" s="566"/>
      <c r="S558" s="49"/>
      <c r="T558" s="49"/>
      <c r="U558" s="49"/>
      <c r="V558" s="49"/>
      <c r="W558" s="49"/>
      <c r="X558" s="49"/>
      <c r="Y558" s="49"/>
      <c r="Z558" s="49"/>
      <c r="AA558" s="49"/>
      <c r="AB558" s="49"/>
      <c r="AC558" s="49"/>
      <c r="AD558" s="91"/>
      <c r="AE558" s="91"/>
      <c r="AF558" s="91"/>
      <c r="AG558" s="91"/>
    </row>
    <row r="559" spans="1:33">
      <c r="A559" s="534"/>
      <c r="B559" s="534">
        <v>557</v>
      </c>
      <c r="C559" s="534">
        <v>523309</v>
      </c>
      <c r="D559" s="534">
        <v>15752176</v>
      </c>
      <c r="E559" s="50" t="s">
        <v>2626</v>
      </c>
      <c r="F559" s="534">
        <v>51</v>
      </c>
      <c r="G559" s="49" t="s">
        <v>2627</v>
      </c>
      <c r="H559" s="49" t="s">
        <v>461</v>
      </c>
      <c r="I559" s="534">
        <v>916463255</v>
      </c>
      <c r="J559" s="49" t="s">
        <v>162</v>
      </c>
      <c r="K559" s="601">
        <v>46076</v>
      </c>
      <c r="L559" s="49" t="s">
        <v>376</v>
      </c>
      <c r="M559" s="534" t="s">
        <v>230</v>
      </c>
      <c r="N559" s="49" t="s">
        <v>884</v>
      </c>
      <c r="O559" s="441">
        <v>46083</v>
      </c>
      <c r="P559" s="546" t="s">
        <v>1602</v>
      </c>
      <c r="Q559" s="471" t="s">
        <v>358</v>
      </c>
      <c r="R559" s="566"/>
      <c r="S559" s="49"/>
      <c r="T559" s="49"/>
      <c r="U559" s="49"/>
      <c r="V559" s="49"/>
      <c r="W559" s="49"/>
      <c r="X559" s="49"/>
      <c r="Y559" s="49"/>
      <c r="Z559" s="49"/>
      <c r="AA559" s="49"/>
      <c r="AB559" s="49"/>
      <c r="AC559" s="49"/>
      <c r="AD559" s="91"/>
      <c r="AE559" s="91"/>
      <c r="AF559" s="91"/>
      <c r="AG559" s="91"/>
    </row>
    <row r="560" spans="1:33" ht="24.75">
      <c r="A560" s="555"/>
      <c r="B560" s="534">
        <v>558</v>
      </c>
      <c r="C560" s="555">
        <v>233043</v>
      </c>
      <c r="D560" s="555">
        <v>43289905</v>
      </c>
      <c r="E560" s="254" t="s">
        <v>2628</v>
      </c>
      <c r="F560" s="555">
        <v>40</v>
      </c>
      <c r="G560" s="52" t="s">
        <v>2629</v>
      </c>
      <c r="H560" s="52" t="s">
        <v>246</v>
      </c>
      <c r="I560" s="555">
        <v>997251606</v>
      </c>
      <c r="J560" s="52" t="s">
        <v>2630</v>
      </c>
      <c r="K560" s="601">
        <v>46076</v>
      </c>
      <c r="L560" s="49" t="s">
        <v>2631</v>
      </c>
      <c r="M560" s="534" t="s">
        <v>312</v>
      </c>
      <c r="N560" s="49" t="s">
        <v>1249</v>
      </c>
      <c r="O560" s="437">
        <v>46083</v>
      </c>
      <c r="P560" s="539" t="s">
        <v>292</v>
      </c>
      <c r="Q560" s="802">
        <v>46082</v>
      </c>
      <c r="R560" s="534" t="s">
        <v>242</v>
      </c>
      <c r="S560" s="49"/>
      <c r="T560" s="49"/>
      <c r="U560" s="49"/>
      <c r="V560" s="49"/>
      <c r="W560" s="49"/>
      <c r="X560" s="49"/>
      <c r="Y560" s="49"/>
      <c r="Z560" s="49"/>
      <c r="AA560" s="49"/>
      <c r="AB560" s="49"/>
      <c r="AC560" s="49"/>
      <c r="AD560" s="91"/>
      <c r="AE560" s="91"/>
      <c r="AF560" s="91"/>
      <c r="AG560" s="91"/>
    </row>
    <row r="561" spans="1:33">
      <c r="A561" s="534"/>
      <c r="B561" s="534">
        <v>559</v>
      </c>
      <c r="C561" s="534">
        <v>70409</v>
      </c>
      <c r="D561" s="534">
        <v>15585699</v>
      </c>
      <c r="E561" s="50" t="s">
        <v>2632</v>
      </c>
      <c r="F561" s="534">
        <v>65</v>
      </c>
      <c r="G561" s="49" t="s">
        <v>2633</v>
      </c>
      <c r="H561" s="49" t="s">
        <v>301</v>
      </c>
      <c r="I561" s="534">
        <v>953852056</v>
      </c>
      <c r="J561" s="49" t="s">
        <v>238</v>
      </c>
      <c r="K561" s="601">
        <v>46074</v>
      </c>
      <c r="L561" s="49" t="s">
        <v>376</v>
      </c>
      <c r="M561" s="534" t="s">
        <v>230</v>
      </c>
      <c r="N561" s="49" t="s">
        <v>884</v>
      </c>
      <c r="O561" s="441">
        <v>46083</v>
      </c>
      <c r="P561" s="546"/>
      <c r="Q561" s="546" t="s">
        <v>1609</v>
      </c>
      <c r="R561" s="566"/>
      <c r="S561" s="49"/>
      <c r="T561" s="49"/>
      <c r="U561" s="49"/>
      <c r="V561" s="49"/>
      <c r="W561" s="49"/>
      <c r="X561" s="49"/>
      <c r="Y561" s="49"/>
      <c r="Z561" s="49"/>
      <c r="AA561" s="49"/>
      <c r="AB561" s="49"/>
      <c r="AC561" s="49"/>
      <c r="AD561" s="91"/>
      <c r="AE561" s="91"/>
      <c r="AF561" s="91"/>
      <c r="AG561" s="91"/>
    </row>
    <row r="562" spans="1:33">
      <c r="A562" s="534"/>
      <c r="B562" s="534">
        <v>560</v>
      </c>
      <c r="C562" s="534">
        <v>523264</v>
      </c>
      <c r="D562" s="534" t="s">
        <v>2634</v>
      </c>
      <c r="E562" s="50" t="s">
        <v>2635</v>
      </c>
      <c r="F562" s="534">
        <v>63</v>
      </c>
      <c r="G562" s="49" t="s">
        <v>2636</v>
      </c>
      <c r="H562" s="49" t="s">
        <v>271</v>
      </c>
      <c r="I562" s="534">
        <v>986343419</v>
      </c>
      <c r="J562" s="49" t="s">
        <v>162</v>
      </c>
      <c r="K562" s="601">
        <v>46074</v>
      </c>
      <c r="L562" s="49" t="s">
        <v>2637</v>
      </c>
      <c r="M562" s="534" t="s">
        <v>230</v>
      </c>
      <c r="N562" s="49" t="s">
        <v>884</v>
      </c>
      <c r="O562" s="441">
        <v>46083</v>
      </c>
      <c r="P562" s="546" t="s">
        <v>1602</v>
      </c>
      <c r="Q562" s="471" t="s">
        <v>358</v>
      </c>
      <c r="R562" s="566"/>
      <c r="S562" s="49"/>
      <c r="T562" s="49"/>
      <c r="U562" s="49"/>
      <c r="V562" s="49"/>
      <c r="W562" s="49"/>
      <c r="X562" s="49"/>
      <c r="Y562" s="49"/>
      <c r="Z562" s="49"/>
      <c r="AA562" s="49"/>
      <c r="AB562" s="49"/>
      <c r="AC562" s="49"/>
      <c r="AD562" s="91"/>
      <c r="AE562" s="91"/>
      <c r="AF562" s="91"/>
      <c r="AG562" s="91"/>
    </row>
    <row r="563" spans="1:33">
      <c r="A563" s="534"/>
      <c r="B563" s="534">
        <v>561</v>
      </c>
      <c r="C563" s="534">
        <v>523265</v>
      </c>
      <c r="D563" s="534">
        <v>41011688</v>
      </c>
      <c r="E563" s="50" t="s">
        <v>2638</v>
      </c>
      <c r="F563" s="534">
        <v>44</v>
      </c>
      <c r="G563" s="49" t="s">
        <v>2639</v>
      </c>
      <c r="H563" s="49" t="s">
        <v>461</v>
      </c>
      <c r="I563" s="534">
        <v>926697112</v>
      </c>
      <c r="J563" s="49" t="s">
        <v>162</v>
      </c>
      <c r="K563" s="601">
        <v>46076</v>
      </c>
      <c r="L563" s="49" t="s">
        <v>376</v>
      </c>
      <c r="M563" s="534" t="s">
        <v>230</v>
      </c>
      <c r="N563" s="49" t="s">
        <v>884</v>
      </c>
      <c r="O563" s="441">
        <v>46083</v>
      </c>
      <c r="P563" s="546" t="s">
        <v>1602</v>
      </c>
      <c r="Q563" s="471" t="s">
        <v>358</v>
      </c>
      <c r="R563" s="566"/>
      <c r="S563" s="49"/>
      <c r="T563" s="49"/>
      <c r="U563" s="49"/>
      <c r="V563" s="49"/>
      <c r="W563" s="49"/>
      <c r="X563" s="49"/>
      <c r="Y563" s="49"/>
      <c r="Z563" s="49"/>
      <c r="AA563" s="49"/>
      <c r="AB563" s="49"/>
      <c r="AC563" s="49"/>
      <c r="AD563" s="91"/>
      <c r="AE563" s="91"/>
      <c r="AF563" s="91"/>
      <c r="AG563" s="91"/>
    </row>
    <row r="564" spans="1:33">
      <c r="A564" s="540" t="s">
        <v>513</v>
      </c>
      <c r="B564" s="534">
        <v>562</v>
      </c>
      <c r="C564" s="534">
        <v>64533</v>
      </c>
      <c r="D564" s="534">
        <v>15758464</v>
      </c>
      <c r="E564" s="50" t="s">
        <v>2640</v>
      </c>
      <c r="F564" s="534">
        <v>50</v>
      </c>
      <c r="G564" s="49" t="s">
        <v>2641</v>
      </c>
      <c r="H564" s="49" t="s">
        <v>222</v>
      </c>
      <c r="I564" s="534">
        <v>924613281</v>
      </c>
      <c r="J564" s="49" t="s">
        <v>283</v>
      </c>
      <c r="K564" s="601">
        <v>46076</v>
      </c>
      <c r="L564" s="49" t="s">
        <v>2642</v>
      </c>
      <c r="M564" s="534" t="s">
        <v>312</v>
      </c>
      <c r="N564" s="49" t="s">
        <v>884</v>
      </c>
      <c r="O564" s="437">
        <v>46086</v>
      </c>
      <c r="P564" s="534" t="s">
        <v>1962</v>
      </c>
      <c r="Q564" s="825">
        <v>46082</v>
      </c>
      <c r="R564" s="566" t="s">
        <v>318</v>
      </c>
      <c r="S564" s="49"/>
      <c r="T564" s="49"/>
      <c r="U564" s="49"/>
      <c r="V564" s="49"/>
      <c r="W564" s="49"/>
      <c r="X564" s="49"/>
      <c r="Y564" s="49"/>
      <c r="Z564" s="49"/>
      <c r="AA564" s="49"/>
      <c r="AB564" s="49"/>
      <c r="AC564" s="49"/>
      <c r="AD564" s="91"/>
      <c r="AE564" s="91"/>
      <c r="AF564" s="91"/>
      <c r="AG564" s="91"/>
    </row>
    <row r="565" spans="1:33" ht="24.75">
      <c r="A565" s="555"/>
      <c r="B565" s="534">
        <v>563</v>
      </c>
      <c r="C565" s="555">
        <v>435888</v>
      </c>
      <c r="D565" s="555">
        <v>41751795</v>
      </c>
      <c r="E565" s="254" t="s">
        <v>2643</v>
      </c>
      <c r="F565" s="555">
        <v>43</v>
      </c>
      <c r="G565" s="52" t="s">
        <v>2644</v>
      </c>
      <c r="H565" s="52" t="s">
        <v>246</v>
      </c>
      <c r="I565" s="555">
        <v>928752960</v>
      </c>
      <c r="J565" s="52" t="s">
        <v>2630</v>
      </c>
      <c r="K565" s="601">
        <v>46076</v>
      </c>
      <c r="L565" s="49" t="s">
        <v>2645</v>
      </c>
      <c r="M565" s="534" t="s">
        <v>230</v>
      </c>
      <c r="N565" s="49" t="s">
        <v>2646</v>
      </c>
      <c r="O565" s="437">
        <v>46083</v>
      </c>
      <c r="P565" s="539" t="s">
        <v>292</v>
      </c>
      <c r="Q565" s="802">
        <v>46082</v>
      </c>
      <c r="R565" s="534" t="s">
        <v>242</v>
      </c>
      <c r="S565" s="49"/>
      <c r="T565" s="49"/>
      <c r="U565" s="49"/>
      <c r="V565" s="49"/>
      <c r="W565" s="49"/>
      <c r="X565" s="49"/>
      <c r="Y565" s="49"/>
      <c r="Z565" s="49"/>
      <c r="AA565" s="49"/>
      <c r="AB565" s="49"/>
      <c r="AC565" s="49"/>
      <c r="AD565" s="91"/>
      <c r="AE565" s="91"/>
      <c r="AF565" s="91"/>
      <c r="AG565" s="91"/>
    </row>
    <row r="566" spans="1:33">
      <c r="A566" s="555"/>
      <c r="B566" s="534">
        <v>564</v>
      </c>
      <c r="C566" s="555">
        <v>289797</v>
      </c>
      <c r="D566" s="555">
        <v>42004542</v>
      </c>
      <c r="E566" s="254" t="s">
        <v>2647</v>
      </c>
      <c r="F566" s="555">
        <v>43</v>
      </c>
      <c r="G566" s="52" t="s">
        <v>2648</v>
      </c>
      <c r="H566" s="52" t="s">
        <v>237</v>
      </c>
      <c r="I566" s="555">
        <v>984279251</v>
      </c>
      <c r="J566" s="52" t="s">
        <v>347</v>
      </c>
      <c r="K566" s="601">
        <v>46076</v>
      </c>
      <c r="L566" s="49" t="s">
        <v>388</v>
      </c>
      <c r="M566" s="534" t="s">
        <v>230</v>
      </c>
      <c r="N566" s="49" t="s">
        <v>241</v>
      </c>
      <c r="O566" s="437">
        <v>46083</v>
      </c>
      <c r="P566" s="546" t="s">
        <v>292</v>
      </c>
      <c r="Q566" s="818" t="s">
        <v>339</v>
      </c>
      <c r="R566" s="534"/>
      <c r="S566" s="49"/>
      <c r="T566" s="49"/>
      <c r="U566" s="49"/>
      <c r="V566" s="49"/>
      <c r="W566" s="49"/>
      <c r="X566" s="49"/>
      <c r="Y566" s="49"/>
      <c r="Z566" s="49"/>
      <c r="AA566" s="49"/>
      <c r="AB566" s="49"/>
      <c r="AC566" s="49"/>
      <c r="AD566" s="91"/>
      <c r="AE566" s="91"/>
      <c r="AF566" s="91"/>
      <c r="AG566" s="91"/>
    </row>
    <row r="567" spans="1:33">
      <c r="A567" s="320"/>
      <c r="B567" s="534">
        <v>565</v>
      </c>
      <c r="C567" s="320">
        <v>130850</v>
      </c>
      <c r="D567" s="320">
        <v>15586250</v>
      </c>
      <c r="E567" s="584" t="s">
        <v>2649</v>
      </c>
      <c r="F567" s="320">
        <v>67</v>
      </c>
      <c r="G567" s="43" t="s">
        <v>2650</v>
      </c>
      <c r="H567" s="43" t="s">
        <v>278</v>
      </c>
      <c r="I567" s="320">
        <v>970355284</v>
      </c>
      <c r="J567" s="43" t="s">
        <v>238</v>
      </c>
      <c r="K567" s="601">
        <v>46076</v>
      </c>
      <c r="L567" s="43" t="s">
        <v>376</v>
      </c>
      <c r="M567" s="534" t="s">
        <v>230</v>
      </c>
      <c r="N567" s="49" t="s">
        <v>884</v>
      </c>
      <c r="O567" s="451">
        <v>45702</v>
      </c>
      <c r="P567" s="320"/>
      <c r="Q567" s="320" t="s">
        <v>2651</v>
      </c>
      <c r="R567" s="320"/>
      <c r="S567" s="43" t="s">
        <v>2652</v>
      </c>
      <c r="T567" s="43"/>
      <c r="U567" s="43"/>
      <c r="V567" s="43"/>
      <c r="W567" s="43"/>
      <c r="X567" s="43"/>
      <c r="Y567" s="43"/>
      <c r="Z567" s="43"/>
      <c r="AA567" s="43"/>
      <c r="AB567" s="43"/>
      <c r="AC567" s="43"/>
      <c r="AD567" s="91"/>
      <c r="AE567" s="91"/>
      <c r="AF567" s="91"/>
      <c r="AG567" s="91"/>
    </row>
    <row r="568" spans="1:33">
      <c r="A568" s="556"/>
      <c r="B568" s="534">
        <v>566</v>
      </c>
      <c r="C568" s="556">
        <v>257348</v>
      </c>
      <c r="D568" s="556" t="s">
        <v>2653</v>
      </c>
      <c r="E568" s="585" t="s">
        <v>2654</v>
      </c>
      <c r="F568" s="556">
        <v>55</v>
      </c>
      <c r="G568" s="60" t="s">
        <v>2655</v>
      </c>
      <c r="H568" s="60" t="s">
        <v>237</v>
      </c>
      <c r="I568" s="556">
        <v>983208243</v>
      </c>
      <c r="J568" s="60" t="s">
        <v>238</v>
      </c>
      <c r="K568" s="602" t="s">
        <v>2656</v>
      </c>
      <c r="L568" s="59" t="s">
        <v>1716</v>
      </c>
      <c r="M568" s="536" t="s">
        <v>323</v>
      </c>
      <c r="N568" s="59" t="s">
        <v>241</v>
      </c>
      <c r="O568" s="445">
        <v>46083</v>
      </c>
      <c r="P568" s="536"/>
      <c r="Q568" s="536" t="s">
        <v>2657</v>
      </c>
      <c r="R568" s="536"/>
      <c r="S568" s="59"/>
      <c r="T568" s="59"/>
      <c r="U568" s="59"/>
      <c r="V568" s="59"/>
      <c r="W568" s="59"/>
      <c r="X568" s="59"/>
      <c r="Y568" s="59"/>
      <c r="Z568" s="59"/>
      <c r="AA568" s="59"/>
      <c r="AB568" s="59"/>
      <c r="AC568" s="59"/>
      <c r="AD568" s="91"/>
      <c r="AE568" s="91"/>
      <c r="AF568" s="91"/>
      <c r="AG568" s="91"/>
    </row>
    <row r="569" spans="1:33">
      <c r="A569" s="534"/>
      <c r="B569" s="534">
        <v>567</v>
      </c>
      <c r="C569" s="534">
        <v>404499</v>
      </c>
      <c r="D569" s="534">
        <v>16006332</v>
      </c>
      <c r="E569" s="50" t="s">
        <v>2658</v>
      </c>
      <c r="F569" s="534">
        <v>55</v>
      </c>
      <c r="G569" s="49" t="s">
        <v>2659</v>
      </c>
      <c r="H569" s="49" t="s">
        <v>271</v>
      </c>
      <c r="I569" s="534">
        <v>989055747</v>
      </c>
      <c r="J569" s="49" t="s">
        <v>164</v>
      </c>
      <c r="K569" s="535">
        <v>46104</v>
      </c>
      <c r="L569" s="49" t="s">
        <v>2660</v>
      </c>
      <c r="M569" s="534" t="s">
        <v>312</v>
      </c>
      <c r="N569" s="49" t="s">
        <v>884</v>
      </c>
      <c r="O569" s="441">
        <v>46083</v>
      </c>
      <c r="P569" s="414" t="s">
        <v>2588</v>
      </c>
      <c r="Q569" s="471" t="s">
        <v>358</v>
      </c>
      <c r="R569" s="566"/>
      <c r="S569" s="49"/>
      <c r="T569" s="49"/>
      <c r="U569" s="49"/>
      <c r="V569" s="49"/>
      <c r="W569" s="49"/>
      <c r="X569" s="49"/>
      <c r="Y569" s="49"/>
      <c r="Z569" s="49"/>
      <c r="AA569" s="49"/>
      <c r="AB569" s="49"/>
      <c r="AC569" s="49"/>
      <c r="AD569" s="91"/>
      <c r="AE569" s="91"/>
      <c r="AF569" s="91"/>
      <c r="AG569" s="91"/>
    </row>
    <row r="570" spans="1:33">
      <c r="A570" s="534"/>
      <c r="B570" s="534">
        <v>568</v>
      </c>
      <c r="C570" s="534">
        <v>97576</v>
      </c>
      <c r="D570" s="534">
        <v>15763538</v>
      </c>
      <c r="E570" s="50" t="s">
        <v>2661</v>
      </c>
      <c r="F570" s="534">
        <v>48</v>
      </c>
      <c r="G570" s="49" t="s">
        <v>2662</v>
      </c>
      <c r="H570" s="49" t="s">
        <v>237</v>
      </c>
      <c r="I570" s="534">
        <v>92681279</v>
      </c>
      <c r="J570" s="43" t="s">
        <v>238</v>
      </c>
      <c r="K570" s="535">
        <v>46104</v>
      </c>
      <c r="L570" s="49" t="s">
        <v>388</v>
      </c>
      <c r="M570" s="534" t="s">
        <v>230</v>
      </c>
      <c r="N570" s="49" t="s">
        <v>241</v>
      </c>
      <c r="O570" s="441">
        <v>46083</v>
      </c>
      <c r="P570" s="546"/>
      <c r="Q570" s="546" t="s">
        <v>1667</v>
      </c>
      <c r="R570" s="566"/>
      <c r="S570" s="49"/>
      <c r="T570" s="49"/>
      <c r="U570" s="49"/>
      <c r="V570" s="49"/>
      <c r="W570" s="49"/>
      <c r="X570" s="49"/>
      <c r="Y570" s="49"/>
      <c r="Z570" s="49"/>
      <c r="AA570" s="49"/>
      <c r="AB570" s="49"/>
      <c r="AC570" s="49"/>
      <c r="AD570" s="91"/>
      <c r="AE570" s="91"/>
      <c r="AF570" s="91"/>
      <c r="AG570" s="91"/>
    </row>
    <row r="571" spans="1:33">
      <c r="A571" s="555"/>
      <c r="B571" s="534">
        <v>569</v>
      </c>
      <c r="C571" s="555">
        <v>408504</v>
      </c>
      <c r="D571" s="555">
        <v>42234167</v>
      </c>
      <c r="E571" s="254" t="s">
        <v>2663</v>
      </c>
      <c r="F571" s="555">
        <v>42</v>
      </c>
      <c r="G571" s="52" t="s">
        <v>2664</v>
      </c>
      <c r="H571" s="52" t="s">
        <v>237</v>
      </c>
      <c r="I571" s="555">
        <v>951722318</v>
      </c>
      <c r="J571" s="52" t="s">
        <v>429</v>
      </c>
      <c r="K571" s="601">
        <v>46076</v>
      </c>
      <c r="L571" s="43" t="s">
        <v>2226</v>
      </c>
      <c r="M571" s="534" t="s">
        <v>230</v>
      </c>
      <c r="N571" s="49" t="s">
        <v>601</v>
      </c>
      <c r="O571" s="437">
        <v>46101</v>
      </c>
      <c r="P571" s="546" t="s">
        <v>2227</v>
      </c>
      <c r="Q571" s="471" t="s">
        <v>358</v>
      </c>
      <c r="R571" s="534"/>
      <c r="S571" s="49"/>
      <c r="T571" s="49"/>
      <c r="U571" s="49"/>
      <c r="V571" s="49"/>
      <c r="W571" s="49"/>
      <c r="X571" s="49"/>
      <c r="Y571" s="49"/>
      <c r="Z571" s="49"/>
      <c r="AA571" s="49"/>
      <c r="AB571" s="49"/>
      <c r="AC571" s="49"/>
      <c r="AD571" s="91"/>
      <c r="AE571" s="91"/>
      <c r="AF571" s="91"/>
      <c r="AG571" s="91"/>
    </row>
    <row r="572" spans="1:33">
      <c r="A572" s="534"/>
      <c r="B572" s="534">
        <v>570</v>
      </c>
      <c r="C572" s="534">
        <v>81475</v>
      </c>
      <c r="D572" s="534">
        <v>16010954</v>
      </c>
      <c r="E572" s="50" t="s">
        <v>2665</v>
      </c>
      <c r="F572" s="534">
        <v>49</v>
      </c>
      <c r="G572" s="49" t="s">
        <v>2666</v>
      </c>
      <c r="H572" s="49" t="s">
        <v>461</v>
      </c>
      <c r="I572" s="534">
        <v>994420003</v>
      </c>
      <c r="J572" s="49" t="s">
        <v>162</v>
      </c>
      <c r="K572" s="535">
        <v>46076</v>
      </c>
      <c r="L572" s="49" t="s">
        <v>388</v>
      </c>
      <c r="M572" s="534" t="s">
        <v>230</v>
      </c>
      <c r="N572" s="49" t="s">
        <v>241</v>
      </c>
      <c r="O572" s="441">
        <v>46083</v>
      </c>
      <c r="P572" s="546" t="s">
        <v>1602</v>
      </c>
      <c r="Q572" s="471" t="s">
        <v>358</v>
      </c>
      <c r="R572" s="566"/>
      <c r="S572" s="49"/>
      <c r="T572" s="49"/>
      <c r="U572" s="49"/>
      <c r="V572" s="49"/>
      <c r="W572" s="49"/>
      <c r="X572" s="49"/>
      <c r="Y572" s="49"/>
      <c r="Z572" s="49"/>
      <c r="AA572" s="49"/>
      <c r="AB572" s="49"/>
      <c r="AC572" s="49"/>
      <c r="AD572" s="91"/>
      <c r="AE572" s="91"/>
      <c r="AF572" s="91"/>
      <c r="AG572" s="91"/>
    </row>
    <row r="573" spans="1:33">
      <c r="A573" s="534"/>
      <c r="B573" s="534">
        <v>571</v>
      </c>
      <c r="C573" s="534">
        <v>79776</v>
      </c>
      <c r="D573" s="534">
        <v>15726483</v>
      </c>
      <c r="E573" s="50" t="s">
        <v>2667</v>
      </c>
      <c r="F573" s="534">
        <v>54</v>
      </c>
      <c r="G573" s="49" t="s">
        <v>2668</v>
      </c>
      <c r="H573" s="49" t="s">
        <v>278</v>
      </c>
      <c r="I573" s="534">
        <v>999223856</v>
      </c>
      <c r="J573" s="43" t="s">
        <v>238</v>
      </c>
      <c r="K573" s="535">
        <v>46076</v>
      </c>
      <c r="L573" s="49" t="s">
        <v>388</v>
      </c>
      <c r="M573" s="534" t="s">
        <v>230</v>
      </c>
      <c r="N573" s="49" t="s">
        <v>241</v>
      </c>
      <c r="O573" s="441">
        <v>46083</v>
      </c>
      <c r="P573" s="546"/>
      <c r="Q573" s="638"/>
      <c r="R573" s="566"/>
      <c r="S573" s="49"/>
      <c r="T573" s="49"/>
      <c r="U573" s="49"/>
      <c r="V573" s="49"/>
      <c r="W573" s="49"/>
      <c r="X573" s="49"/>
      <c r="Y573" s="49"/>
      <c r="Z573" s="49"/>
      <c r="AA573" s="49"/>
      <c r="AB573" s="49"/>
      <c r="AC573" s="49"/>
      <c r="AD573" s="91"/>
      <c r="AE573" s="91"/>
      <c r="AF573" s="91"/>
      <c r="AG573" s="91"/>
    </row>
    <row r="574" spans="1:33">
      <c r="A574" s="534"/>
      <c r="B574" s="534">
        <v>572</v>
      </c>
      <c r="C574" s="534">
        <v>194595</v>
      </c>
      <c r="D574" s="534">
        <v>15600331</v>
      </c>
      <c r="E574" s="50" t="s">
        <v>2669</v>
      </c>
      <c r="F574" s="534">
        <v>61</v>
      </c>
      <c r="G574" s="49" t="s">
        <v>2670</v>
      </c>
      <c r="H574" s="49" t="s">
        <v>278</v>
      </c>
      <c r="I574" s="534">
        <v>9071279835</v>
      </c>
      <c r="J574" s="43" t="s">
        <v>238</v>
      </c>
      <c r="K574" s="535">
        <v>46076</v>
      </c>
      <c r="L574" s="49" t="s">
        <v>2671</v>
      </c>
      <c r="M574" s="534" t="s">
        <v>312</v>
      </c>
      <c r="N574" s="49" t="s">
        <v>884</v>
      </c>
      <c r="O574" s="441">
        <v>46083</v>
      </c>
      <c r="P574" s="546"/>
      <c r="Q574" s="546" t="s">
        <v>2672</v>
      </c>
      <c r="R574" s="566"/>
      <c r="S574" s="49"/>
      <c r="T574" s="49"/>
      <c r="U574" s="49"/>
      <c r="V574" s="49"/>
      <c r="W574" s="49"/>
      <c r="X574" s="49"/>
      <c r="Y574" s="49"/>
      <c r="Z574" s="49"/>
      <c r="AA574" s="49"/>
      <c r="AB574" s="49"/>
      <c r="AC574" s="49"/>
      <c r="AD574" s="91"/>
      <c r="AE574" s="91"/>
      <c r="AF574" s="91"/>
      <c r="AG574" s="91"/>
    </row>
    <row r="575" spans="1:33">
      <c r="A575" s="534"/>
      <c r="B575" s="534">
        <v>573</v>
      </c>
      <c r="C575" s="534">
        <v>523324</v>
      </c>
      <c r="D575" s="534">
        <v>40871646</v>
      </c>
      <c r="E575" s="50" t="s">
        <v>2673</v>
      </c>
      <c r="F575" s="534">
        <v>44</v>
      </c>
      <c r="G575" s="49" t="s">
        <v>2674</v>
      </c>
      <c r="H575" s="49" t="s">
        <v>461</v>
      </c>
      <c r="I575" s="534">
        <v>988068714</v>
      </c>
      <c r="J575" s="49" t="s">
        <v>162</v>
      </c>
      <c r="K575" s="535">
        <v>46076</v>
      </c>
      <c r="L575" s="49" t="s">
        <v>388</v>
      </c>
      <c r="M575" s="534" t="s">
        <v>230</v>
      </c>
      <c r="N575" s="49" t="s">
        <v>241</v>
      </c>
      <c r="O575" s="441">
        <v>46083</v>
      </c>
      <c r="P575" s="546" t="s">
        <v>1602</v>
      </c>
      <c r="Q575" s="471" t="s">
        <v>358</v>
      </c>
      <c r="R575" s="566"/>
      <c r="S575" s="49"/>
      <c r="T575" s="49"/>
      <c r="U575" s="49"/>
      <c r="V575" s="49"/>
      <c r="W575" s="49"/>
      <c r="X575" s="49"/>
      <c r="Y575" s="49"/>
      <c r="Z575" s="49"/>
      <c r="AA575" s="49"/>
      <c r="AB575" s="49"/>
      <c r="AC575" s="49"/>
      <c r="AD575" s="91"/>
      <c r="AE575" s="91"/>
      <c r="AF575" s="91"/>
      <c r="AG575" s="91"/>
    </row>
    <row r="576" spans="1:33">
      <c r="A576" s="534"/>
      <c r="B576" s="534">
        <v>574</v>
      </c>
      <c r="C576" s="534"/>
      <c r="D576" s="534">
        <v>15639623</v>
      </c>
      <c r="E576" s="50" t="s">
        <v>2675</v>
      </c>
      <c r="F576" s="534">
        <v>60</v>
      </c>
      <c r="G576" s="49" t="s">
        <v>2676</v>
      </c>
      <c r="H576" s="49" t="s">
        <v>432</v>
      </c>
      <c r="I576" s="534" t="s">
        <v>2677</v>
      </c>
      <c r="J576" s="49" t="s">
        <v>1209</v>
      </c>
      <c r="K576" s="535">
        <v>46076</v>
      </c>
      <c r="L576" s="49" t="s">
        <v>2678</v>
      </c>
      <c r="M576" s="534" t="s">
        <v>312</v>
      </c>
      <c r="N576" s="49" t="s">
        <v>241</v>
      </c>
      <c r="O576" s="437">
        <v>46083</v>
      </c>
      <c r="P576" s="546" t="s">
        <v>292</v>
      </c>
      <c r="Q576" s="816" t="s">
        <v>334</v>
      </c>
      <c r="R576" s="566"/>
      <c r="S576" s="49"/>
      <c r="T576" s="49"/>
      <c r="U576" s="49"/>
      <c r="V576" s="49"/>
      <c r="W576" s="49"/>
      <c r="X576" s="49"/>
      <c r="Y576" s="49"/>
      <c r="Z576" s="49"/>
      <c r="AA576" s="49"/>
      <c r="AB576" s="49"/>
      <c r="AC576" s="49"/>
      <c r="AD576" s="91"/>
      <c r="AE576" s="91"/>
      <c r="AF576" s="91"/>
      <c r="AG576" s="91"/>
    </row>
    <row r="577" spans="1:33">
      <c r="A577" s="534"/>
      <c r="B577" s="534">
        <v>575</v>
      </c>
      <c r="C577" s="534">
        <v>523325</v>
      </c>
      <c r="D577" s="534">
        <v>15750345</v>
      </c>
      <c r="E577" s="50" t="s">
        <v>2679</v>
      </c>
      <c r="F577" s="534">
        <v>52</v>
      </c>
      <c r="G577" s="49" t="s">
        <v>2680</v>
      </c>
      <c r="H577" s="49" t="s">
        <v>461</v>
      </c>
      <c r="I577" s="534">
        <v>991899678</v>
      </c>
      <c r="J577" s="49" t="s">
        <v>162</v>
      </c>
      <c r="K577" s="535">
        <v>46076</v>
      </c>
      <c r="L577" s="49" t="s">
        <v>376</v>
      </c>
      <c r="M577" s="534" t="s">
        <v>312</v>
      </c>
      <c r="N577" s="49" t="s">
        <v>241</v>
      </c>
      <c r="O577" s="441">
        <v>46083</v>
      </c>
      <c r="P577" s="546" t="s">
        <v>1602</v>
      </c>
      <c r="Q577" s="471" t="s">
        <v>358</v>
      </c>
      <c r="R577" s="566"/>
      <c r="S577" s="49"/>
      <c r="T577" s="49"/>
      <c r="U577" s="49"/>
      <c r="V577" s="49"/>
      <c r="W577" s="49"/>
      <c r="X577" s="49"/>
      <c r="Y577" s="49"/>
      <c r="Z577" s="49"/>
      <c r="AA577" s="49"/>
      <c r="AB577" s="49"/>
      <c r="AC577" s="49"/>
      <c r="AD577" s="91"/>
      <c r="AE577" s="91"/>
      <c r="AF577" s="91"/>
      <c r="AG577" s="91"/>
    </row>
    <row r="578" spans="1:33">
      <c r="A578" s="533">
        <v>46077</v>
      </c>
      <c r="B578" s="534">
        <v>576</v>
      </c>
      <c r="C578" s="534">
        <v>27366</v>
      </c>
      <c r="D578" s="534">
        <v>15651486</v>
      </c>
      <c r="E578" s="50" t="s">
        <v>2681</v>
      </c>
      <c r="F578" s="534">
        <v>66</v>
      </c>
      <c r="G578" s="49" t="s">
        <v>2682</v>
      </c>
      <c r="H578" s="49" t="s">
        <v>301</v>
      </c>
      <c r="I578" s="534">
        <v>967751571</v>
      </c>
      <c r="J578" s="49" t="s">
        <v>238</v>
      </c>
      <c r="K578" s="535">
        <v>46077</v>
      </c>
      <c r="L578" s="49" t="s">
        <v>2683</v>
      </c>
      <c r="M578" s="534" t="s">
        <v>312</v>
      </c>
      <c r="N578" s="49" t="s">
        <v>884</v>
      </c>
      <c r="O578" s="441">
        <v>46083</v>
      </c>
      <c r="P578" s="534"/>
      <c r="Q578" s="534" t="s">
        <v>2684</v>
      </c>
      <c r="R578" s="534"/>
      <c r="S578" s="49"/>
      <c r="T578" s="49"/>
      <c r="U578" s="49"/>
      <c r="V578" s="49"/>
      <c r="W578" s="49"/>
      <c r="X578" s="49"/>
      <c r="Y578" s="49"/>
      <c r="Z578" s="49"/>
      <c r="AA578" s="49"/>
      <c r="AB578" s="49"/>
      <c r="AC578" s="49"/>
      <c r="AD578" s="91"/>
      <c r="AE578" s="91"/>
      <c r="AF578" s="91"/>
      <c r="AG578" s="91"/>
    </row>
    <row r="579" spans="1:33">
      <c r="A579" s="534"/>
      <c r="B579" s="534">
        <v>577</v>
      </c>
      <c r="C579" s="534">
        <v>523335</v>
      </c>
      <c r="D579" s="534">
        <v>41394018</v>
      </c>
      <c r="E579" s="50" t="s">
        <v>2685</v>
      </c>
      <c r="F579" s="534">
        <v>44</v>
      </c>
      <c r="G579" s="49" t="s">
        <v>2686</v>
      </c>
      <c r="H579" s="49" t="s">
        <v>271</v>
      </c>
      <c r="I579" s="534">
        <v>924789864</v>
      </c>
      <c r="J579" s="49" t="s">
        <v>2687</v>
      </c>
      <c r="K579" s="535">
        <v>46077</v>
      </c>
      <c r="L579" s="49" t="s">
        <v>376</v>
      </c>
      <c r="M579" s="534" t="s">
        <v>230</v>
      </c>
      <c r="N579" s="49" t="s">
        <v>884</v>
      </c>
      <c r="O579" s="441">
        <v>46083</v>
      </c>
      <c r="P579" s="534"/>
      <c r="Q579" s="471" t="s">
        <v>358</v>
      </c>
      <c r="R579" s="534"/>
      <c r="S579" s="49"/>
      <c r="T579" s="49"/>
      <c r="U579" s="49"/>
      <c r="V579" s="49"/>
      <c r="W579" s="49"/>
      <c r="X579" s="49"/>
      <c r="Y579" s="49"/>
      <c r="Z579" s="49"/>
      <c r="AA579" s="49"/>
      <c r="AB579" s="49"/>
      <c r="AC579" s="49"/>
      <c r="AD579" s="91"/>
      <c r="AE579" s="91"/>
      <c r="AF579" s="91"/>
      <c r="AG579" s="91"/>
    </row>
    <row r="580" spans="1:33">
      <c r="A580" s="534"/>
      <c r="B580" s="534">
        <v>578</v>
      </c>
      <c r="C580" s="534">
        <v>523336</v>
      </c>
      <c r="D580" s="534">
        <v>15989507</v>
      </c>
      <c r="E580" s="50" t="s">
        <v>2688</v>
      </c>
      <c r="F580" s="534">
        <v>49</v>
      </c>
      <c r="G580" s="49" t="s">
        <v>2689</v>
      </c>
      <c r="H580" s="49" t="s">
        <v>271</v>
      </c>
      <c r="I580" s="534">
        <v>987796679</v>
      </c>
      <c r="J580" s="49" t="s">
        <v>2687</v>
      </c>
      <c r="K580" s="535">
        <v>46077</v>
      </c>
      <c r="L580" s="49" t="s">
        <v>376</v>
      </c>
      <c r="M580" s="534" t="s">
        <v>230</v>
      </c>
      <c r="N580" s="49" t="s">
        <v>884</v>
      </c>
      <c r="O580" s="441">
        <v>46083</v>
      </c>
      <c r="P580" s="534"/>
      <c r="Q580" s="471" t="s">
        <v>358</v>
      </c>
      <c r="R580" s="534"/>
      <c r="S580" s="49"/>
      <c r="T580" s="49"/>
      <c r="U580" s="49"/>
      <c r="V580" s="49"/>
      <c r="W580" s="49"/>
      <c r="X580" s="49"/>
      <c r="Y580" s="49"/>
      <c r="Z580" s="49"/>
      <c r="AA580" s="49"/>
      <c r="AB580" s="49"/>
      <c r="AC580" s="49"/>
      <c r="AD580" s="91"/>
      <c r="AE580" s="91"/>
      <c r="AF580" s="91"/>
      <c r="AG580" s="91"/>
    </row>
    <row r="581" spans="1:33" ht="24.75">
      <c r="A581" s="555"/>
      <c r="B581" s="534">
        <v>579</v>
      </c>
      <c r="C581" s="555">
        <v>514683</v>
      </c>
      <c r="D581" s="479">
        <v>22701137</v>
      </c>
      <c r="E581" s="58" t="s">
        <v>2690</v>
      </c>
      <c r="F581" s="479">
        <v>61</v>
      </c>
      <c r="G581" s="52" t="s">
        <v>2691</v>
      </c>
      <c r="H581" s="52" t="s">
        <v>237</v>
      </c>
      <c r="I581" s="479">
        <v>965258972</v>
      </c>
      <c r="J581" s="47" t="s">
        <v>384</v>
      </c>
      <c r="K581" s="601">
        <v>46076</v>
      </c>
      <c r="L581" s="49" t="s">
        <v>2692</v>
      </c>
      <c r="M581" s="320" t="s">
        <v>230</v>
      </c>
      <c r="N581" s="49" t="s">
        <v>884</v>
      </c>
      <c r="O581" s="437">
        <v>46086</v>
      </c>
      <c r="P581" s="419" t="s">
        <v>2154</v>
      </c>
      <c r="Q581" s="802">
        <v>46082</v>
      </c>
      <c r="R581" s="808">
        <v>46082</v>
      </c>
      <c r="S581" s="49"/>
      <c r="T581" s="49"/>
      <c r="U581" s="49"/>
      <c r="V581" s="49"/>
      <c r="W581" s="49"/>
      <c r="X581" s="49"/>
      <c r="Y581" s="49"/>
      <c r="Z581" s="49"/>
      <c r="AA581" s="49"/>
      <c r="AB581" s="49"/>
      <c r="AC581" s="49"/>
      <c r="AD581" s="91"/>
      <c r="AE581" s="91"/>
      <c r="AF581" s="91"/>
      <c r="AG581" s="91"/>
    </row>
    <row r="582" spans="1:33">
      <c r="A582" s="534"/>
      <c r="B582" s="534">
        <v>580</v>
      </c>
      <c r="C582" s="534">
        <v>250386</v>
      </c>
      <c r="D582" s="534">
        <v>40584807</v>
      </c>
      <c r="E582" s="50" t="s">
        <v>2693</v>
      </c>
      <c r="F582" s="534">
        <v>46</v>
      </c>
      <c r="G582" s="49" t="s">
        <v>2694</v>
      </c>
      <c r="H582" s="49" t="s">
        <v>326</v>
      </c>
      <c r="I582" s="534">
        <v>944455327</v>
      </c>
      <c r="J582" s="49" t="s">
        <v>375</v>
      </c>
      <c r="K582" s="535">
        <v>46077</v>
      </c>
      <c r="L582" s="49" t="s">
        <v>2695</v>
      </c>
      <c r="M582" s="534" t="s">
        <v>260</v>
      </c>
      <c r="N582" s="49" t="s">
        <v>241</v>
      </c>
      <c r="O582" s="437">
        <v>46087</v>
      </c>
      <c r="P582" s="546" t="s">
        <v>2062</v>
      </c>
      <c r="Q582" s="824" t="s">
        <v>334</v>
      </c>
      <c r="R582" s="534"/>
      <c r="S582" s="49"/>
      <c r="T582" s="49"/>
      <c r="U582" s="49"/>
      <c r="V582" s="49"/>
      <c r="W582" s="49"/>
      <c r="X582" s="49"/>
      <c r="Y582" s="49"/>
      <c r="Z582" s="49"/>
      <c r="AA582" s="49"/>
      <c r="AB582" s="49"/>
      <c r="AC582" s="49"/>
      <c r="AD582" s="91"/>
      <c r="AE582" s="91"/>
      <c r="AF582" s="91"/>
      <c r="AG582" s="91"/>
    </row>
    <row r="583" spans="1:33">
      <c r="A583" s="534"/>
      <c r="B583" s="534">
        <v>581</v>
      </c>
      <c r="C583" s="534">
        <v>184675</v>
      </c>
      <c r="D583" s="534">
        <v>15720102</v>
      </c>
      <c r="E583" s="50" t="s">
        <v>2696</v>
      </c>
      <c r="F583" s="534">
        <v>56</v>
      </c>
      <c r="G583" s="49" t="s">
        <v>2697</v>
      </c>
      <c r="H583" s="49" t="s">
        <v>237</v>
      </c>
      <c r="I583" s="534">
        <v>991896258</v>
      </c>
      <c r="J583" s="49" t="s">
        <v>238</v>
      </c>
      <c r="K583" s="535">
        <v>46077</v>
      </c>
      <c r="L583" s="49" t="s">
        <v>376</v>
      </c>
      <c r="M583" s="534" t="s">
        <v>230</v>
      </c>
      <c r="N583" s="49" t="s">
        <v>884</v>
      </c>
      <c r="O583" s="441">
        <v>46083</v>
      </c>
      <c r="P583" s="534"/>
      <c r="Q583" s="525"/>
      <c r="R583" s="534"/>
      <c r="S583" s="49"/>
      <c r="T583" s="49"/>
      <c r="U583" s="49"/>
      <c r="V583" s="49"/>
      <c r="W583" s="49"/>
      <c r="X583" s="49"/>
      <c r="Y583" s="49"/>
      <c r="Z583" s="49"/>
      <c r="AA583" s="49"/>
      <c r="AB583" s="49"/>
      <c r="AC583" s="49"/>
      <c r="AD583" s="91"/>
      <c r="AE583" s="91"/>
      <c r="AF583" s="91"/>
      <c r="AG583" s="91"/>
    </row>
    <row r="584" spans="1:33">
      <c r="A584" s="534"/>
      <c r="B584" s="534">
        <v>582</v>
      </c>
      <c r="C584" s="534">
        <v>89706</v>
      </c>
      <c r="D584" s="534">
        <v>40177068</v>
      </c>
      <c r="E584" s="50" t="s">
        <v>2698</v>
      </c>
      <c r="F584" s="534">
        <v>46</v>
      </c>
      <c r="G584" s="49" t="s">
        <v>2699</v>
      </c>
      <c r="H584" s="49" t="s">
        <v>1764</v>
      </c>
      <c r="I584" s="534">
        <v>994824072</v>
      </c>
      <c r="J584" s="49" t="s">
        <v>1527</v>
      </c>
      <c r="K584" s="535">
        <v>46077</v>
      </c>
      <c r="L584" s="49" t="s">
        <v>376</v>
      </c>
      <c r="M584" s="534" t="s">
        <v>230</v>
      </c>
      <c r="N584" s="49" t="s">
        <v>884</v>
      </c>
      <c r="O584" s="437">
        <v>46094</v>
      </c>
      <c r="P584" s="539" t="s">
        <v>1529</v>
      </c>
      <c r="Q584" s="802">
        <v>46082</v>
      </c>
      <c r="R584" s="566" t="s">
        <v>318</v>
      </c>
      <c r="S584" s="49"/>
      <c r="T584" s="49"/>
      <c r="U584" s="49"/>
      <c r="V584" s="49"/>
      <c r="W584" s="49"/>
      <c r="X584" s="49"/>
      <c r="Y584" s="49"/>
      <c r="Z584" s="49"/>
      <c r="AA584" s="49"/>
      <c r="AB584" s="49"/>
      <c r="AC584" s="49"/>
      <c r="AD584" s="91"/>
      <c r="AE584" s="91"/>
      <c r="AF584" s="91"/>
      <c r="AG584" s="91"/>
    </row>
    <row r="585" spans="1:33">
      <c r="A585" s="534"/>
      <c r="B585" s="534">
        <v>583</v>
      </c>
      <c r="C585" s="534">
        <v>523339</v>
      </c>
      <c r="D585" s="534">
        <v>15957883</v>
      </c>
      <c r="E585" s="50" t="s">
        <v>2700</v>
      </c>
      <c r="F585" s="534">
        <v>62</v>
      </c>
      <c r="G585" s="49" t="s">
        <v>2701</v>
      </c>
      <c r="H585" s="49" t="s">
        <v>461</v>
      </c>
      <c r="I585" s="534">
        <v>990476201</v>
      </c>
      <c r="J585" s="49" t="s">
        <v>162</v>
      </c>
      <c r="K585" s="601">
        <v>46077</v>
      </c>
      <c r="L585" s="49" t="s">
        <v>376</v>
      </c>
      <c r="M585" s="534" t="s">
        <v>230</v>
      </c>
      <c r="N585" s="49" t="s">
        <v>884</v>
      </c>
      <c r="O585" s="441">
        <v>46083</v>
      </c>
      <c r="P585" s="546" t="s">
        <v>1602</v>
      </c>
      <c r="Q585" s="471" t="s">
        <v>358</v>
      </c>
      <c r="R585" s="566"/>
      <c r="S585" s="49"/>
      <c r="T585" s="49"/>
      <c r="U585" s="49"/>
      <c r="V585" s="49"/>
      <c r="W585" s="49"/>
      <c r="X585" s="49"/>
      <c r="Y585" s="49"/>
      <c r="Z585" s="49"/>
      <c r="AA585" s="49"/>
      <c r="AB585" s="49"/>
      <c r="AC585" s="49"/>
      <c r="AD585" s="91"/>
      <c r="AE585" s="91"/>
      <c r="AF585" s="91"/>
      <c r="AG585" s="91"/>
    </row>
    <row r="586" spans="1:33">
      <c r="A586" s="546"/>
      <c r="B586" s="534">
        <v>584</v>
      </c>
      <c r="C586" s="546">
        <v>523338</v>
      </c>
      <c r="D586" s="414">
        <v>15748619</v>
      </c>
      <c r="E586" s="242" t="s">
        <v>2702</v>
      </c>
      <c r="F586" s="414">
        <v>52</v>
      </c>
      <c r="G586" s="242" t="s">
        <v>2703</v>
      </c>
      <c r="H586" s="242" t="s">
        <v>271</v>
      </c>
      <c r="I586" s="414">
        <v>923961545</v>
      </c>
      <c r="J586" s="49" t="s">
        <v>164</v>
      </c>
      <c r="K586" s="597">
        <v>46077</v>
      </c>
      <c r="L586" s="50" t="s">
        <v>376</v>
      </c>
      <c r="M586" s="534" t="s">
        <v>230</v>
      </c>
      <c r="N586" s="49" t="s">
        <v>884</v>
      </c>
      <c r="O586" s="441">
        <v>46084</v>
      </c>
      <c r="P586" s="414" t="s">
        <v>2588</v>
      </c>
      <c r="Q586" s="471" t="s">
        <v>358</v>
      </c>
      <c r="R586" s="546"/>
      <c r="S586" s="50"/>
      <c r="T586" s="50"/>
      <c r="U586" s="50"/>
      <c r="V586" s="50"/>
      <c r="W586" s="50"/>
      <c r="X586" s="50"/>
      <c r="Y586" s="50"/>
      <c r="Z586" s="50"/>
      <c r="AA586" s="50"/>
      <c r="AB586" s="50"/>
      <c r="AC586" s="50"/>
      <c r="AD586" s="91"/>
      <c r="AE586" s="91"/>
      <c r="AF586" s="91"/>
      <c r="AG586" s="91"/>
    </row>
    <row r="587" spans="1:33">
      <c r="A587" s="534"/>
      <c r="B587" s="534">
        <v>585</v>
      </c>
      <c r="C587" s="534">
        <v>159088</v>
      </c>
      <c r="D587" s="534">
        <v>43818850</v>
      </c>
      <c r="E587" s="50" t="s">
        <v>2704</v>
      </c>
      <c r="F587" s="534">
        <v>39</v>
      </c>
      <c r="G587" s="49" t="s">
        <v>2705</v>
      </c>
      <c r="H587" s="49" t="s">
        <v>2352</v>
      </c>
      <c r="I587" s="534">
        <v>915198555</v>
      </c>
      <c r="J587" s="49" t="s">
        <v>238</v>
      </c>
      <c r="K587" s="535">
        <v>46077</v>
      </c>
      <c r="L587" s="49" t="s">
        <v>376</v>
      </c>
      <c r="M587" s="534" t="s">
        <v>230</v>
      </c>
      <c r="N587" s="49" t="s">
        <v>241</v>
      </c>
      <c r="O587" s="441">
        <v>46084</v>
      </c>
      <c r="P587" s="534"/>
      <c r="Q587" s="638"/>
      <c r="R587" s="534"/>
      <c r="S587" s="49"/>
      <c r="T587" s="49"/>
      <c r="U587" s="49"/>
      <c r="V587" s="49"/>
      <c r="W587" s="49"/>
      <c r="X587" s="49"/>
      <c r="Y587" s="49"/>
      <c r="Z587" s="49"/>
      <c r="AA587" s="49"/>
      <c r="AB587" s="49"/>
      <c r="AC587" s="49"/>
      <c r="AD587" s="91"/>
      <c r="AE587" s="91"/>
      <c r="AF587" s="91"/>
      <c r="AG587" s="91"/>
    </row>
    <row r="588" spans="1:33">
      <c r="A588" s="534"/>
      <c r="B588" s="534">
        <v>586</v>
      </c>
      <c r="C588" s="534">
        <v>174731</v>
      </c>
      <c r="D588" s="534">
        <v>80353738</v>
      </c>
      <c r="E588" s="50" t="s">
        <v>2706</v>
      </c>
      <c r="F588" s="534">
        <v>58</v>
      </c>
      <c r="G588" s="49" t="s">
        <v>2707</v>
      </c>
      <c r="H588" s="49" t="s">
        <v>237</v>
      </c>
      <c r="I588" s="534">
        <v>955466043</v>
      </c>
      <c r="J588" s="49" t="s">
        <v>289</v>
      </c>
      <c r="K588" s="601">
        <v>46077</v>
      </c>
      <c r="L588" s="49" t="s">
        <v>388</v>
      </c>
      <c r="M588" s="534" t="s">
        <v>230</v>
      </c>
      <c r="N588" s="49" t="s">
        <v>241</v>
      </c>
      <c r="O588" s="437">
        <v>46085</v>
      </c>
      <c r="P588" s="546" t="s">
        <v>2708</v>
      </c>
      <c r="Q588" s="807">
        <v>46082</v>
      </c>
      <c r="R588" s="566" t="s">
        <v>242</v>
      </c>
      <c r="S588" s="49"/>
      <c r="T588" s="49"/>
      <c r="U588" s="49"/>
      <c r="V588" s="49"/>
      <c r="W588" s="49"/>
      <c r="X588" s="49"/>
      <c r="Y588" s="49"/>
      <c r="Z588" s="49"/>
      <c r="AA588" s="49"/>
      <c r="AB588" s="49"/>
      <c r="AC588" s="49"/>
      <c r="AD588" s="91"/>
      <c r="AE588" s="91"/>
      <c r="AF588" s="91"/>
      <c r="AG588" s="91"/>
    </row>
    <row r="589" spans="1:33">
      <c r="A589" s="534"/>
      <c r="B589" s="534">
        <v>587</v>
      </c>
      <c r="C589" s="534">
        <v>523343</v>
      </c>
      <c r="D589" s="534">
        <v>41821711</v>
      </c>
      <c r="E589" s="50" t="s">
        <v>2709</v>
      </c>
      <c r="F589" s="534">
        <v>41</v>
      </c>
      <c r="G589" s="49" t="s">
        <v>2710</v>
      </c>
      <c r="H589" s="49" t="s">
        <v>461</v>
      </c>
      <c r="I589" s="534">
        <v>965975600</v>
      </c>
      <c r="J589" s="46" t="s">
        <v>2711</v>
      </c>
      <c r="K589" s="601">
        <v>46077</v>
      </c>
      <c r="L589" s="49" t="s">
        <v>376</v>
      </c>
      <c r="M589" s="534" t="s">
        <v>230</v>
      </c>
      <c r="N589" s="49" t="s">
        <v>884</v>
      </c>
      <c r="O589" s="441">
        <v>46085</v>
      </c>
      <c r="P589" s="615" t="s">
        <v>2712</v>
      </c>
      <c r="Q589" s="471" t="s">
        <v>358</v>
      </c>
      <c r="R589" s="566"/>
      <c r="S589" s="49"/>
      <c r="T589" s="49"/>
      <c r="U589" s="49"/>
      <c r="V589" s="49"/>
      <c r="W589" s="49"/>
      <c r="X589" s="49"/>
      <c r="Y589" s="49"/>
      <c r="Z589" s="49"/>
      <c r="AA589" s="49"/>
      <c r="AB589" s="49"/>
      <c r="AC589" s="49"/>
      <c r="AD589" s="91"/>
      <c r="AE589" s="91"/>
      <c r="AF589" s="91"/>
      <c r="AG589" s="91"/>
    </row>
    <row r="590" spans="1:33">
      <c r="A590" s="534"/>
      <c r="B590" s="534">
        <v>588</v>
      </c>
      <c r="C590" s="534">
        <v>51701</v>
      </c>
      <c r="D590" s="534">
        <v>15644064</v>
      </c>
      <c r="E590" s="50" t="s">
        <v>2713</v>
      </c>
      <c r="F590" s="534">
        <v>64</v>
      </c>
      <c r="G590" s="49" t="s">
        <v>2714</v>
      </c>
      <c r="H590" s="49" t="s">
        <v>222</v>
      </c>
      <c r="I590" s="534">
        <v>933933973</v>
      </c>
      <c r="J590" s="49" t="s">
        <v>283</v>
      </c>
      <c r="K590" s="601">
        <v>46077</v>
      </c>
      <c r="L590" s="49" t="s">
        <v>2715</v>
      </c>
      <c r="M590" s="534" t="s">
        <v>312</v>
      </c>
      <c r="N590" s="49" t="s">
        <v>884</v>
      </c>
      <c r="O590" s="437">
        <v>46086</v>
      </c>
      <c r="P590" s="534" t="s">
        <v>1962</v>
      </c>
      <c r="Q590" s="825">
        <v>46082</v>
      </c>
      <c r="R590" s="566" t="s">
        <v>318</v>
      </c>
      <c r="S590" s="49"/>
      <c r="T590" s="49"/>
      <c r="U590" s="49"/>
      <c r="V590" s="49"/>
      <c r="W590" s="49"/>
      <c r="X590" s="49"/>
      <c r="Y590" s="49"/>
      <c r="Z590" s="49"/>
      <c r="AA590" s="49"/>
      <c r="AB590" s="49"/>
      <c r="AC590" s="49"/>
      <c r="AD590" s="91"/>
      <c r="AE590" s="91"/>
      <c r="AF590" s="91"/>
      <c r="AG590" s="91"/>
    </row>
    <row r="591" spans="1:33">
      <c r="A591" s="534"/>
      <c r="B591" s="534">
        <v>589</v>
      </c>
      <c r="C591" s="534">
        <v>206479</v>
      </c>
      <c r="D591" s="534">
        <v>40412684</v>
      </c>
      <c r="E591" s="50" t="s">
        <v>2716</v>
      </c>
      <c r="F591" s="534">
        <v>47</v>
      </c>
      <c r="G591" s="49" t="s">
        <v>2717</v>
      </c>
      <c r="H591" s="49" t="s">
        <v>2718</v>
      </c>
      <c r="I591" s="534">
        <v>955290706</v>
      </c>
      <c r="J591" s="49" t="s">
        <v>162</v>
      </c>
      <c r="K591" s="535">
        <v>46077</v>
      </c>
      <c r="L591" s="49" t="s">
        <v>376</v>
      </c>
      <c r="M591" s="534" t="s">
        <v>230</v>
      </c>
      <c r="N591" s="49" t="s">
        <v>884</v>
      </c>
      <c r="O591" s="441">
        <v>46084</v>
      </c>
      <c r="P591" s="546" t="s">
        <v>1602</v>
      </c>
      <c r="Q591" s="471" t="s">
        <v>358</v>
      </c>
      <c r="R591" s="534"/>
      <c r="S591" s="49"/>
      <c r="T591" s="49"/>
      <c r="U591" s="49"/>
      <c r="V591" s="49"/>
      <c r="W591" s="49"/>
      <c r="X591" s="49"/>
      <c r="Y591" s="49"/>
      <c r="Z591" s="49"/>
      <c r="AA591" s="49"/>
      <c r="AB591" s="49"/>
      <c r="AC591" s="49"/>
      <c r="AD591" s="91"/>
      <c r="AE591" s="91"/>
      <c r="AF591" s="91"/>
      <c r="AG591" s="91"/>
    </row>
    <row r="592" spans="1:33">
      <c r="A592" s="536"/>
      <c r="B592" s="534">
        <v>590</v>
      </c>
      <c r="C592" s="536">
        <v>523348</v>
      </c>
      <c r="D592" s="536">
        <v>43833022</v>
      </c>
      <c r="E592" s="212" t="s">
        <v>2719</v>
      </c>
      <c r="F592" s="536">
        <v>53</v>
      </c>
      <c r="G592" s="59" t="s">
        <v>2720</v>
      </c>
      <c r="H592" s="59" t="s">
        <v>461</v>
      </c>
      <c r="I592" s="536">
        <v>917644779</v>
      </c>
      <c r="J592" s="59" t="s">
        <v>421</v>
      </c>
      <c r="K592" s="591">
        <v>46077</v>
      </c>
      <c r="L592" s="59" t="s">
        <v>2721</v>
      </c>
      <c r="M592" s="536" t="s">
        <v>323</v>
      </c>
      <c r="N592" s="59" t="s">
        <v>884</v>
      </c>
      <c r="O592" s="445">
        <v>46084</v>
      </c>
      <c r="P592" s="612" t="s">
        <v>1602</v>
      </c>
      <c r="Q592" s="471" t="s">
        <v>358</v>
      </c>
      <c r="R592" s="536"/>
      <c r="S592" s="59"/>
      <c r="T592" s="59"/>
      <c r="U592" s="59"/>
      <c r="V592" s="59"/>
      <c r="W592" s="59"/>
      <c r="X592" s="59"/>
      <c r="Y592" s="59"/>
      <c r="Z592" s="59"/>
      <c r="AA592" s="59"/>
      <c r="AB592" s="59"/>
      <c r="AC592" s="59"/>
      <c r="AD592" s="91"/>
      <c r="AE592" s="91"/>
      <c r="AF592" s="91"/>
      <c r="AG592" s="91"/>
    </row>
    <row r="593" spans="1:33">
      <c r="A593" s="557"/>
      <c r="B593" s="534">
        <v>591</v>
      </c>
      <c r="C593" s="557">
        <v>523340</v>
      </c>
      <c r="D593" s="557">
        <v>15851914</v>
      </c>
      <c r="E593" s="586" t="s">
        <v>2722</v>
      </c>
      <c r="F593" s="557">
        <v>53</v>
      </c>
      <c r="G593" s="432" t="s">
        <v>2723</v>
      </c>
      <c r="H593" s="432" t="s">
        <v>2724</v>
      </c>
      <c r="I593" s="557">
        <v>968283233</v>
      </c>
      <c r="J593" s="432" t="s">
        <v>384</v>
      </c>
      <c r="K593" s="603">
        <v>46077</v>
      </c>
      <c r="L593" s="452" t="s">
        <v>2725</v>
      </c>
      <c r="M593" s="608" t="s">
        <v>323</v>
      </c>
      <c r="N593" s="452" t="s">
        <v>241</v>
      </c>
      <c r="O593" s="453">
        <v>46086</v>
      </c>
      <c r="P593" s="616" t="s">
        <v>2154</v>
      </c>
      <c r="Q593" s="802">
        <v>46082</v>
      </c>
      <c r="R593" s="808">
        <v>46082</v>
      </c>
      <c r="S593" s="432"/>
      <c r="T593" s="432"/>
      <c r="U593" s="432"/>
      <c r="V593" s="432"/>
      <c r="W593" s="452"/>
      <c r="X593" s="452"/>
      <c r="Y593" s="452"/>
      <c r="Z593" s="452"/>
      <c r="AA593" s="452"/>
      <c r="AB593" s="452"/>
      <c r="AC593" s="452"/>
      <c r="AD593" s="91"/>
      <c r="AE593" s="91"/>
      <c r="AF593" s="91"/>
      <c r="AG593" s="91"/>
    </row>
    <row r="594" spans="1:33">
      <c r="A594" s="534"/>
      <c r="B594" s="534">
        <v>592</v>
      </c>
      <c r="C594" s="534">
        <v>258163</v>
      </c>
      <c r="D594" s="534">
        <v>15401232</v>
      </c>
      <c r="E594" s="50" t="s">
        <v>2726</v>
      </c>
      <c r="F594" s="534">
        <v>65</v>
      </c>
      <c r="G594" s="49" t="s">
        <v>2727</v>
      </c>
      <c r="H594" s="49" t="s">
        <v>326</v>
      </c>
      <c r="I594" s="534">
        <v>958767525</v>
      </c>
      <c r="J594" s="49" t="s">
        <v>617</v>
      </c>
      <c r="K594" s="535">
        <v>46077</v>
      </c>
      <c r="L594" s="251" t="s">
        <v>376</v>
      </c>
      <c r="M594" s="576" t="s">
        <v>230</v>
      </c>
      <c r="N594" s="251" t="s">
        <v>884</v>
      </c>
      <c r="O594" s="454">
        <v>46084</v>
      </c>
      <c r="P594" s="576" t="s">
        <v>2728</v>
      </c>
      <c r="Q594" s="802">
        <v>46082</v>
      </c>
      <c r="R594" s="566" t="s">
        <v>318</v>
      </c>
      <c r="S594" s="49"/>
      <c r="T594" s="49"/>
      <c r="U594" s="49"/>
      <c r="V594" s="49"/>
      <c r="W594" s="251"/>
      <c r="X594" s="251"/>
      <c r="Y594" s="251"/>
      <c r="Z594" s="251"/>
      <c r="AA594" s="251"/>
      <c r="AB594" s="251"/>
      <c r="AC594" s="251"/>
      <c r="AD594" s="91"/>
      <c r="AE594" s="91"/>
      <c r="AF594" s="91"/>
      <c r="AG594" s="91"/>
    </row>
    <row r="595" spans="1:33">
      <c r="A595" s="534"/>
      <c r="B595" s="534">
        <v>593</v>
      </c>
      <c r="C595" s="534">
        <v>39914</v>
      </c>
      <c r="D595" s="534">
        <v>15721719</v>
      </c>
      <c r="E595" s="50" t="s">
        <v>2729</v>
      </c>
      <c r="F595" s="534">
        <v>57</v>
      </c>
      <c r="G595" s="49" t="s">
        <v>2730</v>
      </c>
      <c r="H595" s="49" t="s">
        <v>2731</v>
      </c>
      <c r="I595" s="534">
        <v>954791359</v>
      </c>
      <c r="J595" s="49" t="s">
        <v>238</v>
      </c>
      <c r="K595" s="535">
        <v>46077</v>
      </c>
      <c r="L595" s="251" t="s">
        <v>388</v>
      </c>
      <c r="M595" s="576" t="s">
        <v>230</v>
      </c>
      <c r="N595" s="251" t="s">
        <v>241</v>
      </c>
      <c r="O595" s="441">
        <v>46084</v>
      </c>
      <c r="P595" s="576"/>
      <c r="Q595" s="576" t="s">
        <v>2135</v>
      </c>
      <c r="R595" s="534"/>
      <c r="S595" s="49"/>
      <c r="T595" s="49"/>
      <c r="U595" s="49"/>
      <c r="V595" s="49"/>
      <c r="W595" s="251"/>
      <c r="X595" s="251"/>
      <c r="Y595" s="251"/>
      <c r="Z595" s="251"/>
      <c r="AA595" s="251"/>
      <c r="AB595" s="251"/>
      <c r="AC595" s="251"/>
      <c r="AD595" s="91"/>
      <c r="AE595" s="91"/>
      <c r="AF595" s="91"/>
      <c r="AG595" s="91"/>
    </row>
    <row r="596" spans="1:33">
      <c r="A596" s="534"/>
      <c r="B596" s="534">
        <v>594</v>
      </c>
      <c r="C596" s="534">
        <v>355491</v>
      </c>
      <c r="D596" s="534">
        <v>15756698</v>
      </c>
      <c r="E596" s="50" t="s">
        <v>2732</v>
      </c>
      <c r="F596" s="534">
        <v>64</v>
      </c>
      <c r="G596" s="49" t="s">
        <v>2733</v>
      </c>
      <c r="H596" s="49" t="s">
        <v>237</v>
      </c>
      <c r="I596" s="534">
        <v>991983664</v>
      </c>
      <c r="J596" s="49" t="s">
        <v>238</v>
      </c>
      <c r="K596" s="535">
        <v>46077</v>
      </c>
      <c r="L596" s="251" t="s">
        <v>2734</v>
      </c>
      <c r="M596" s="576" t="s">
        <v>312</v>
      </c>
      <c r="N596" s="251" t="s">
        <v>884</v>
      </c>
      <c r="O596" s="441">
        <v>46084</v>
      </c>
      <c r="P596" s="576"/>
      <c r="Q596" s="158"/>
      <c r="R596" s="534"/>
      <c r="S596" s="49"/>
      <c r="T596" s="49"/>
      <c r="U596" s="49"/>
      <c r="V596" s="49"/>
      <c r="W596" s="251"/>
      <c r="X596" s="251"/>
      <c r="Y596" s="251"/>
      <c r="Z596" s="251"/>
      <c r="AA596" s="251"/>
      <c r="AB596" s="251"/>
      <c r="AC596" s="251"/>
      <c r="AD596" s="91"/>
      <c r="AE596" s="91"/>
      <c r="AF596" s="91"/>
      <c r="AG596" s="91"/>
    </row>
    <row r="597" spans="1:33">
      <c r="A597" s="534"/>
      <c r="B597" s="534">
        <v>595</v>
      </c>
      <c r="C597" s="534">
        <v>523360</v>
      </c>
      <c r="D597" s="534">
        <v>15721203</v>
      </c>
      <c r="E597" s="50" t="s">
        <v>2735</v>
      </c>
      <c r="F597" s="534">
        <v>67</v>
      </c>
      <c r="G597" s="49" t="s">
        <v>2736</v>
      </c>
      <c r="H597" s="49" t="s">
        <v>326</v>
      </c>
      <c r="I597" s="534">
        <v>924409953</v>
      </c>
      <c r="J597" s="49" t="s">
        <v>617</v>
      </c>
      <c r="K597" s="535">
        <v>46077</v>
      </c>
      <c r="L597" s="251" t="s">
        <v>2737</v>
      </c>
      <c r="M597" s="576" t="s">
        <v>230</v>
      </c>
      <c r="N597" s="251" t="s">
        <v>317</v>
      </c>
      <c r="O597" s="437">
        <v>46083</v>
      </c>
      <c r="P597" s="617" t="s">
        <v>292</v>
      </c>
      <c r="Q597" s="802">
        <v>46082</v>
      </c>
      <c r="R597" s="566" t="s">
        <v>318</v>
      </c>
      <c r="S597" s="49"/>
      <c r="T597" s="49"/>
      <c r="U597" s="49"/>
      <c r="V597" s="49"/>
      <c r="W597" s="251"/>
      <c r="X597" s="251"/>
      <c r="Y597" s="251"/>
      <c r="Z597" s="251"/>
      <c r="AA597" s="251"/>
      <c r="AB597" s="251"/>
      <c r="AC597" s="251"/>
      <c r="AD597" s="91"/>
      <c r="AE597" s="91"/>
      <c r="AF597" s="91"/>
      <c r="AG597" s="91"/>
    </row>
    <row r="598" spans="1:33">
      <c r="A598" s="534"/>
      <c r="B598" s="534">
        <v>596</v>
      </c>
      <c r="C598" s="534">
        <v>106132</v>
      </c>
      <c r="D598" s="534">
        <v>15595539</v>
      </c>
      <c r="E598" s="50" t="s">
        <v>2738</v>
      </c>
      <c r="F598" s="534">
        <v>64</v>
      </c>
      <c r="G598" s="49" t="s">
        <v>2739</v>
      </c>
      <c r="H598" s="49" t="s">
        <v>237</v>
      </c>
      <c r="I598" s="534">
        <v>949121249</v>
      </c>
      <c r="J598" s="49" t="s">
        <v>289</v>
      </c>
      <c r="K598" s="535">
        <v>46077</v>
      </c>
      <c r="L598" s="49" t="s">
        <v>376</v>
      </c>
      <c r="M598" s="576" t="s">
        <v>230</v>
      </c>
      <c r="N598" s="251" t="s">
        <v>317</v>
      </c>
      <c r="O598" s="437">
        <v>46085</v>
      </c>
      <c r="P598" s="617" t="s">
        <v>2708</v>
      </c>
      <c r="Q598" s="807">
        <v>46082</v>
      </c>
      <c r="R598" s="566" t="s">
        <v>318</v>
      </c>
      <c r="S598" s="49"/>
      <c r="T598" s="49"/>
      <c r="U598" s="49"/>
      <c r="V598" s="49"/>
      <c r="W598" s="256"/>
      <c r="X598" s="49"/>
      <c r="Y598" s="49"/>
      <c r="Z598" s="49"/>
      <c r="AA598" s="49"/>
      <c r="AB598" s="49"/>
      <c r="AC598" s="49"/>
      <c r="AD598" s="91"/>
      <c r="AE598" s="91"/>
      <c r="AF598" s="91"/>
      <c r="AG598" s="91"/>
    </row>
    <row r="599" spans="1:33">
      <c r="A599" s="534"/>
      <c r="B599" s="534">
        <v>597</v>
      </c>
      <c r="C599" s="534">
        <v>523362</v>
      </c>
      <c r="D599" s="534">
        <v>15593860</v>
      </c>
      <c r="E599" s="50" t="s">
        <v>2740</v>
      </c>
      <c r="F599" s="534">
        <v>62</v>
      </c>
      <c r="G599" s="49" t="s">
        <v>2741</v>
      </c>
      <c r="H599" s="49" t="s">
        <v>278</v>
      </c>
      <c r="I599" s="534">
        <v>950504287</v>
      </c>
      <c r="J599" s="49" t="s">
        <v>238</v>
      </c>
      <c r="K599" s="535">
        <v>46077</v>
      </c>
      <c r="L599" s="251" t="s">
        <v>376</v>
      </c>
      <c r="M599" s="576" t="s">
        <v>230</v>
      </c>
      <c r="N599" s="251" t="s">
        <v>884</v>
      </c>
      <c r="O599" s="441">
        <v>46084</v>
      </c>
      <c r="P599" s="576"/>
      <c r="Q599" s="638"/>
      <c r="R599" s="534"/>
      <c r="S599" s="49"/>
      <c r="T599" s="49"/>
      <c r="U599" s="49"/>
      <c r="V599" s="49"/>
      <c r="W599" s="251"/>
      <c r="X599" s="251"/>
      <c r="Y599" s="251"/>
      <c r="Z599" s="251"/>
      <c r="AA599" s="251"/>
      <c r="AB599" s="251"/>
      <c r="AC599" s="251"/>
      <c r="AD599" s="91"/>
      <c r="AE599" s="91"/>
      <c r="AF599" s="91"/>
      <c r="AG599" s="91"/>
    </row>
    <row r="600" spans="1:33">
      <c r="A600" s="534"/>
      <c r="B600" s="534">
        <v>598</v>
      </c>
      <c r="C600" s="534">
        <v>239889</v>
      </c>
      <c r="D600" s="534">
        <v>40706085</v>
      </c>
      <c r="E600" s="50" t="s">
        <v>2742</v>
      </c>
      <c r="F600" s="534">
        <v>45</v>
      </c>
      <c r="G600" s="49" t="s">
        <v>2743</v>
      </c>
      <c r="H600" s="49" t="s">
        <v>278</v>
      </c>
      <c r="I600" s="534">
        <v>950504287</v>
      </c>
      <c r="J600" s="49" t="s">
        <v>238</v>
      </c>
      <c r="K600" s="535">
        <v>46077</v>
      </c>
      <c r="L600" s="251" t="s">
        <v>388</v>
      </c>
      <c r="M600" s="576" t="s">
        <v>230</v>
      </c>
      <c r="N600" s="251" t="s">
        <v>241</v>
      </c>
      <c r="O600" s="441">
        <v>46084</v>
      </c>
      <c r="P600" s="576"/>
      <c r="Q600" s="638"/>
      <c r="R600" s="534"/>
      <c r="S600" s="49"/>
      <c r="T600" s="49"/>
      <c r="U600" s="49"/>
      <c r="V600" s="49"/>
      <c r="W600" s="251"/>
      <c r="X600" s="251"/>
      <c r="Y600" s="251"/>
      <c r="Z600" s="251"/>
      <c r="AA600" s="251"/>
      <c r="AB600" s="251"/>
      <c r="AC600" s="251"/>
      <c r="AD600" s="91"/>
      <c r="AE600" s="91"/>
      <c r="AF600" s="91"/>
      <c r="AG600" s="91"/>
    </row>
    <row r="601" spans="1:33">
      <c r="A601" s="534"/>
      <c r="B601" s="534">
        <v>599</v>
      </c>
      <c r="C601" s="534">
        <v>243689</v>
      </c>
      <c r="D601" s="534">
        <v>15721426</v>
      </c>
      <c r="E601" s="50" t="s">
        <v>2744</v>
      </c>
      <c r="F601" s="534">
        <v>50</v>
      </c>
      <c r="G601" s="49" t="s">
        <v>2745</v>
      </c>
      <c r="H601" s="49" t="s">
        <v>237</v>
      </c>
      <c r="I601" s="534">
        <v>979855801</v>
      </c>
      <c r="J601" s="50" t="s">
        <v>1105</v>
      </c>
      <c r="K601" s="535">
        <v>46077</v>
      </c>
      <c r="L601" s="251" t="s">
        <v>376</v>
      </c>
      <c r="M601" s="576" t="s">
        <v>230</v>
      </c>
      <c r="N601" s="251" t="s">
        <v>884</v>
      </c>
      <c r="O601" s="437">
        <v>46090</v>
      </c>
      <c r="P601" s="617" t="s">
        <v>1478</v>
      </c>
      <c r="Q601" s="807">
        <v>46082</v>
      </c>
      <c r="R601" s="534" t="s">
        <v>318</v>
      </c>
      <c r="S601" s="49"/>
      <c r="T601" s="49"/>
      <c r="U601" s="49"/>
      <c r="V601" s="49"/>
      <c r="W601" s="251"/>
      <c r="X601" s="251"/>
      <c r="Y601" s="251"/>
      <c r="Z601" s="251"/>
      <c r="AA601" s="251"/>
      <c r="AB601" s="251"/>
      <c r="AC601" s="251"/>
      <c r="AD601" s="91"/>
      <c r="AE601" s="91"/>
      <c r="AF601" s="91"/>
      <c r="AG601" s="91"/>
    </row>
    <row r="602" spans="1:33">
      <c r="A602" s="534"/>
      <c r="B602" s="534">
        <v>600</v>
      </c>
      <c r="C602" s="534">
        <v>193798</v>
      </c>
      <c r="D602" s="534">
        <v>15728169</v>
      </c>
      <c r="E602" s="50" t="s">
        <v>2746</v>
      </c>
      <c r="F602" s="534">
        <v>50</v>
      </c>
      <c r="G602" s="49" t="s">
        <v>2747</v>
      </c>
      <c r="H602" s="49" t="s">
        <v>222</v>
      </c>
      <c r="I602" s="534">
        <v>974629093</v>
      </c>
      <c r="J602" s="49" t="s">
        <v>223</v>
      </c>
      <c r="K602" s="535">
        <v>46077</v>
      </c>
      <c r="L602" s="251" t="s">
        <v>2748</v>
      </c>
      <c r="M602" s="576" t="s">
        <v>312</v>
      </c>
      <c r="N602" s="251" t="s">
        <v>241</v>
      </c>
      <c r="O602" s="437">
        <v>46083</v>
      </c>
      <c r="P602" s="618" t="s">
        <v>292</v>
      </c>
      <c r="Q602" s="802">
        <v>46082</v>
      </c>
      <c r="R602" s="534" t="s">
        <v>242</v>
      </c>
      <c r="S602" s="49"/>
      <c r="T602" s="49"/>
      <c r="U602" s="49"/>
      <c r="V602" s="49"/>
      <c r="W602" s="251"/>
      <c r="X602" s="251"/>
      <c r="Y602" s="251"/>
      <c r="Z602" s="251"/>
      <c r="AA602" s="251"/>
      <c r="AB602" s="251"/>
      <c r="AC602" s="251"/>
      <c r="AD602" s="91"/>
      <c r="AE602" s="91"/>
      <c r="AF602" s="91"/>
      <c r="AG602" s="91"/>
    </row>
    <row r="603" spans="1:33">
      <c r="A603" s="534"/>
      <c r="B603" s="534">
        <v>601</v>
      </c>
      <c r="C603" s="534">
        <v>523361</v>
      </c>
      <c r="D603" s="534">
        <v>16010912</v>
      </c>
      <c r="E603" s="50" t="s">
        <v>2749</v>
      </c>
      <c r="F603" s="534">
        <v>50</v>
      </c>
      <c r="G603" s="49" t="s">
        <v>2750</v>
      </c>
      <c r="H603" s="49" t="s">
        <v>461</v>
      </c>
      <c r="I603" s="534">
        <v>988572063</v>
      </c>
      <c r="J603" s="49" t="s">
        <v>162</v>
      </c>
      <c r="K603" s="535">
        <v>46077</v>
      </c>
      <c r="L603" s="251" t="s">
        <v>376</v>
      </c>
      <c r="M603" s="576" t="s">
        <v>230</v>
      </c>
      <c r="N603" s="251" t="s">
        <v>884</v>
      </c>
      <c r="O603" s="441">
        <v>46084</v>
      </c>
      <c r="P603" s="617" t="s">
        <v>1602</v>
      </c>
      <c r="Q603" s="471" t="s">
        <v>358</v>
      </c>
      <c r="R603" s="534"/>
      <c r="S603" s="49"/>
      <c r="T603" s="49"/>
      <c r="U603" s="49"/>
      <c r="V603" s="49"/>
      <c r="W603" s="251"/>
      <c r="X603" s="251"/>
      <c r="Y603" s="251"/>
      <c r="Z603" s="251"/>
      <c r="AA603" s="251"/>
      <c r="AB603" s="251"/>
      <c r="AC603" s="251"/>
      <c r="AD603" s="91"/>
      <c r="AE603" s="91"/>
      <c r="AF603" s="91"/>
      <c r="AG603" s="91"/>
    </row>
    <row r="604" spans="1:33">
      <c r="A604" s="534"/>
      <c r="B604" s="534">
        <v>602</v>
      </c>
      <c r="C604" s="534">
        <v>285403</v>
      </c>
      <c r="D604" s="576">
        <v>22876610</v>
      </c>
      <c r="E604" s="50" t="s">
        <v>2751</v>
      </c>
      <c r="F604" s="534">
        <v>59</v>
      </c>
      <c r="G604" s="49" t="s">
        <v>1764</v>
      </c>
      <c r="H604" s="49" t="s">
        <v>2752</v>
      </c>
      <c r="I604" s="534">
        <v>933774231</v>
      </c>
      <c r="J604" s="49" t="s">
        <v>617</v>
      </c>
      <c r="K604" s="535">
        <v>46077</v>
      </c>
      <c r="L604" s="251" t="s">
        <v>2737</v>
      </c>
      <c r="M604" s="576" t="s">
        <v>230</v>
      </c>
      <c r="N604" s="251" t="s">
        <v>317</v>
      </c>
      <c r="O604" s="437">
        <v>46083</v>
      </c>
      <c r="P604" s="617" t="s">
        <v>292</v>
      </c>
      <c r="Q604" s="802">
        <v>46082</v>
      </c>
      <c r="R604" s="566" t="s">
        <v>318</v>
      </c>
      <c r="S604" s="49"/>
      <c r="T604" s="49"/>
      <c r="U604" s="49"/>
      <c r="V604" s="49"/>
      <c r="W604" s="251"/>
      <c r="X604" s="251"/>
      <c r="Y604" s="251"/>
      <c r="Z604" s="251"/>
      <c r="AA604" s="251"/>
      <c r="AB604" s="251"/>
      <c r="AC604" s="251"/>
      <c r="AD604" s="91"/>
      <c r="AE604" s="91"/>
      <c r="AF604" s="91"/>
      <c r="AG604" s="91"/>
    </row>
    <row r="605" spans="1:33">
      <c r="A605" s="534"/>
      <c r="B605" s="534">
        <v>603</v>
      </c>
      <c r="C605" s="534">
        <v>456251</v>
      </c>
      <c r="D605" s="534">
        <v>42919798</v>
      </c>
      <c r="E605" s="50" t="s">
        <v>2753</v>
      </c>
      <c r="F605" s="534">
        <v>41</v>
      </c>
      <c r="G605" s="49" t="s">
        <v>1764</v>
      </c>
      <c r="H605" s="49" t="s">
        <v>326</v>
      </c>
      <c r="I605" s="534">
        <v>910589234</v>
      </c>
      <c r="J605" s="49" t="s">
        <v>617</v>
      </c>
      <c r="K605" s="535">
        <v>46077</v>
      </c>
      <c r="L605" s="251" t="s">
        <v>2737</v>
      </c>
      <c r="M605" s="576" t="s">
        <v>230</v>
      </c>
      <c r="N605" s="251" t="s">
        <v>317</v>
      </c>
      <c r="O605" s="437">
        <v>46083</v>
      </c>
      <c r="P605" s="617" t="s">
        <v>292</v>
      </c>
      <c r="Q605" s="802">
        <v>46082</v>
      </c>
      <c r="R605" s="566" t="s">
        <v>318</v>
      </c>
      <c r="S605" s="49"/>
      <c r="T605" s="49"/>
      <c r="U605" s="49"/>
      <c r="V605" s="49"/>
      <c r="W605" s="251"/>
      <c r="X605" s="251"/>
      <c r="Y605" s="251"/>
      <c r="Z605" s="251"/>
      <c r="AA605" s="251"/>
      <c r="AB605" s="251"/>
      <c r="AC605" s="251"/>
      <c r="AD605" s="91"/>
      <c r="AE605" s="91"/>
      <c r="AF605" s="91"/>
      <c r="AG605" s="91"/>
    </row>
    <row r="606" spans="1:33">
      <c r="A606" s="534"/>
      <c r="B606" s="534">
        <v>604</v>
      </c>
      <c r="C606" s="534">
        <v>85865</v>
      </c>
      <c r="D606" s="534">
        <v>43398801</v>
      </c>
      <c r="E606" s="50" t="s">
        <v>2754</v>
      </c>
      <c r="F606" s="534">
        <v>40</v>
      </c>
      <c r="G606" s="49" t="s">
        <v>1764</v>
      </c>
      <c r="H606" s="49" t="s">
        <v>326</v>
      </c>
      <c r="I606" s="534">
        <v>906436514</v>
      </c>
      <c r="J606" s="49" t="s">
        <v>617</v>
      </c>
      <c r="K606" s="535">
        <v>46077</v>
      </c>
      <c r="L606" s="251" t="s">
        <v>2737</v>
      </c>
      <c r="M606" s="576" t="s">
        <v>230</v>
      </c>
      <c r="N606" s="251" t="s">
        <v>317</v>
      </c>
      <c r="O606" s="437">
        <v>46083</v>
      </c>
      <c r="P606" s="617" t="s">
        <v>292</v>
      </c>
      <c r="Q606" s="802">
        <v>46082</v>
      </c>
      <c r="R606" s="566" t="s">
        <v>318</v>
      </c>
      <c r="S606" s="49"/>
      <c r="T606" s="49"/>
      <c r="U606" s="49"/>
      <c r="V606" s="49"/>
      <c r="W606" s="251"/>
      <c r="X606" s="251"/>
      <c r="Y606" s="251"/>
      <c r="Z606" s="251"/>
      <c r="AA606" s="251"/>
      <c r="AB606" s="251"/>
      <c r="AC606" s="251"/>
      <c r="AD606" s="91"/>
      <c r="AE606" s="91"/>
      <c r="AF606" s="91"/>
      <c r="AG606" s="91"/>
    </row>
    <row r="607" spans="1:33">
      <c r="A607" s="558"/>
      <c r="B607" s="534">
        <v>605</v>
      </c>
      <c r="C607" s="560">
        <v>523364</v>
      </c>
      <c r="D607" s="560">
        <v>6691366</v>
      </c>
      <c r="E607" s="433" t="s">
        <v>2755</v>
      </c>
      <c r="F607" s="560">
        <v>62</v>
      </c>
      <c r="G607" s="259" t="s">
        <v>2756</v>
      </c>
      <c r="H607" s="259" t="s">
        <v>911</v>
      </c>
      <c r="I607" s="560">
        <v>966677327</v>
      </c>
      <c r="J607" s="259" t="s">
        <v>421</v>
      </c>
      <c r="K607" s="535">
        <v>46077</v>
      </c>
      <c r="L607" s="251" t="s">
        <v>376</v>
      </c>
      <c r="M607" s="576" t="s">
        <v>230</v>
      </c>
      <c r="N607" s="251" t="s">
        <v>884</v>
      </c>
      <c r="O607" s="441">
        <v>46084</v>
      </c>
      <c r="P607" s="617" t="s">
        <v>1602</v>
      </c>
      <c r="Q607" s="471" t="s">
        <v>358</v>
      </c>
      <c r="R607" s="534"/>
      <c r="S607" s="49"/>
      <c r="T607" s="49"/>
      <c r="U607" s="49"/>
      <c r="V607" s="49"/>
      <c r="W607" s="251"/>
      <c r="X607" s="251"/>
      <c r="Y607" s="251"/>
      <c r="Z607" s="251"/>
      <c r="AA607" s="251"/>
      <c r="AB607" s="251"/>
      <c r="AC607" s="251"/>
      <c r="AD607" s="91"/>
      <c r="AE607" s="91"/>
      <c r="AF607" s="91"/>
      <c r="AG607" s="91"/>
    </row>
    <row r="608" spans="1:33">
      <c r="A608" s="559">
        <v>46078</v>
      </c>
      <c r="B608" s="534">
        <v>606</v>
      </c>
      <c r="C608" s="545">
        <v>84342</v>
      </c>
      <c r="D608" s="577">
        <v>15582575</v>
      </c>
      <c r="E608" s="57" t="s">
        <v>253</v>
      </c>
      <c r="F608" s="545">
        <v>77</v>
      </c>
      <c r="G608" s="56" t="s">
        <v>254</v>
      </c>
      <c r="H608" s="56" t="s">
        <v>237</v>
      </c>
      <c r="I608" s="545">
        <v>995158608</v>
      </c>
      <c r="J608" s="56" t="s">
        <v>238</v>
      </c>
      <c r="K608" s="592">
        <v>46078</v>
      </c>
      <c r="L608" s="56" t="s">
        <v>255</v>
      </c>
      <c r="M608" s="609" t="s">
        <v>256</v>
      </c>
      <c r="N608" s="887" t="s">
        <v>257</v>
      </c>
      <c r="O608" s="455">
        <v>46084</v>
      </c>
      <c r="P608" s="619"/>
      <c r="Q608" s="619" t="s">
        <v>258</v>
      </c>
      <c r="R608" s="646">
        <v>46078</v>
      </c>
      <c r="S608" s="57" t="s">
        <v>259</v>
      </c>
      <c r="T608" s="56" t="s">
        <v>260</v>
      </c>
      <c r="U608" s="56" t="s">
        <v>261</v>
      </c>
      <c r="V608" s="56"/>
      <c r="W608" s="466"/>
      <c r="X608" s="56"/>
      <c r="Y608" s="56"/>
      <c r="Z608" s="56"/>
      <c r="AA608" s="56"/>
      <c r="AB608" s="56"/>
      <c r="AC608" s="56"/>
      <c r="AD608" s="91"/>
      <c r="AE608" s="91"/>
      <c r="AF608" s="91"/>
      <c r="AG608" s="91"/>
    </row>
    <row r="609" spans="1:33">
      <c r="A609" s="534"/>
      <c r="B609" s="534">
        <v>607</v>
      </c>
      <c r="C609" s="534">
        <v>129162</v>
      </c>
      <c r="D609" s="534">
        <v>40955219</v>
      </c>
      <c r="E609" s="50" t="s">
        <v>2757</v>
      </c>
      <c r="F609" s="534">
        <v>44</v>
      </c>
      <c r="G609" s="49" t="s">
        <v>2758</v>
      </c>
      <c r="H609" s="49" t="s">
        <v>237</v>
      </c>
      <c r="I609" s="534">
        <v>936449301</v>
      </c>
      <c r="J609" s="49" t="s">
        <v>238</v>
      </c>
      <c r="K609" s="535">
        <v>46078</v>
      </c>
      <c r="L609" s="49" t="s">
        <v>1469</v>
      </c>
      <c r="M609" s="576" t="s">
        <v>260</v>
      </c>
      <c r="N609" s="251" t="s">
        <v>241</v>
      </c>
      <c r="O609" s="441">
        <v>46084</v>
      </c>
      <c r="P609" s="617"/>
      <c r="Q609" s="617" t="s">
        <v>2759</v>
      </c>
      <c r="R609" s="566"/>
      <c r="S609" s="49"/>
      <c r="T609" s="49"/>
      <c r="U609" s="49"/>
      <c r="V609" s="49"/>
      <c r="W609" s="256"/>
      <c r="X609" s="49"/>
      <c r="Y609" s="49"/>
      <c r="Z609" s="49"/>
      <c r="AA609" s="49"/>
      <c r="AB609" s="49"/>
      <c r="AC609" s="49"/>
      <c r="AD609" s="91"/>
      <c r="AE609" s="91"/>
      <c r="AF609" s="91"/>
      <c r="AG609" s="91"/>
    </row>
    <row r="610" spans="1:33">
      <c r="A610" s="534"/>
      <c r="B610" s="534">
        <v>608</v>
      </c>
      <c r="C610" s="534">
        <v>523381</v>
      </c>
      <c r="D610" s="534">
        <v>40856089</v>
      </c>
      <c r="E610" s="50" t="s">
        <v>2760</v>
      </c>
      <c r="F610" s="534">
        <v>44</v>
      </c>
      <c r="G610" s="49" t="s">
        <v>2761</v>
      </c>
      <c r="H610" s="49" t="s">
        <v>301</v>
      </c>
      <c r="I610" s="534">
        <v>974240633</v>
      </c>
      <c r="J610" s="49" t="s">
        <v>302</v>
      </c>
      <c r="K610" s="535">
        <v>46078</v>
      </c>
      <c r="L610" s="49" t="s">
        <v>388</v>
      </c>
      <c r="M610" s="576" t="s">
        <v>230</v>
      </c>
      <c r="N610" s="251" t="s">
        <v>241</v>
      </c>
      <c r="O610" s="437">
        <v>46086</v>
      </c>
      <c r="P610" s="617" t="s">
        <v>2169</v>
      </c>
      <c r="Q610" s="818" t="s">
        <v>2762</v>
      </c>
      <c r="R610" s="566"/>
      <c r="S610" s="49"/>
      <c r="T610" s="49"/>
      <c r="U610" s="49"/>
      <c r="V610" s="49"/>
      <c r="W610" s="256"/>
      <c r="X610" s="49"/>
      <c r="Y610" s="49"/>
      <c r="Z610" s="49"/>
      <c r="AA610" s="49"/>
      <c r="AB610" s="49"/>
      <c r="AC610" s="49"/>
      <c r="AD610" s="91"/>
      <c r="AE610" s="91"/>
      <c r="AF610" s="91"/>
      <c r="AG610" s="91"/>
    </row>
    <row r="611" spans="1:33">
      <c r="A611" s="534"/>
      <c r="B611" s="534">
        <v>609</v>
      </c>
      <c r="C611" s="534">
        <v>523380</v>
      </c>
      <c r="D611" s="534">
        <v>15954071</v>
      </c>
      <c r="E611" s="50" t="s">
        <v>2763</v>
      </c>
      <c r="F611" s="534">
        <v>63</v>
      </c>
      <c r="G611" s="49" t="s">
        <v>2764</v>
      </c>
      <c r="H611" s="49" t="s">
        <v>911</v>
      </c>
      <c r="I611" s="534">
        <v>925985349</v>
      </c>
      <c r="J611" s="49" t="s">
        <v>2150</v>
      </c>
      <c r="K611" s="535">
        <v>46078</v>
      </c>
      <c r="L611" s="49" t="s">
        <v>376</v>
      </c>
      <c r="M611" s="576" t="s">
        <v>230</v>
      </c>
      <c r="N611" s="251" t="s">
        <v>884</v>
      </c>
      <c r="O611" s="441">
        <v>46084</v>
      </c>
      <c r="P611" s="620" t="s">
        <v>1621</v>
      </c>
      <c r="Q611" s="471" t="s">
        <v>358</v>
      </c>
      <c r="R611" s="566"/>
      <c r="S611" s="49"/>
      <c r="T611" s="49"/>
      <c r="U611" s="49"/>
      <c r="V611" s="49"/>
      <c r="W611" s="256"/>
      <c r="X611" s="49"/>
      <c r="Y611" s="49"/>
      <c r="Z611" s="49"/>
      <c r="AA611" s="49"/>
      <c r="AB611" s="49"/>
      <c r="AC611" s="49"/>
      <c r="AD611" s="91"/>
      <c r="AE611" s="91"/>
      <c r="AF611" s="91"/>
      <c r="AG611" s="91"/>
    </row>
    <row r="612" spans="1:33">
      <c r="A612" s="534"/>
      <c r="B612" s="534">
        <v>610</v>
      </c>
      <c r="C612" s="534">
        <v>427932</v>
      </c>
      <c r="D612" s="534">
        <v>15689470</v>
      </c>
      <c r="E612" s="50" t="s">
        <v>2765</v>
      </c>
      <c r="F612" s="534">
        <v>63</v>
      </c>
      <c r="G612" s="49" t="s">
        <v>2766</v>
      </c>
      <c r="H612" s="49" t="s">
        <v>237</v>
      </c>
      <c r="I612" s="534">
        <v>992346139</v>
      </c>
      <c r="J612" s="49" t="s">
        <v>238</v>
      </c>
      <c r="K612" s="535">
        <v>46078</v>
      </c>
      <c r="L612" s="49" t="s">
        <v>376</v>
      </c>
      <c r="M612" s="576" t="s">
        <v>230</v>
      </c>
      <c r="N612" s="251" t="s">
        <v>884</v>
      </c>
      <c r="O612" s="441">
        <v>46084</v>
      </c>
      <c r="P612" s="617"/>
      <c r="Q612" s="638"/>
      <c r="R612" s="566"/>
      <c r="S612" s="49"/>
      <c r="T612" s="49"/>
      <c r="U612" s="49"/>
      <c r="V612" s="49"/>
      <c r="W612" s="256"/>
      <c r="X612" s="49"/>
      <c r="Y612" s="49"/>
      <c r="Z612" s="49"/>
      <c r="AA612" s="49"/>
      <c r="AB612" s="49"/>
      <c r="AC612" s="49"/>
      <c r="AD612" s="91"/>
      <c r="AE612" s="91"/>
      <c r="AF612" s="91"/>
      <c r="AG612" s="91"/>
    </row>
    <row r="613" spans="1:33">
      <c r="A613" s="534"/>
      <c r="B613" s="534">
        <v>611</v>
      </c>
      <c r="C613" s="534">
        <v>238606</v>
      </c>
      <c r="D613" s="534">
        <v>15760624</v>
      </c>
      <c r="E613" s="50" t="s">
        <v>2767</v>
      </c>
      <c r="F613" s="534">
        <v>48</v>
      </c>
      <c r="G613" s="49" t="s">
        <v>2768</v>
      </c>
      <c r="H613" s="49" t="s">
        <v>278</v>
      </c>
      <c r="I613" s="534">
        <v>987385581</v>
      </c>
      <c r="J613" s="49" t="s">
        <v>238</v>
      </c>
      <c r="K613" s="535">
        <v>46078</v>
      </c>
      <c r="L613" s="49" t="s">
        <v>871</v>
      </c>
      <c r="M613" s="576" t="s">
        <v>312</v>
      </c>
      <c r="N613" s="251" t="s">
        <v>241</v>
      </c>
      <c r="O613" s="441">
        <v>46084</v>
      </c>
      <c r="P613" s="617"/>
      <c r="Q613" s="617" t="s">
        <v>1186</v>
      </c>
      <c r="R613" s="566"/>
      <c r="S613" s="49"/>
      <c r="T613" s="49"/>
      <c r="U613" s="49"/>
      <c r="V613" s="49"/>
      <c r="W613" s="256"/>
      <c r="X613" s="49"/>
      <c r="Y613" s="49"/>
      <c r="Z613" s="49"/>
      <c r="AA613" s="49"/>
      <c r="AB613" s="49"/>
      <c r="AC613" s="49"/>
      <c r="AD613" s="91"/>
      <c r="AE613" s="91"/>
      <c r="AF613" s="91"/>
      <c r="AG613" s="91"/>
    </row>
    <row r="614" spans="1:33">
      <c r="A614" s="534"/>
      <c r="B614" s="534">
        <v>612</v>
      </c>
      <c r="C614" s="534">
        <v>202848</v>
      </c>
      <c r="D614" s="534">
        <v>15740962</v>
      </c>
      <c r="E614" s="50" t="s">
        <v>2769</v>
      </c>
      <c r="F614" s="534">
        <v>52</v>
      </c>
      <c r="G614" s="49" t="s">
        <v>2770</v>
      </c>
      <c r="H614" s="49" t="s">
        <v>222</v>
      </c>
      <c r="I614" s="534">
        <v>974238102</v>
      </c>
      <c r="J614" s="49" t="s">
        <v>238</v>
      </c>
      <c r="K614" s="535">
        <v>46078</v>
      </c>
      <c r="L614" s="49" t="s">
        <v>376</v>
      </c>
      <c r="M614" s="576" t="s">
        <v>230</v>
      </c>
      <c r="N614" s="251" t="s">
        <v>884</v>
      </c>
      <c r="O614" s="441">
        <v>46084</v>
      </c>
      <c r="P614" s="617"/>
      <c r="Q614" s="617" t="s">
        <v>1186</v>
      </c>
      <c r="R614" s="566"/>
      <c r="S614" s="49"/>
      <c r="T614" s="49"/>
      <c r="U614" s="49"/>
      <c r="V614" s="49"/>
      <c r="W614" s="256"/>
      <c r="X614" s="49"/>
      <c r="Y614" s="49"/>
      <c r="Z614" s="49"/>
      <c r="AA614" s="49"/>
      <c r="AB614" s="49"/>
      <c r="AC614" s="49"/>
      <c r="AD614" s="91"/>
      <c r="AE614" s="91"/>
      <c r="AF614" s="91"/>
      <c r="AG614" s="91"/>
    </row>
    <row r="615" spans="1:33">
      <c r="A615" s="534"/>
      <c r="B615" s="534">
        <v>613</v>
      </c>
      <c r="C615" s="534">
        <v>300742</v>
      </c>
      <c r="D615" s="534">
        <v>15694389</v>
      </c>
      <c r="E615" s="50" t="s">
        <v>2771</v>
      </c>
      <c r="F615" s="534">
        <v>55</v>
      </c>
      <c r="G615" s="49" t="s">
        <v>2772</v>
      </c>
      <c r="H615" s="49" t="s">
        <v>288</v>
      </c>
      <c r="I615" s="534">
        <v>930846733</v>
      </c>
      <c r="J615" s="49" t="s">
        <v>289</v>
      </c>
      <c r="K615" s="535">
        <v>46078</v>
      </c>
      <c r="L615" s="49" t="s">
        <v>376</v>
      </c>
      <c r="M615" s="576" t="s">
        <v>230</v>
      </c>
      <c r="N615" s="251" t="s">
        <v>884</v>
      </c>
      <c r="O615" s="437">
        <v>46084</v>
      </c>
      <c r="P615" s="621" t="s">
        <v>292</v>
      </c>
      <c r="Q615" s="807">
        <v>46082</v>
      </c>
      <c r="R615" s="566" t="s">
        <v>318</v>
      </c>
      <c r="S615" s="49"/>
      <c r="T615" s="49"/>
      <c r="U615" s="49"/>
      <c r="V615" s="49"/>
      <c r="W615" s="256"/>
      <c r="X615" s="49"/>
      <c r="Y615" s="49"/>
      <c r="Z615" s="49"/>
      <c r="AA615" s="49"/>
      <c r="AB615" s="49"/>
      <c r="AC615" s="49"/>
      <c r="AD615" s="91"/>
      <c r="AE615" s="91"/>
      <c r="AF615" s="91"/>
      <c r="AG615" s="91"/>
    </row>
    <row r="616" spans="1:33">
      <c r="A616" s="534"/>
      <c r="B616" s="534">
        <v>614</v>
      </c>
      <c r="C616" s="534">
        <v>454658</v>
      </c>
      <c r="D616" s="534">
        <v>15587838</v>
      </c>
      <c r="E616" s="50" t="s">
        <v>2773</v>
      </c>
      <c r="F616" s="534">
        <v>60</v>
      </c>
      <c r="G616" s="49" t="s">
        <v>2774</v>
      </c>
      <c r="H616" s="49" t="s">
        <v>288</v>
      </c>
      <c r="I616" s="534">
        <v>923635429</v>
      </c>
      <c r="J616" s="49" t="s">
        <v>1105</v>
      </c>
      <c r="K616" s="535">
        <v>46078</v>
      </c>
      <c r="L616" s="49" t="s">
        <v>376</v>
      </c>
      <c r="M616" s="576" t="s">
        <v>230</v>
      </c>
      <c r="N616" s="251" t="s">
        <v>884</v>
      </c>
      <c r="O616" s="437">
        <v>46090</v>
      </c>
      <c r="P616" s="617" t="s">
        <v>1478</v>
      </c>
      <c r="Q616" s="807">
        <v>46082</v>
      </c>
      <c r="R616" s="566" t="s">
        <v>318</v>
      </c>
      <c r="S616" s="49"/>
      <c r="T616" s="49"/>
      <c r="U616" s="49"/>
      <c r="V616" s="49"/>
      <c r="W616" s="256"/>
      <c r="X616" s="49"/>
      <c r="Y616" s="49"/>
      <c r="Z616" s="49"/>
      <c r="AA616" s="49"/>
      <c r="AB616" s="49"/>
      <c r="AC616" s="49"/>
      <c r="AD616" s="91"/>
      <c r="AE616" s="91"/>
      <c r="AF616" s="91"/>
      <c r="AG616" s="91"/>
    </row>
    <row r="617" spans="1:33">
      <c r="A617" s="534"/>
      <c r="B617" s="534">
        <v>615</v>
      </c>
      <c r="C617" s="534">
        <v>192572</v>
      </c>
      <c r="D617" s="534">
        <v>15738898</v>
      </c>
      <c r="E617" s="50" t="s">
        <v>2775</v>
      </c>
      <c r="F617" s="534">
        <v>50</v>
      </c>
      <c r="G617" s="49" t="s">
        <v>2776</v>
      </c>
      <c r="H617" s="49" t="s">
        <v>278</v>
      </c>
      <c r="I617" s="534">
        <v>948586923</v>
      </c>
      <c r="J617" s="49" t="s">
        <v>238</v>
      </c>
      <c r="K617" s="535">
        <v>46078</v>
      </c>
      <c r="L617" s="49" t="s">
        <v>388</v>
      </c>
      <c r="M617" s="576" t="s">
        <v>230</v>
      </c>
      <c r="N617" s="251" t="s">
        <v>241</v>
      </c>
      <c r="O617" s="441">
        <v>46084</v>
      </c>
      <c r="P617" s="617"/>
      <c r="Q617" s="638"/>
      <c r="R617" s="566"/>
      <c r="S617" s="49"/>
      <c r="T617" s="49"/>
      <c r="U617" s="49"/>
      <c r="V617" s="49"/>
      <c r="W617" s="256"/>
      <c r="X617" s="49"/>
      <c r="Y617" s="49"/>
      <c r="Z617" s="49"/>
      <c r="AA617" s="49"/>
      <c r="AB617" s="49"/>
      <c r="AC617" s="49"/>
      <c r="AD617" s="91"/>
      <c r="AE617" s="91"/>
      <c r="AF617" s="91"/>
      <c r="AG617" s="91"/>
    </row>
    <row r="618" spans="1:33">
      <c r="A618" s="534"/>
      <c r="B618" s="534">
        <v>616</v>
      </c>
      <c r="C618" s="534">
        <v>460403</v>
      </c>
      <c r="D618" s="534">
        <v>42572527</v>
      </c>
      <c r="E618" s="50" t="s">
        <v>2777</v>
      </c>
      <c r="F618" s="534">
        <v>41</v>
      </c>
      <c r="G618" s="49" t="s">
        <v>2778</v>
      </c>
      <c r="H618" s="49" t="s">
        <v>237</v>
      </c>
      <c r="I618" s="534">
        <v>952212483</v>
      </c>
      <c r="J618" s="49" t="s">
        <v>238</v>
      </c>
      <c r="K618" s="535">
        <v>46078</v>
      </c>
      <c r="L618" s="49" t="s">
        <v>413</v>
      </c>
      <c r="M618" s="576" t="s">
        <v>230</v>
      </c>
      <c r="N618" s="251" t="s">
        <v>241</v>
      </c>
      <c r="O618" s="441">
        <v>46084</v>
      </c>
      <c r="P618" s="617"/>
      <c r="Q618" s="617" t="s">
        <v>2779</v>
      </c>
      <c r="R618" s="566"/>
      <c r="S618" s="49"/>
      <c r="T618" s="49"/>
      <c r="U618" s="49"/>
      <c r="V618" s="49"/>
      <c r="W618" s="256"/>
      <c r="X618" s="49"/>
      <c r="Y618" s="49"/>
      <c r="Z618" s="49"/>
      <c r="AA618" s="49"/>
      <c r="AB618" s="49"/>
      <c r="AC618" s="49"/>
      <c r="AD618" s="91"/>
      <c r="AE618" s="91"/>
      <c r="AF618" s="91"/>
      <c r="AG618" s="91"/>
    </row>
    <row r="619" spans="1:33">
      <c r="A619" s="536"/>
      <c r="B619" s="534">
        <v>617</v>
      </c>
      <c r="C619" s="536">
        <v>58674</v>
      </c>
      <c r="D619" s="536">
        <v>44170868</v>
      </c>
      <c r="E619" s="212" t="s">
        <v>2780</v>
      </c>
      <c r="F619" s="536">
        <v>50</v>
      </c>
      <c r="G619" s="59" t="s">
        <v>2781</v>
      </c>
      <c r="H619" s="59" t="s">
        <v>222</v>
      </c>
      <c r="I619" s="536">
        <v>968753288</v>
      </c>
      <c r="J619" s="59" t="s">
        <v>238</v>
      </c>
      <c r="K619" s="591">
        <v>46078</v>
      </c>
      <c r="L619" s="59" t="s">
        <v>2782</v>
      </c>
      <c r="M619" s="608" t="s">
        <v>323</v>
      </c>
      <c r="N619" s="452" t="s">
        <v>241</v>
      </c>
      <c r="O619" s="445">
        <v>46084</v>
      </c>
      <c r="P619" s="622"/>
      <c r="Q619" s="622" t="s">
        <v>1186</v>
      </c>
      <c r="R619" s="612"/>
      <c r="S619" s="59"/>
      <c r="T619" s="59"/>
      <c r="U619" s="59"/>
      <c r="V619" s="59"/>
      <c r="W619" s="258"/>
      <c r="X619" s="59"/>
      <c r="Y619" s="59"/>
      <c r="Z619" s="59"/>
      <c r="AA619" s="59"/>
      <c r="AB619" s="59"/>
      <c r="AC619" s="59"/>
      <c r="AD619" s="91"/>
      <c r="AE619" s="91"/>
      <c r="AF619" s="91"/>
      <c r="AG619" s="91"/>
    </row>
    <row r="620" spans="1:33" ht="50.25">
      <c r="A620" s="534"/>
      <c r="B620" s="534">
        <v>618</v>
      </c>
      <c r="C620" s="534">
        <v>298664</v>
      </c>
      <c r="D620" s="534">
        <v>80086661</v>
      </c>
      <c r="E620" s="50" t="s">
        <v>2783</v>
      </c>
      <c r="F620" s="534">
        <v>48</v>
      </c>
      <c r="G620" s="49" t="s">
        <v>2784</v>
      </c>
      <c r="H620" s="49" t="s">
        <v>278</v>
      </c>
      <c r="I620" s="534">
        <v>992155789</v>
      </c>
      <c r="J620" s="49" t="s">
        <v>238</v>
      </c>
      <c r="K620" s="535">
        <v>46078</v>
      </c>
      <c r="L620" s="52" t="s">
        <v>516</v>
      </c>
      <c r="M620" s="576" t="s">
        <v>312</v>
      </c>
      <c r="N620" s="251" t="s">
        <v>884</v>
      </c>
      <c r="O620" s="441">
        <v>46084</v>
      </c>
      <c r="P620" s="617"/>
      <c r="Q620" s="617" t="s">
        <v>1186</v>
      </c>
      <c r="R620" s="566"/>
      <c r="S620" s="49"/>
      <c r="T620" s="49"/>
      <c r="U620" s="49"/>
      <c r="V620" s="49"/>
      <c r="W620" s="256"/>
      <c r="X620" s="49"/>
      <c r="Y620" s="49"/>
      <c r="Z620" s="49"/>
      <c r="AA620" s="49"/>
      <c r="AB620" s="49"/>
      <c r="AC620" s="49"/>
      <c r="AD620" s="91"/>
      <c r="AE620" s="91"/>
      <c r="AF620" s="91"/>
      <c r="AG620" s="91"/>
    </row>
    <row r="621" spans="1:33">
      <c r="A621" s="534"/>
      <c r="B621" s="534">
        <v>619</v>
      </c>
      <c r="C621" s="534">
        <v>266647</v>
      </c>
      <c r="D621" s="534">
        <v>80273489</v>
      </c>
      <c r="E621" s="50" t="s">
        <v>2785</v>
      </c>
      <c r="F621" s="534">
        <v>46</v>
      </c>
      <c r="G621" s="49" t="s">
        <v>2786</v>
      </c>
      <c r="H621" s="49" t="s">
        <v>278</v>
      </c>
      <c r="I621" s="534">
        <v>913207017</v>
      </c>
      <c r="J621" s="49" t="s">
        <v>238</v>
      </c>
      <c r="K621" s="535">
        <v>46078</v>
      </c>
      <c r="L621" s="49" t="s">
        <v>388</v>
      </c>
      <c r="M621" s="576" t="s">
        <v>230</v>
      </c>
      <c r="N621" s="251" t="s">
        <v>241</v>
      </c>
      <c r="O621" s="441">
        <v>46084</v>
      </c>
      <c r="P621" s="617"/>
      <c r="Q621" s="617" t="s">
        <v>2787</v>
      </c>
      <c r="R621" s="566"/>
      <c r="S621" s="49"/>
      <c r="T621" s="49"/>
      <c r="U621" s="49"/>
      <c r="V621" s="49"/>
      <c r="W621" s="256"/>
      <c r="X621" s="49"/>
      <c r="Y621" s="49"/>
      <c r="Z621" s="49"/>
      <c r="AA621" s="49"/>
      <c r="AB621" s="49"/>
      <c r="AC621" s="49"/>
      <c r="AD621" s="91"/>
      <c r="AE621" s="91"/>
      <c r="AF621" s="91"/>
      <c r="AG621" s="91"/>
    </row>
    <row r="622" spans="1:33">
      <c r="A622" s="534"/>
      <c r="B622" s="534">
        <v>620</v>
      </c>
      <c r="C622" s="534">
        <v>83797</v>
      </c>
      <c r="D622" s="534">
        <v>40032498</v>
      </c>
      <c r="E622" s="50" t="s">
        <v>2788</v>
      </c>
      <c r="F622" s="534">
        <v>47</v>
      </c>
      <c r="G622" s="49" t="s">
        <v>2789</v>
      </c>
      <c r="H622" s="49" t="s">
        <v>301</v>
      </c>
      <c r="I622" s="534">
        <v>992086601</v>
      </c>
      <c r="J622" s="49" t="s">
        <v>238</v>
      </c>
      <c r="K622" s="535">
        <v>46078</v>
      </c>
      <c r="L622" s="49" t="s">
        <v>388</v>
      </c>
      <c r="M622" s="576" t="s">
        <v>230</v>
      </c>
      <c r="N622" s="251" t="s">
        <v>241</v>
      </c>
      <c r="O622" s="441">
        <v>46084</v>
      </c>
      <c r="P622" s="617"/>
      <c r="Q622" s="617" t="s">
        <v>2790</v>
      </c>
      <c r="R622" s="566"/>
      <c r="S622" s="49"/>
      <c r="T622" s="49"/>
      <c r="U622" s="49"/>
      <c r="V622" s="49"/>
      <c r="W622" s="256"/>
      <c r="X622" s="49"/>
      <c r="Y622" s="49"/>
      <c r="Z622" s="49"/>
      <c r="AA622" s="49"/>
      <c r="AB622" s="49"/>
      <c r="AC622" s="49"/>
      <c r="AD622" s="91"/>
      <c r="AE622" s="91"/>
      <c r="AF622" s="91"/>
      <c r="AG622" s="91"/>
    </row>
    <row r="623" spans="1:33">
      <c r="A623" s="534"/>
      <c r="B623" s="534">
        <v>621</v>
      </c>
      <c r="C623" s="534">
        <v>523390</v>
      </c>
      <c r="D623" s="534">
        <v>80602619</v>
      </c>
      <c r="E623" s="50" t="s">
        <v>2791</v>
      </c>
      <c r="F623" s="534">
        <v>51</v>
      </c>
      <c r="G623" s="49" t="s">
        <v>2792</v>
      </c>
      <c r="H623" s="49" t="s">
        <v>461</v>
      </c>
      <c r="I623" s="534">
        <v>967025864</v>
      </c>
      <c r="J623" s="49" t="s">
        <v>2793</v>
      </c>
      <c r="K623" s="535">
        <v>46078</v>
      </c>
      <c r="L623" s="49" t="s">
        <v>376</v>
      </c>
      <c r="M623" s="576" t="s">
        <v>230</v>
      </c>
      <c r="N623" s="251" t="s">
        <v>884</v>
      </c>
      <c r="O623" s="441">
        <v>46085</v>
      </c>
      <c r="P623" s="621" t="s">
        <v>2712</v>
      </c>
      <c r="Q623" s="471" t="s">
        <v>358</v>
      </c>
      <c r="R623" s="566"/>
      <c r="S623" s="49"/>
      <c r="T623" s="49"/>
      <c r="U623" s="49"/>
      <c r="V623" s="49"/>
      <c r="W623" s="256"/>
      <c r="X623" s="49"/>
      <c r="Y623" s="49"/>
      <c r="Z623" s="49"/>
      <c r="AA623" s="49"/>
      <c r="AB623" s="49"/>
      <c r="AC623" s="49"/>
      <c r="AD623" s="91"/>
      <c r="AE623" s="91"/>
      <c r="AF623" s="91"/>
      <c r="AG623" s="91"/>
    </row>
    <row r="624" spans="1:33">
      <c r="A624" s="534"/>
      <c r="B624" s="534">
        <v>622</v>
      </c>
      <c r="C624" s="534">
        <v>94184</v>
      </c>
      <c r="D624" s="534">
        <v>41599871</v>
      </c>
      <c r="E624" s="50" t="s">
        <v>2794</v>
      </c>
      <c r="F624" s="534">
        <v>45</v>
      </c>
      <c r="G624" s="49" t="s">
        <v>2795</v>
      </c>
      <c r="H624" s="49" t="s">
        <v>278</v>
      </c>
      <c r="I624" s="534">
        <v>947626553</v>
      </c>
      <c r="J624" s="49" t="s">
        <v>238</v>
      </c>
      <c r="K624" s="535">
        <v>46078</v>
      </c>
      <c r="L624" s="49" t="s">
        <v>376</v>
      </c>
      <c r="M624" s="576" t="s">
        <v>230</v>
      </c>
      <c r="N624" s="251" t="s">
        <v>884</v>
      </c>
      <c r="O624" s="441">
        <v>46084</v>
      </c>
      <c r="P624" s="617"/>
      <c r="Q624" s="638"/>
      <c r="R624" s="566"/>
      <c r="S624" s="49"/>
      <c r="T624" s="49"/>
      <c r="U624" s="49"/>
      <c r="V624" s="49"/>
      <c r="W624" s="256"/>
      <c r="X624" s="49"/>
      <c r="Y624" s="49"/>
      <c r="Z624" s="49"/>
      <c r="AA624" s="49"/>
      <c r="AB624" s="49"/>
      <c r="AC624" s="49"/>
      <c r="AD624" s="91"/>
      <c r="AE624" s="91"/>
      <c r="AF624" s="91"/>
      <c r="AG624" s="91"/>
    </row>
    <row r="625" spans="1:33">
      <c r="A625" s="534"/>
      <c r="B625" s="534">
        <v>623</v>
      </c>
      <c r="C625" s="534">
        <v>126740</v>
      </c>
      <c r="D625" s="534">
        <v>42020184</v>
      </c>
      <c r="E625" s="50" t="s">
        <v>2796</v>
      </c>
      <c r="F625" s="534">
        <v>42</v>
      </c>
      <c r="G625" s="49" t="s">
        <v>2797</v>
      </c>
      <c r="H625" s="49" t="s">
        <v>278</v>
      </c>
      <c r="I625" s="534">
        <v>986600421</v>
      </c>
      <c r="J625" s="49" t="s">
        <v>238</v>
      </c>
      <c r="K625" s="535">
        <v>46078</v>
      </c>
      <c r="L625" s="49" t="s">
        <v>376</v>
      </c>
      <c r="M625" s="576" t="s">
        <v>230</v>
      </c>
      <c r="N625" s="251" t="s">
        <v>884</v>
      </c>
      <c r="O625" s="441">
        <v>46084</v>
      </c>
      <c r="P625" s="617"/>
      <c r="Q625" s="617" t="s">
        <v>2798</v>
      </c>
      <c r="R625" s="566"/>
      <c r="S625" s="49"/>
      <c r="T625" s="49"/>
      <c r="U625" s="49"/>
      <c r="V625" s="49"/>
      <c r="W625" s="256"/>
      <c r="X625" s="49"/>
      <c r="Y625" s="49"/>
      <c r="Z625" s="49"/>
      <c r="AA625" s="49"/>
      <c r="AB625" s="49"/>
      <c r="AC625" s="49"/>
      <c r="AD625" s="91"/>
      <c r="AE625" s="91"/>
      <c r="AF625" s="91"/>
      <c r="AG625" s="91"/>
    </row>
    <row r="626" spans="1:33">
      <c r="A626" s="534"/>
      <c r="B626" s="534">
        <v>624</v>
      </c>
      <c r="C626" s="534">
        <v>294761</v>
      </c>
      <c r="D626" s="534">
        <v>42323849</v>
      </c>
      <c r="E626" s="50" t="s">
        <v>2799</v>
      </c>
      <c r="F626" s="534">
        <v>40</v>
      </c>
      <c r="G626" s="49" t="s">
        <v>2800</v>
      </c>
      <c r="H626" s="49" t="s">
        <v>288</v>
      </c>
      <c r="I626" s="534">
        <v>984286847</v>
      </c>
      <c r="J626" s="49" t="s">
        <v>238</v>
      </c>
      <c r="K626" s="535">
        <v>46078</v>
      </c>
      <c r="L626" s="49" t="s">
        <v>376</v>
      </c>
      <c r="M626" s="576" t="s">
        <v>230</v>
      </c>
      <c r="N626" s="251" t="s">
        <v>884</v>
      </c>
      <c r="O626" s="441">
        <v>46084</v>
      </c>
      <c r="P626" s="617"/>
      <c r="Q626" s="638"/>
      <c r="R626" s="566"/>
      <c r="S626" s="49"/>
      <c r="T626" s="49"/>
      <c r="U626" s="49"/>
      <c r="V626" s="49"/>
      <c r="W626" s="256"/>
      <c r="X626" s="49"/>
      <c r="Y626" s="49"/>
      <c r="Z626" s="49"/>
      <c r="AA626" s="49"/>
      <c r="AB626" s="49"/>
      <c r="AC626" s="49"/>
      <c r="AD626" s="91"/>
      <c r="AE626" s="91"/>
      <c r="AF626" s="91"/>
      <c r="AG626" s="91"/>
    </row>
    <row r="627" spans="1:33">
      <c r="A627" s="534"/>
      <c r="B627" s="534">
        <v>625</v>
      </c>
      <c r="C627" s="534">
        <v>523392</v>
      </c>
      <c r="D627" s="534">
        <v>16001722</v>
      </c>
      <c r="E627" s="50" t="s">
        <v>2801</v>
      </c>
      <c r="F627" s="534">
        <v>57</v>
      </c>
      <c r="G627" s="49" t="s">
        <v>2802</v>
      </c>
      <c r="H627" s="49" t="s">
        <v>461</v>
      </c>
      <c r="I627" s="534">
        <v>914178687</v>
      </c>
      <c r="J627" s="49" t="s">
        <v>162</v>
      </c>
      <c r="K627" s="535">
        <v>46078</v>
      </c>
      <c r="L627" s="49" t="s">
        <v>376</v>
      </c>
      <c r="M627" s="576" t="s">
        <v>230</v>
      </c>
      <c r="N627" s="251" t="s">
        <v>884</v>
      </c>
      <c r="O627" s="441">
        <v>46085</v>
      </c>
      <c r="P627" s="617" t="s">
        <v>1602</v>
      </c>
      <c r="Q627" s="471" t="s">
        <v>358</v>
      </c>
      <c r="R627" s="566"/>
      <c r="S627" s="49"/>
      <c r="T627" s="49"/>
      <c r="U627" s="49"/>
      <c r="V627" s="49"/>
      <c r="W627" s="256"/>
      <c r="X627" s="49"/>
      <c r="Y627" s="49"/>
      <c r="Z627" s="49"/>
      <c r="AA627" s="49"/>
      <c r="AB627" s="49"/>
      <c r="AC627" s="49"/>
      <c r="AD627" s="91"/>
      <c r="AE627" s="91"/>
      <c r="AF627" s="91"/>
      <c r="AG627" s="91"/>
    </row>
    <row r="628" spans="1:33">
      <c r="A628" s="534"/>
      <c r="B628" s="534">
        <v>626</v>
      </c>
      <c r="C628" s="534">
        <v>523391</v>
      </c>
      <c r="D628" s="534">
        <v>16019103</v>
      </c>
      <c r="E628" s="50" t="s">
        <v>2803</v>
      </c>
      <c r="F628" s="534">
        <v>49</v>
      </c>
      <c r="G628" s="49" t="s">
        <v>2804</v>
      </c>
      <c r="H628" s="49" t="s">
        <v>461</v>
      </c>
      <c r="I628" s="534">
        <v>938674664</v>
      </c>
      <c r="J628" s="49" t="s">
        <v>162</v>
      </c>
      <c r="K628" s="535">
        <v>46078</v>
      </c>
      <c r="L628" s="49" t="s">
        <v>376</v>
      </c>
      <c r="M628" s="576" t="s">
        <v>230</v>
      </c>
      <c r="N628" s="251" t="s">
        <v>884</v>
      </c>
      <c r="O628" s="441">
        <v>46085</v>
      </c>
      <c r="P628" s="617" t="s">
        <v>1602</v>
      </c>
      <c r="Q628" s="471" t="s">
        <v>358</v>
      </c>
      <c r="R628" s="566"/>
      <c r="S628" s="49"/>
      <c r="T628" s="49"/>
      <c r="U628" s="49"/>
      <c r="V628" s="49"/>
      <c r="W628" s="256"/>
      <c r="X628" s="49"/>
      <c r="Y628" s="49"/>
      <c r="Z628" s="49"/>
      <c r="AA628" s="49"/>
      <c r="AB628" s="49"/>
      <c r="AC628" s="49"/>
      <c r="AD628" s="91"/>
      <c r="AE628" s="91"/>
      <c r="AF628" s="91"/>
      <c r="AG628" s="91"/>
    </row>
    <row r="629" spans="1:33">
      <c r="A629" s="540" t="s">
        <v>513</v>
      </c>
      <c r="B629" s="534">
        <v>627</v>
      </c>
      <c r="C629" s="534">
        <v>523395</v>
      </c>
      <c r="D629" s="534">
        <v>8813377</v>
      </c>
      <c r="E629" s="50" t="s">
        <v>2805</v>
      </c>
      <c r="F629" s="534">
        <v>67</v>
      </c>
      <c r="G629" s="49" t="s">
        <v>2806</v>
      </c>
      <c r="H629" s="49" t="s">
        <v>911</v>
      </c>
      <c r="I629" s="534">
        <v>940153893</v>
      </c>
      <c r="J629" s="49" t="s">
        <v>421</v>
      </c>
      <c r="K629" s="535">
        <v>46078</v>
      </c>
      <c r="L629" s="49" t="s">
        <v>376</v>
      </c>
      <c r="M629" s="576" t="s">
        <v>230</v>
      </c>
      <c r="N629" s="251" t="s">
        <v>884</v>
      </c>
      <c r="O629" s="441">
        <v>46087</v>
      </c>
      <c r="P629" s="617" t="s">
        <v>1602</v>
      </c>
      <c r="Q629" s="471" t="s">
        <v>358</v>
      </c>
      <c r="R629" s="566"/>
      <c r="S629" s="49"/>
      <c r="T629" s="49"/>
      <c r="U629" s="49"/>
      <c r="V629" s="49"/>
      <c r="W629" s="256"/>
      <c r="X629" s="49"/>
      <c r="Y629" s="49"/>
      <c r="Z629" s="49"/>
      <c r="AA629" s="49"/>
      <c r="AB629" s="49"/>
      <c r="AC629" s="49"/>
      <c r="AD629" s="91"/>
      <c r="AE629" s="91"/>
      <c r="AF629" s="91"/>
      <c r="AG629" s="91"/>
    </row>
    <row r="630" spans="1:33">
      <c r="A630" s="534"/>
      <c r="B630" s="534">
        <v>628</v>
      </c>
      <c r="C630" s="534">
        <v>182285</v>
      </c>
      <c r="D630" s="578">
        <v>15733368</v>
      </c>
      <c r="E630" s="50" t="s">
        <v>2807</v>
      </c>
      <c r="F630" s="534">
        <v>53</v>
      </c>
      <c r="G630" s="49" t="s">
        <v>2808</v>
      </c>
      <c r="H630" s="49" t="s">
        <v>288</v>
      </c>
      <c r="I630" s="534">
        <v>976515370</v>
      </c>
      <c r="J630" s="49" t="s">
        <v>289</v>
      </c>
      <c r="K630" s="535">
        <v>46078</v>
      </c>
      <c r="L630" s="49" t="s">
        <v>388</v>
      </c>
      <c r="M630" s="576" t="s">
        <v>230</v>
      </c>
      <c r="N630" s="251" t="s">
        <v>241</v>
      </c>
      <c r="O630" s="437">
        <v>46085</v>
      </c>
      <c r="P630" s="617" t="s">
        <v>2708</v>
      </c>
      <c r="Q630" s="807">
        <v>46082</v>
      </c>
      <c r="R630" s="566" t="s">
        <v>242</v>
      </c>
      <c r="S630" s="49"/>
      <c r="T630" s="49"/>
      <c r="U630" s="49"/>
      <c r="V630" s="49"/>
      <c r="W630" s="256"/>
      <c r="X630" s="49"/>
      <c r="Y630" s="49"/>
      <c r="Z630" s="49"/>
      <c r="AA630" s="49"/>
      <c r="AB630" s="49"/>
      <c r="AC630" s="49"/>
      <c r="AD630" s="91"/>
      <c r="AE630" s="91"/>
      <c r="AF630" s="91"/>
      <c r="AG630" s="91"/>
    </row>
    <row r="631" spans="1:33">
      <c r="A631" s="560"/>
      <c r="B631" s="534">
        <v>629</v>
      </c>
      <c r="C631" s="560">
        <v>121808</v>
      </c>
      <c r="D631" s="560">
        <v>15697346</v>
      </c>
      <c r="E631" s="433" t="s">
        <v>2809</v>
      </c>
      <c r="F631" s="560">
        <v>61</v>
      </c>
      <c r="G631" s="259" t="s">
        <v>2810</v>
      </c>
      <c r="H631" s="259" t="s">
        <v>246</v>
      </c>
      <c r="I631" s="560">
        <v>913774294</v>
      </c>
      <c r="J631" s="259" t="s">
        <v>1312</v>
      </c>
      <c r="K631" s="535">
        <v>46078</v>
      </c>
      <c r="L631" s="49" t="s">
        <v>376</v>
      </c>
      <c r="M631" s="576" t="s">
        <v>230</v>
      </c>
      <c r="N631" s="251" t="s">
        <v>884</v>
      </c>
      <c r="O631" s="437">
        <v>46101</v>
      </c>
      <c r="P631" s="621" t="s">
        <v>2811</v>
      </c>
      <c r="Q631" s="802">
        <v>46082</v>
      </c>
      <c r="R631" s="566" t="s">
        <v>318</v>
      </c>
      <c r="S631" s="49"/>
      <c r="T631" s="49"/>
      <c r="U631" s="49"/>
      <c r="V631" s="49"/>
      <c r="W631" s="256"/>
      <c r="X631" s="49"/>
      <c r="Y631" s="49"/>
      <c r="Z631" s="49"/>
      <c r="AA631" s="49"/>
      <c r="AB631" s="49"/>
      <c r="AC631" s="49"/>
      <c r="AD631" s="91"/>
      <c r="AE631" s="91"/>
      <c r="AF631" s="91"/>
      <c r="AG631" s="91"/>
    </row>
    <row r="632" spans="1:33">
      <c r="A632" s="534"/>
      <c r="B632" s="534">
        <v>630</v>
      </c>
      <c r="C632" s="534">
        <v>523397</v>
      </c>
      <c r="D632" s="534">
        <v>15995145</v>
      </c>
      <c r="E632" s="50" t="s">
        <v>2812</v>
      </c>
      <c r="F632" s="534">
        <v>49</v>
      </c>
      <c r="G632" s="49" t="s">
        <v>2813</v>
      </c>
      <c r="H632" s="49" t="s">
        <v>271</v>
      </c>
      <c r="I632" s="534">
        <v>996062387</v>
      </c>
      <c r="J632" s="49" t="s">
        <v>164</v>
      </c>
      <c r="K632" s="535">
        <v>46078</v>
      </c>
      <c r="L632" s="256" t="s">
        <v>376</v>
      </c>
      <c r="M632" s="576" t="s">
        <v>230</v>
      </c>
      <c r="N632" s="251" t="s">
        <v>884</v>
      </c>
      <c r="O632" s="441">
        <v>46085</v>
      </c>
      <c r="P632" s="623" t="s">
        <v>2588</v>
      </c>
      <c r="Q632" s="471" t="s">
        <v>358</v>
      </c>
      <c r="R632" s="566"/>
      <c r="S632" s="49"/>
      <c r="T632" s="49"/>
      <c r="U632" s="49"/>
      <c r="V632" s="49"/>
      <c r="W632" s="256"/>
      <c r="X632" s="49"/>
      <c r="Y632" s="49"/>
      <c r="Z632" s="49"/>
      <c r="AA632" s="49"/>
      <c r="AB632" s="49"/>
      <c r="AC632" s="49"/>
      <c r="AD632" s="91"/>
      <c r="AE632" s="91"/>
      <c r="AF632" s="91"/>
      <c r="AG632" s="91"/>
    </row>
    <row r="633" spans="1:33">
      <c r="A633" s="534"/>
      <c r="B633" s="534">
        <v>631</v>
      </c>
      <c r="C633" s="534">
        <v>90974</v>
      </c>
      <c r="D633" s="534">
        <v>15738937</v>
      </c>
      <c r="E633" s="50" t="s">
        <v>2814</v>
      </c>
      <c r="F633" s="534">
        <v>49</v>
      </c>
      <c r="G633" s="49" t="s">
        <v>2815</v>
      </c>
      <c r="H633" s="49" t="s">
        <v>2731</v>
      </c>
      <c r="I633" s="534">
        <v>945882082</v>
      </c>
      <c r="J633" s="49" t="s">
        <v>238</v>
      </c>
      <c r="K633" s="535">
        <v>46078</v>
      </c>
      <c r="L633" s="256" t="s">
        <v>871</v>
      </c>
      <c r="M633" s="576" t="s">
        <v>312</v>
      </c>
      <c r="N633" s="251" t="s">
        <v>241</v>
      </c>
      <c r="O633" s="441">
        <v>46084</v>
      </c>
      <c r="P633" s="617"/>
      <c r="Q633" s="617" t="s">
        <v>2816</v>
      </c>
      <c r="R633" s="566"/>
      <c r="S633" s="49"/>
      <c r="T633" s="49"/>
      <c r="U633" s="49"/>
      <c r="V633" s="49"/>
      <c r="W633" s="256"/>
      <c r="X633" s="49"/>
      <c r="Y633" s="49"/>
      <c r="Z633" s="49"/>
      <c r="AA633" s="49"/>
      <c r="AB633" s="49"/>
      <c r="AC633" s="49"/>
      <c r="AD633" s="91"/>
      <c r="AE633" s="91"/>
      <c r="AF633" s="91"/>
      <c r="AG633" s="91"/>
    </row>
    <row r="634" spans="1:33">
      <c r="A634" s="534"/>
      <c r="B634" s="534">
        <v>632</v>
      </c>
      <c r="C634" s="534">
        <v>56065</v>
      </c>
      <c r="D634" s="534">
        <v>15738019</v>
      </c>
      <c r="E634" s="50" t="s">
        <v>2817</v>
      </c>
      <c r="F634" s="534">
        <v>50</v>
      </c>
      <c r="G634" s="49" t="s">
        <v>2818</v>
      </c>
      <c r="H634" s="49" t="s">
        <v>222</v>
      </c>
      <c r="I634" s="534">
        <v>940349644</v>
      </c>
      <c r="J634" s="49" t="s">
        <v>223</v>
      </c>
      <c r="K634" s="535">
        <v>46078</v>
      </c>
      <c r="L634" s="256" t="s">
        <v>376</v>
      </c>
      <c r="M634" s="576" t="s">
        <v>230</v>
      </c>
      <c r="N634" s="251" t="s">
        <v>884</v>
      </c>
      <c r="O634" s="437">
        <v>46093</v>
      </c>
      <c r="P634" s="617" t="s">
        <v>1498</v>
      </c>
      <c r="Q634" s="802">
        <v>46082</v>
      </c>
      <c r="R634" s="566" t="s">
        <v>318</v>
      </c>
      <c r="S634" s="49"/>
      <c r="T634" s="49"/>
      <c r="U634" s="49"/>
      <c r="V634" s="49"/>
      <c r="W634" s="256"/>
      <c r="X634" s="49"/>
      <c r="Y634" s="49"/>
      <c r="Z634" s="49"/>
      <c r="AA634" s="49"/>
      <c r="AB634" s="49"/>
      <c r="AC634" s="49"/>
      <c r="AD634" s="91"/>
      <c r="AE634" s="91"/>
      <c r="AF634" s="91"/>
      <c r="AG634" s="91"/>
    </row>
    <row r="635" spans="1:33">
      <c r="A635" s="534"/>
      <c r="B635" s="534">
        <v>633</v>
      </c>
      <c r="C635" s="534">
        <v>42219</v>
      </c>
      <c r="D635" s="534">
        <v>15742198</v>
      </c>
      <c r="E635" s="50" t="s">
        <v>2819</v>
      </c>
      <c r="F635" s="534">
        <v>51</v>
      </c>
      <c r="G635" s="49" t="s">
        <v>2820</v>
      </c>
      <c r="H635" s="49" t="s">
        <v>288</v>
      </c>
      <c r="I635" s="534">
        <v>902911911</v>
      </c>
      <c r="J635" s="49" t="s">
        <v>742</v>
      </c>
      <c r="K635" s="535">
        <v>46078</v>
      </c>
      <c r="L635" s="256" t="s">
        <v>376</v>
      </c>
      <c r="M635" s="576" t="s">
        <v>230</v>
      </c>
      <c r="N635" s="251" t="s">
        <v>884</v>
      </c>
      <c r="O635" s="456">
        <v>46094</v>
      </c>
      <c r="P635" s="617" t="s">
        <v>2165</v>
      </c>
      <c r="Q635" s="824" t="s">
        <v>385</v>
      </c>
      <c r="R635" s="566"/>
      <c r="S635" s="49"/>
      <c r="T635" s="49"/>
      <c r="U635" s="49"/>
      <c r="V635" s="49"/>
      <c r="W635" s="256"/>
      <c r="X635" s="49"/>
      <c r="Y635" s="49"/>
      <c r="Z635" s="49"/>
      <c r="AA635" s="49"/>
      <c r="AB635" s="49"/>
      <c r="AC635" s="49"/>
      <c r="AD635" s="91"/>
      <c r="AE635" s="91"/>
      <c r="AF635" s="91"/>
      <c r="AG635" s="91"/>
    </row>
    <row r="636" spans="1:33">
      <c r="A636" s="534"/>
      <c r="B636" s="534">
        <v>634</v>
      </c>
      <c r="C636" s="534">
        <v>523398</v>
      </c>
      <c r="D636" s="534">
        <v>31653290</v>
      </c>
      <c r="E636" s="50" t="s">
        <v>2821</v>
      </c>
      <c r="F636" s="534">
        <v>56</v>
      </c>
      <c r="G636" s="49" t="s">
        <v>2822</v>
      </c>
      <c r="H636" s="49" t="s">
        <v>278</v>
      </c>
      <c r="I636" s="534">
        <v>971607789</v>
      </c>
      <c r="J636" s="49" t="s">
        <v>238</v>
      </c>
      <c r="K636" s="535">
        <v>46078</v>
      </c>
      <c r="L636" s="256" t="s">
        <v>2823</v>
      </c>
      <c r="M636" s="576" t="s">
        <v>312</v>
      </c>
      <c r="N636" s="251" t="s">
        <v>317</v>
      </c>
      <c r="O636" s="441">
        <v>46085</v>
      </c>
      <c r="P636" s="617"/>
      <c r="Q636" s="617" t="s">
        <v>1438</v>
      </c>
      <c r="R636" s="566"/>
      <c r="S636" s="49"/>
      <c r="T636" s="49"/>
      <c r="U636" s="49"/>
      <c r="V636" s="49"/>
      <c r="W636" s="256"/>
      <c r="X636" s="49"/>
      <c r="Y636" s="49"/>
      <c r="Z636" s="49"/>
      <c r="AA636" s="49"/>
      <c r="AB636" s="49"/>
      <c r="AC636" s="49"/>
      <c r="AD636" s="91"/>
      <c r="AE636" s="91"/>
      <c r="AF636" s="91"/>
      <c r="AG636" s="91"/>
    </row>
    <row r="637" spans="1:33">
      <c r="A637" s="534"/>
      <c r="B637" s="534">
        <v>635</v>
      </c>
      <c r="C637" s="534">
        <v>487533</v>
      </c>
      <c r="D637" s="534">
        <v>15639139</v>
      </c>
      <c r="E637" s="50" t="s">
        <v>2824</v>
      </c>
      <c r="F637" s="534">
        <v>64</v>
      </c>
      <c r="G637" s="49" t="s">
        <v>2825</v>
      </c>
      <c r="H637" s="49" t="s">
        <v>432</v>
      </c>
      <c r="I637" s="534">
        <v>960551445</v>
      </c>
      <c r="J637" s="49" t="s">
        <v>1209</v>
      </c>
      <c r="K637" s="535">
        <v>46078</v>
      </c>
      <c r="L637" s="251" t="s">
        <v>376</v>
      </c>
      <c r="M637" s="576" t="s">
        <v>230</v>
      </c>
      <c r="N637" s="251" t="s">
        <v>884</v>
      </c>
      <c r="O637" s="437">
        <v>46084</v>
      </c>
      <c r="P637" s="617" t="s">
        <v>292</v>
      </c>
      <c r="Q637" s="802">
        <v>46082</v>
      </c>
      <c r="R637" s="566" t="s">
        <v>318</v>
      </c>
      <c r="S637" s="49"/>
      <c r="T637" s="49"/>
      <c r="U637" s="49"/>
      <c r="V637" s="49"/>
      <c r="W637" s="251"/>
      <c r="X637" s="251"/>
      <c r="Y637" s="251"/>
      <c r="Z637" s="251"/>
      <c r="AA637" s="251"/>
      <c r="AB637" s="251"/>
      <c r="AC637" s="251"/>
      <c r="AD637" s="91"/>
      <c r="AE637" s="91"/>
      <c r="AF637" s="91"/>
      <c r="AG637" s="91"/>
    </row>
    <row r="638" spans="1:33">
      <c r="A638" s="534"/>
      <c r="B638" s="534">
        <v>636</v>
      </c>
      <c r="C638" s="534">
        <v>109329</v>
      </c>
      <c r="D638" s="534">
        <v>41548009</v>
      </c>
      <c r="E638" s="50" t="s">
        <v>2826</v>
      </c>
      <c r="F638" s="534">
        <v>43</v>
      </c>
      <c r="G638" s="49" t="s">
        <v>2827</v>
      </c>
      <c r="H638" s="49" t="s">
        <v>2828</v>
      </c>
      <c r="I638" s="534">
        <v>936468102</v>
      </c>
      <c r="J638" s="49" t="s">
        <v>1209</v>
      </c>
      <c r="K638" s="535">
        <v>46078</v>
      </c>
      <c r="L638" s="251" t="s">
        <v>376</v>
      </c>
      <c r="M638" s="576" t="s">
        <v>230</v>
      </c>
      <c r="N638" s="251" t="s">
        <v>884</v>
      </c>
      <c r="O638" s="437">
        <v>46084</v>
      </c>
      <c r="P638" s="617" t="s">
        <v>292</v>
      </c>
      <c r="Q638" s="802">
        <v>46082</v>
      </c>
      <c r="R638" s="566" t="s">
        <v>318</v>
      </c>
      <c r="S638" s="49"/>
      <c r="T638" s="49"/>
      <c r="U638" s="49"/>
      <c r="V638" s="49"/>
      <c r="W638" s="251"/>
      <c r="X638" s="251"/>
      <c r="Y638" s="251"/>
      <c r="Z638" s="251"/>
      <c r="AA638" s="251"/>
      <c r="AB638" s="251"/>
      <c r="AC638" s="251"/>
      <c r="AD638" s="91"/>
      <c r="AE638" s="91"/>
      <c r="AF638" s="91"/>
      <c r="AG638" s="91"/>
    </row>
    <row r="639" spans="1:33">
      <c r="A639" s="534"/>
      <c r="B639" s="534">
        <v>637</v>
      </c>
      <c r="C639" s="534">
        <v>74511</v>
      </c>
      <c r="D639" s="534">
        <v>15204291</v>
      </c>
      <c r="E639" s="50" t="s">
        <v>2829</v>
      </c>
      <c r="F639" s="534">
        <v>66</v>
      </c>
      <c r="G639" s="49" t="s">
        <v>2830</v>
      </c>
      <c r="H639" s="49" t="s">
        <v>2330</v>
      </c>
      <c r="I639" s="534">
        <v>992105716</v>
      </c>
      <c r="J639" s="49" t="s">
        <v>1105</v>
      </c>
      <c r="K639" s="535">
        <v>46078</v>
      </c>
      <c r="L639" s="251" t="s">
        <v>376</v>
      </c>
      <c r="M639" s="576" t="s">
        <v>230</v>
      </c>
      <c r="N639" s="251" t="s">
        <v>884</v>
      </c>
      <c r="O639" s="437">
        <v>46090</v>
      </c>
      <c r="P639" s="617" t="s">
        <v>1478</v>
      </c>
      <c r="Q639" s="807">
        <v>46082</v>
      </c>
      <c r="R639" s="566" t="s">
        <v>318</v>
      </c>
      <c r="S639" s="49"/>
      <c r="T639" s="49"/>
      <c r="U639" s="49"/>
      <c r="V639" s="49"/>
      <c r="W639" s="251"/>
      <c r="X639" s="251"/>
      <c r="Y639" s="251"/>
      <c r="Z639" s="251"/>
      <c r="AA639" s="251"/>
      <c r="AB639" s="251"/>
      <c r="AC639" s="251"/>
      <c r="AD639" s="91"/>
      <c r="AE639" s="91"/>
      <c r="AF639" s="91"/>
      <c r="AG639" s="91"/>
    </row>
    <row r="640" spans="1:33">
      <c r="A640" s="534"/>
      <c r="B640" s="534">
        <v>638</v>
      </c>
      <c r="C640" s="534">
        <v>266240</v>
      </c>
      <c r="D640" s="534">
        <v>15644455</v>
      </c>
      <c r="E640" s="50" t="s">
        <v>2831</v>
      </c>
      <c r="F640" s="534">
        <v>61</v>
      </c>
      <c r="G640" s="49" t="s">
        <v>2832</v>
      </c>
      <c r="H640" s="49" t="s">
        <v>222</v>
      </c>
      <c r="I640" s="534">
        <v>969282249</v>
      </c>
      <c r="J640" s="49" t="s">
        <v>238</v>
      </c>
      <c r="K640" s="535">
        <v>46078</v>
      </c>
      <c r="L640" s="251" t="s">
        <v>2833</v>
      </c>
      <c r="M640" s="576" t="s">
        <v>312</v>
      </c>
      <c r="N640" s="251" t="s">
        <v>241</v>
      </c>
      <c r="O640" s="441">
        <v>46085</v>
      </c>
      <c r="P640" s="624"/>
      <c r="Q640" s="624" t="s">
        <v>2834</v>
      </c>
      <c r="R640" s="566"/>
      <c r="S640" s="49"/>
      <c r="T640" s="49"/>
      <c r="U640" s="49"/>
      <c r="V640" s="49"/>
      <c r="W640" s="251"/>
      <c r="X640" s="251"/>
      <c r="Y640" s="251"/>
      <c r="Z640" s="251"/>
      <c r="AA640" s="251"/>
      <c r="AB640" s="251"/>
      <c r="AC640" s="251"/>
      <c r="AD640" s="91"/>
      <c r="AE640" s="91"/>
      <c r="AF640" s="91"/>
      <c r="AG640" s="91"/>
    </row>
    <row r="641" spans="1:33">
      <c r="A641" s="534"/>
      <c r="B641" s="534">
        <v>639</v>
      </c>
      <c r="C641" s="534">
        <v>151484</v>
      </c>
      <c r="D641" s="534">
        <v>15759741</v>
      </c>
      <c r="E641" s="50" t="s">
        <v>2835</v>
      </c>
      <c r="F641" s="534">
        <v>60</v>
      </c>
      <c r="G641" s="49" t="s">
        <v>2836</v>
      </c>
      <c r="H641" s="49" t="s">
        <v>432</v>
      </c>
      <c r="I641" s="534">
        <v>915154375</v>
      </c>
      <c r="J641" s="49" t="s">
        <v>238</v>
      </c>
      <c r="K641" s="535">
        <v>46078</v>
      </c>
      <c r="L641" s="251" t="s">
        <v>376</v>
      </c>
      <c r="M641" s="576" t="s">
        <v>230</v>
      </c>
      <c r="N641" s="251" t="s">
        <v>884</v>
      </c>
      <c r="O641" s="441">
        <v>46085</v>
      </c>
      <c r="P641" s="624"/>
      <c r="Q641" s="638"/>
      <c r="R641" s="566"/>
      <c r="S641" s="49"/>
      <c r="T641" s="49"/>
      <c r="U641" s="49"/>
      <c r="V641" s="49"/>
      <c r="W641" s="251"/>
      <c r="X641" s="251"/>
      <c r="Y641" s="251"/>
      <c r="Z641" s="251"/>
      <c r="AA641" s="251"/>
      <c r="AB641" s="251"/>
      <c r="AC641" s="251"/>
      <c r="AD641" s="91"/>
      <c r="AE641" s="91"/>
      <c r="AF641" s="91"/>
      <c r="AG641" s="91"/>
    </row>
    <row r="642" spans="1:33">
      <c r="A642" s="534"/>
      <c r="B642" s="534">
        <v>640</v>
      </c>
      <c r="C642" s="534">
        <v>151483</v>
      </c>
      <c r="D642" s="534">
        <v>43580878</v>
      </c>
      <c r="E642" s="50" t="s">
        <v>2837</v>
      </c>
      <c r="F642" s="534">
        <v>41</v>
      </c>
      <c r="G642" s="49" t="s">
        <v>2838</v>
      </c>
      <c r="H642" s="49" t="s">
        <v>432</v>
      </c>
      <c r="I642" s="534">
        <v>915167493</v>
      </c>
      <c r="J642" s="49" t="s">
        <v>238</v>
      </c>
      <c r="K642" s="535">
        <v>46078</v>
      </c>
      <c r="L642" s="251" t="s">
        <v>376</v>
      </c>
      <c r="M642" s="576" t="s">
        <v>230</v>
      </c>
      <c r="N642" s="251" t="s">
        <v>884</v>
      </c>
      <c r="O642" s="441">
        <v>46085</v>
      </c>
      <c r="P642" s="624"/>
      <c r="Q642" s="639"/>
      <c r="R642" s="566"/>
      <c r="S642" s="49"/>
      <c r="T642" s="49"/>
      <c r="U642" s="49"/>
      <c r="V642" s="49"/>
      <c r="W642" s="251"/>
      <c r="X642" s="251"/>
      <c r="Y642" s="251"/>
      <c r="Z642" s="251"/>
      <c r="AA642" s="251"/>
      <c r="AB642" s="251"/>
      <c r="AC642" s="251"/>
      <c r="AD642" s="91"/>
      <c r="AE642" s="91"/>
      <c r="AF642" s="91"/>
      <c r="AG642" s="91"/>
    </row>
    <row r="643" spans="1:33">
      <c r="A643" s="534"/>
      <c r="B643" s="534">
        <v>641</v>
      </c>
      <c r="C643" s="534">
        <v>253225</v>
      </c>
      <c r="D643" s="534">
        <v>15738436</v>
      </c>
      <c r="E643" s="50" t="s">
        <v>2839</v>
      </c>
      <c r="F643" s="534">
        <v>50</v>
      </c>
      <c r="G643" s="49" t="s">
        <v>2840</v>
      </c>
      <c r="H643" s="49" t="s">
        <v>237</v>
      </c>
      <c r="I643" s="534">
        <v>940897133</v>
      </c>
      <c r="J643" s="49" t="s">
        <v>238</v>
      </c>
      <c r="K643" s="535">
        <v>46078</v>
      </c>
      <c r="L643" s="251" t="s">
        <v>516</v>
      </c>
      <c r="M643" s="576" t="s">
        <v>312</v>
      </c>
      <c r="N643" s="251" t="s">
        <v>317</v>
      </c>
      <c r="O643" s="441">
        <v>46085</v>
      </c>
      <c r="P643" s="624"/>
      <c r="Q643" s="624" t="s">
        <v>2841</v>
      </c>
      <c r="R643" s="566"/>
      <c r="S643" s="49"/>
      <c r="T643" s="49"/>
      <c r="U643" s="49"/>
      <c r="V643" s="49"/>
      <c r="W643" s="251"/>
      <c r="X643" s="251"/>
      <c r="Y643" s="251"/>
      <c r="Z643" s="251"/>
      <c r="AA643" s="251"/>
      <c r="AB643" s="251"/>
      <c r="AC643" s="251"/>
      <c r="AD643" s="91"/>
      <c r="AE643" s="91"/>
      <c r="AF643" s="91"/>
      <c r="AG643" s="91"/>
    </row>
    <row r="644" spans="1:33">
      <c r="A644" s="534"/>
      <c r="B644" s="534">
        <v>642</v>
      </c>
      <c r="C644" s="534">
        <v>103417</v>
      </c>
      <c r="D644" s="534">
        <v>15756840</v>
      </c>
      <c r="E644" s="50" t="s">
        <v>2842</v>
      </c>
      <c r="F644" s="534">
        <v>56</v>
      </c>
      <c r="G644" s="49" t="s">
        <v>2843</v>
      </c>
      <c r="H644" s="49" t="s">
        <v>237</v>
      </c>
      <c r="I644" s="534">
        <v>993995694</v>
      </c>
      <c r="J644" s="49" t="s">
        <v>1105</v>
      </c>
      <c r="K644" s="535">
        <v>46078</v>
      </c>
      <c r="L644" s="49" t="s">
        <v>376</v>
      </c>
      <c r="M644" s="576" t="s">
        <v>230</v>
      </c>
      <c r="N644" s="251" t="s">
        <v>884</v>
      </c>
      <c r="O644" s="437">
        <v>46090</v>
      </c>
      <c r="P644" s="617" t="s">
        <v>1478</v>
      </c>
      <c r="Q644" s="807">
        <v>46082</v>
      </c>
      <c r="R644" s="566" t="s">
        <v>318</v>
      </c>
      <c r="S644" s="49"/>
      <c r="T644" s="49"/>
      <c r="U644" s="49"/>
      <c r="V644" s="49"/>
      <c r="W644" s="256"/>
      <c r="X644" s="49"/>
      <c r="Y644" s="49"/>
      <c r="Z644" s="49"/>
      <c r="AA644" s="49"/>
      <c r="AB644" s="49"/>
      <c r="AC644" s="49"/>
      <c r="AD644" s="91"/>
      <c r="AE644" s="91"/>
      <c r="AF644" s="91"/>
      <c r="AG644" s="91"/>
    </row>
    <row r="645" spans="1:33">
      <c r="A645" s="534"/>
      <c r="B645" s="534">
        <v>643</v>
      </c>
      <c r="C645" s="534">
        <v>14437</v>
      </c>
      <c r="D645" s="579">
        <v>15688579</v>
      </c>
      <c r="E645" s="50" t="s">
        <v>2844</v>
      </c>
      <c r="F645" s="534">
        <v>60</v>
      </c>
      <c r="G645" s="49" t="s">
        <v>2845</v>
      </c>
      <c r="H645" s="49" t="s">
        <v>237</v>
      </c>
      <c r="I645" s="534">
        <v>993995694</v>
      </c>
      <c r="J645" s="49" t="s">
        <v>1105</v>
      </c>
      <c r="K645" s="535">
        <v>46078</v>
      </c>
      <c r="L645" s="49" t="s">
        <v>683</v>
      </c>
      <c r="M645" s="576" t="s">
        <v>312</v>
      </c>
      <c r="N645" s="251" t="s">
        <v>884</v>
      </c>
      <c r="O645" s="437">
        <v>46090</v>
      </c>
      <c r="P645" s="617" t="s">
        <v>1478</v>
      </c>
      <c r="Q645" s="807">
        <v>46082</v>
      </c>
      <c r="R645" s="566" t="s">
        <v>318</v>
      </c>
      <c r="S645" s="49"/>
      <c r="T645" s="49"/>
      <c r="U645" s="49"/>
      <c r="V645" s="49"/>
      <c r="W645" s="256"/>
      <c r="X645" s="49"/>
      <c r="Y645" s="49"/>
      <c r="Z645" s="49"/>
      <c r="AA645" s="49"/>
      <c r="AB645" s="49"/>
      <c r="AC645" s="49"/>
      <c r="AD645" s="91"/>
      <c r="AE645" s="91"/>
      <c r="AF645" s="91"/>
      <c r="AG645" s="91"/>
    </row>
    <row r="646" spans="1:33">
      <c r="A646" s="534"/>
      <c r="B646" s="534">
        <v>644</v>
      </c>
      <c r="C646" s="534">
        <v>125476</v>
      </c>
      <c r="D646" s="534">
        <v>15693002</v>
      </c>
      <c r="E646" s="50" t="s">
        <v>2846</v>
      </c>
      <c r="F646" s="534">
        <v>67</v>
      </c>
      <c r="G646" s="49" t="s">
        <v>2847</v>
      </c>
      <c r="H646" s="49" t="s">
        <v>237</v>
      </c>
      <c r="I646" s="534">
        <v>901849991</v>
      </c>
      <c r="J646" s="49" t="s">
        <v>742</v>
      </c>
      <c r="K646" s="535">
        <v>46078</v>
      </c>
      <c r="L646" s="49" t="s">
        <v>376</v>
      </c>
      <c r="M646" s="576" t="s">
        <v>230</v>
      </c>
      <c r="N646" s="251" t="s">
        <v>884</v>
      </c>
      <c r="O646" s="456">
        <v>46094</v>
      </c>
      <c r="P646" s="617" t="s">
        <v>2165</v>
      </c>
      <c r="Q646" s="823">
        <v>46082</v>
      </c>
      <c r="R646" s="566" t="s">
        <v>318</v>
      </c>
      <c r="S646" s="49"/>
      <c r="T646" s="49"/>
      <c r="U646" s="49"/>
      <c r="V646" s="49"/>
      <c r="W646" s="256"/>
      <c r="X646" s="49"/>
      <c r="Y646" s="49"/>
      <c r="Z646" s="49"/>
      <c r="AA646" s="49"/>
      <c r="AB646" s="49"/>
      <c r="AC646" s="49"/>
      <c r="AD646" s="91"/>
      <c r="AE646" s="91"/>
      <c r="AF646" s="91"/>
      <c r="AG646" s="91"/>
    </row>
    <row r="647" spans="1:33">
      <c r="A647" s="534"/>
      <c r="B647" s="534">
        <v>645</v>
      </c>
      <c r="C647" s="534">
        <v>523394</v>
      </c>
      <c r="D647" s="534">
        <v>43473751</v>
      </c>
      <c r="E647" s="50" t="s">
        <v>2848</v>
      </c>
      <c r="F647" s="534">
        <v>41</v>
      </c>
      <c r="G647" s="49" t="s">
        <v>2849</v>
      </c>
      <c r="H647" s="49" t="s">
        <v>461</v>
      </c>
      <c r="I647" s="534">
        <v>967912321</v>
      </c>
      <c r="J647" s="49" t="s">
        <v>162</v>
      </c>
      <c r="K647" s="535">
        <v>46078</v>
      </c>
      <c r="L647" s="49" t="s">
        <v>376</v>
      </c>
      <c r="M647" s="576" t="s">
        <v>230</v>
      </c>
      <c r="N647" s="251" t="s">
        <v>884</v>
      </c>
      <c r="O647" s="441">
        <v>46085</v>
      </c>
      <c r="P647" s="617" t="s">
        <v>1602</v>
      </c>
      <c r="Q647" s="471" t="s">
        <v>358</v>
      </c>
      <c r="R647" s="566"/>
      <c r="S647" s="49"/>
      <c r="T647" s="49"/>
      <c r="U647" s="49"/>
      <c r="V647" s="49"/>
      <c r="W647" s="256"/>
      <c r="X647" s="49"/>
      <c r="Y647" s="49"/>
      <c r="Z647" s="49"/>
      <c r="AA647" s="49"/>
      <c r="AB647" s="49"/>
      <c r="AC647" s="49"/>
      <c r="AD647" s="91"/>
      <c r="AE647" s="91"/>
      <c r="AF647" s="91"/>
      <c r="AG647" s="91"/>
    </row>
    <row r="648" spans="1:33">
      <c r="A648" s="561"/>
      <c r="B648" s="534">
        <v>646</v>
      </c>
      <c r="C648" s="561">
        <v>523405</v>
      </c>
      <c r="D648" s="561">
        <v>15752758</v>
      </c>
      <c r="E648" s="587" t="s">
        <v>2850</v>
      </c>
      <c r="F648" s="561">
        <v>50</v>
      </c>
      <c r="G648" s="435" t="s">
        <v>1636</v>
      </c>
      <c r="H648" s="435" t="s">
        <v>461</v>
      </c>
      <c r="I648" s="561">
        <v>996267611</v>
      </c>
      <c r="J648" s="435" t="s">
        <v>162</v>
      </c>
      <c r="K648" s="604">
        <v>46078</v>
      </c>
      <c r="L648" s="435" t="s">
        <v>1590</v>
      </c>
      <c r="M648" s="561" t="s">
        <v>323</v>
      </c>
      <c r="N648" s="435" t="s">
        <v>241</v>
      </c>
      <c r="O648" s="441">
        <v>46085</v>
      </c>
      <c r="P648" s="622" t="s">
        <v>1602</v>
      </c>
      <c r="Q648" s="471" t="s">
        <v>358</v>
      </c>
      <c r="R648" s="612"/>
      <c r="S648" s="59"/>
      <c r="T648" s="59"/>
      <c r="U648" s="59"/>
      <c r="V648" s="59"/>
      <c r="W648" s="258"/>
      <c r="X648" s="59"/>
      <c r="Y648" s="59"/>
      <c r="Z648" s="59"/>
      <c r="AA648" s="59"/>
      <c r="AB648" s="59"/>
      <c r="AC648" s="59"/>
      <c r="AD648" s="91"/>
      <c r="AE648" s="91"/>
      <c r="AF648" s="91"/>
      <c r="AG648" s="91"/>
    </row>
    <row r="649" spans="1:33">
      <c r="A649" s="533">
        <v>46079</v>
      </c>
      <c r="B649" s="534">
        <v>647</v>
      </c>
      <c r="C649" s="534">
        <v>523425</v>
      </c>
      <c r="D649" s="534">
        <v>40253221</v>
      </c>
      <c r="E649" s="50" t="s">
        <v>2851</v>
      </c>
      <c r="F649" s="534">
        <v>46</v>
      </c>
      <c r="G649" s="49" t="s">
        <v>2852</v>
      </c>
      <c r="H649" s="49" t="s">
        <v>2853</v>
      </c>
      <c r="I649" s="534">
        <v>933630734</v>
      </c>
      <c r="J649" s="49" t="s">
        <v>238</v>
      </c>
      <c r="K649" s="535">
        <v>46079</v>
      </c>
      <c r="L649" s="49" t="s">
        <v>2854</v>
      </c>
      <c r="M649" s="560" t="s">
        <v>312</v>
      </c>
      <c r="N649" s="259" t="s">
        <v>241</v>
      </c>
      <c r="O649" s="441">
        <v>46085</v>
      </c>
      <c r="P649" s="617"/>
      <c r="Q649" s="638"/>
      <c r="R649" s="566"/>
      <c r="S649" s="49"/>
      <c r="T649" s="49"/>
      <c r="U649" s="49"/>
      <c r="V649" s="49"/>
      <c r="W649" s="256"/>
      <c r="X649" s="49"/>
      <c r="Y649" s="49"/>
      <c r="Z649" s="49"/>
      <c r="AA649" s="49"/>
      <c r="AB649" s="49"/>
      <c r="AC649" s="49"/>
      <c r="AD649" s="91"/>
      <c r="AE649" s="91"/>
      <c r="AF649" s="91"/>
      <c r="AG649" s="91"/>
    </row>
    <row r="650" spans="1:33">
      <c r="A650" s="534"/>
      <c r="B650" s="534">
        <v>648</v>
      </c>
      <c r="C650" s="534">
        <v>520263</v>
      </c>
      <c r="D650" s="534">
        <v>15992537</v>
      </c>
      <c r="E650" s="50" t="s">
        <v>2855</v>
      </c>
      <c r="F650" s="534">
        <v>50</v>
      </c>
      <c r="G650" s="49" t="s">
        <v>2856</v>
      </c>
      <c r="H650" s="49" t="s">
        <v>271</v>
      </c>
      <c r="I650" s="534">
        <v>902722085</v>
      </c>
      <c r="J650" s="49" t="s">
        <v>164</v>
      </c>
      <c r="K650" s="535">
        <v>46079</v>
      </c>
      <c r="L650" s="49" t="s">
        <v>747</v>
      </c>
      <c r="M650" s="576" t="s">
        <v>230</v>
      </c>
      <c r="N650" s="251" t="s">
        <v>884</v>
      </c>
      <c r="O650" s="441">
        <v>46085</v>
      </c>
      <c r="P650" s="623" t="s">
        <v>2588</v>
      </c>
      <c r="Q650" s="471" t="s">
        <v>358</v>
      </c>
      <c r="R650" s="566"/>
      <c r="S650" s="49"/>
      <c r="T650" s="49"/>
      <c r="U650" s="49"/>
      <c r="V650" s="49"/>
      <c r="W650" s="256"/>
      <c r="X650" s="49"/>
      <c r="Y650" s="49"/>
      <c r="Z650" s="49"/>
      <c r="AA650" s="49"/>
      <c r="AB650" s="49"/>
      <c r="AC650" s="49"/>
      <c r="AD650" s="91"/>
      <c r="AE650" s="91"/>
      <c r="AF650" s="91"/>
      <c r="AG650" s="91"/>
    </row>
    <row r="651" spans="1:33">
      <c r="A651" s="534"/>
      <c r="B651" s="534">
        <v>649</v>
      </c>
      <c r="C651" s="534">
        <v>272010</v>
      </c>
      <c r="D651" s="534">
        <v>48071914</v>
      </c>
      <c r="E651" s="50" t="s">
        <v>2857</v>
      </c>
      <c r="F651" s="534">
        <v>44</v>
      </c>
      <c r="G651" s="49" t="s">
        <v>2858</v>
      </c>
      <c r="H651" s="49" t="s">
        <v>278</v>
      </c>
      <c r="I651" s="534">
        <v>943734525</v>
      </c>
      <c r="J651" s="49" t="s">
        <v>384</v>
      </c>
      <c r="K651" s="535">
        <v>46079</v>
      </c>
      <c r="L651" s="49" t="s">
        <v>1156</v>
      </c>
      <c r="M651" s="576" t="s">
        <v>230</v>
      </c>
      <c r="N651" s="251" t="s">
        <v>884</v>
      </c>
      <c r="O651" s="437">
        <v>46086</v>
      </c>
      <c r="P651" s="625" t="s">
        <v>2154</v>
      </c>
      <c r="Q651" s="802">
        <v>46082</v>
      </c>
      <c r="R651" s="808">
        <v>46082</v>
      </c>
      <c r="S651" s="49"/>
      <c r="T651" s="49"/>
      <c r="U651" s="49"/>
      <c r="V651" s="49"/>
      <c r="W651" s="251"/>
      <c r="X651" s="251"/>
      <c r="Y651" s="251"/>
      <c r="Z651" s="251"/>
      <c r="AA651" s="251"/>
      <c r="AB651" s="251"/>
      <c r="AC651" s="251"/>
      <c r="AD651" s="91"/>
      <c r="AE651" s="91"/>
      <c r="AF651" s="91"/>
      <c r="AG651" s="91"/>
    </row>
    <row r="652" spans="1:33">
      <c r="A652" s="534"/>
      <c r="B652" s="534">
        <v>650</v>
      </c>
      <c r="C652" s="534">
        <v>222112</v>
      </c>
      <c r="D652" s="579">
        <v>42462612</v>
      </c>
      <c r="E652" s="50" t="s">
        <v>2859</v>
      </c>
      <c r="F652" s="534">
        <v>47</v>
      </c>
      <c r="G652" s="49" t="s">
        <v>2860</v>
      </c>
      <c r="H652" s="49" t="s">
        <v>301</v>
      </c>
      <c r="I652" s="534">
        <v>998178273</v>
      </c>
      <c r="J652" s="49" t="s">
        <v>238</v>
      </c>
      <c r="K652" s="535">
        <v>46079</v>
      </c>
      <c r="L652" s="49" t="s">
        <v>584</v>
      </c>
      <c r="M652" s="576" t="s">
        <v>230</v>
      </c>
      <c r="N652" s="251" t="s">
        <v>601</v>
      </c>
      <c r="O652" s="441">
        <v>46085</v>
      </c>
      <c r="P652" s="617"/>
      <c r="Q652" s="617" t="s">
        <v>794</v>
      </c>
      <c r="R652" s="566"/>
      <c r="S652" s="49"/>
      <c r="T652" s="49"/>
      <c r="U652" s="49"/>
      <c r="V652" s="49"/>
      <c r="W652" s="251"/>
      <c r="X652" s="251"/>
      <c r="Y652" s="251"/>
      <c r="Z652" s="251"/>
      <c r="AA652" s="251"/>
      <c r="AB652" s="251"/>
      <c r="AC652" s="251"/>
      <c r="AD652" s="91"/>
      <c r="AE652" s="91"/>
      <c r="AF652" s="91"/>
      <c r="AG652" s="91"/>
    </row>
    <row r="653" spans="1:33">
      <c r="A653" s="534"/>
      <c r="B653" s="534">
        <v>651</v>
      </c>
      <c r="C653" s="534">
        <v>523429</v>
      </c>
      <c r="D653" s="534">
        <v>15439329</v>
      </c>
      <c r="E653" s="50" t="s">
        <v>2861</v>
      </c>
      <c r="F653" s="534">
        <v>52</v>
      </c>
      <c r="G653" s="49" t="s">
        <v>2820</v>
      </c>
      <c r="H653" s="49" t="s">
        <v>278</v>
      </c>
      <c r="I653" s="534">
        <v>934749792</v>
      </c>
      <c r="J653" s="49" t="s">
        <v>1364</v>
      </c>
      <c r="K653" s="535">
        <v>46079</v>
      </c>
      <c r="L653" s="49" t="s">
        <v>584</v>
      </c>
      <c r="M653" s="576" t="s">
        <v>230</v>
      </c>
      <c r="N653" s="251" t="s">
        <v>241</v>
      </c>
      <c r="O653" s="437">
        <v>46090</v>
      </c>
      <c r="P653" s="617" t="s">
        <v>1625</v>
      </c>
      <c r="Q653" s="818" t="s">
        <v>339</v>
      </c>
      <c r="R653" s="566"/>
      <c r="S653" s="49"/>
      <c r="T653" s="49"/>
      <c r="U653" s="49"/>
      <c r="V653" s="49"/>
      <c r="W653" s="251"/>
      <c r="X653" s="251"/>
      <c r="Y653" s="251"/>
      <c r="Z653" s="251"/>
      <c r="AA653" s="251"/>
      <c r="AB653" s="251"/>
      <c r="AC653" s="251"/>
      <c r="AD653" s="91"/>
      <c r="AE653" s="91"/>
      <c r="AF653" s="91"/>
      <c r="AG653" s="91"/>
    </row>
    <row r="654" spans="1:33">
      <c r="A654" s="534"/>
      <c r="B654" s="534">
        <v>652</v>
      </c>
      <c r="C654" s="534">
        <v>361679</v>
      </c>
      <c r="D654" s="534">
        <v>40652149</v>
      </c>
      <c r="E654" s="50" t="s">
        <v>2862</v>
      </c>
      <c r="F654" s="534">
        <v>45</v>
      </c>
      <c r="G654" s="49" t="s">
        <v>2863</v>
      </c>
      <c r="H654" s="49" t="s">
        <v>301</v>
      </c>
      <c r="I654" s="534">
        <v>904240679</v>
      </c>
      <c r="J654" s="49" t="s">
        <v>1364</v>
      </c>
      <c r="K654" s="534" t="s">
        <v>2864</v>
      </c>
      <c r="L654" s="49" t="s">
        <v>2865</v>
      </c>
      <c r="M654" s="576" t="s">
        <v>230</v>
      </c>
      <c r="N654" s="251" t="s">
        <v>241</v>
      </c>
      <c r="O654" s="437">
        <v>46090</v>
      </c>
      <c r="P654" s="617" t="s">
        <v>1625</v>
      </c>
      <c r="Q654" s="818" t="s">
        <v>339</v>
      </c>
      <c r="R654" s="566"/>
      <c r="S654" s="49"/>
      <c r="T654" s="49"/>
      <c r="U654" s="49"/>
      <c r="V654" s="49"/>
      <c r="W654" s="251"/>
      <c r="X654" s="251"/>
      <c r="Y654" s="251"/>
      <c r="Z654" s="251"/>
      <c r="AA654" s="251"/>
      <c r="AB654" s="251"/>
      <c r="AC654" s="251"/>
      <c r="AD654" s="91"/>
      <c r="AE654" s="91"/>
      <c r="AF654" s="91"/>
      <c r="AG654" s="91"/>
    </row>
    <row r="655" spans="1:33">
      <c r="A655" s="534"/>
      <c r="B655" s="534">
        <v>653</v>
      </c>
      <c r="C655" s="534">
        <v>357936</v>
      </c>
      <c r="D655" s="534">
        <v>15616221</v>
      </c>
      <c r="E655" s="50" t="s">
        <v>2866</v>
      </c>
      <c r="F655" s="534">
        <v>58</v>
      </c>
      <c r="G655" s="49" t="s">
        <v>2867</v>
      </c>
      <c r="H655" s="49" t="s">
        <v>278</v>
      </c>
      <c r="I655" s="534">
        <v>975040087</v>
      </c>
      <c r="J655" s="49" t="s">
        <v>1364</v>
      </c>
      <c r="K655" s="535">
        <v>46079</v>
      </c>
      <c r="L655" s="49" t="s">
        <v>2868</v>
      </c>
      <c r="M655" s="534" t="s">
        <v>312</v>
      </c>
      <c r="N655" s="49" t="s">
        <v>317</v>
      </c>
      <c r="O655" s="437">
        <v>46090</v>
      </c>
      <c r="P655" s="617" t="s">
        <v>1625</v>
      </c>
      <c r="Q655" s="824" t="s">
        <v>2384</v>
      </c>
      <c r="R655" s="566"/>
      <c r="S655" s="49"/>
      <c r="T655" s="49"/>
      <c r="U655" s="49"/>
      <c r="V655" s="49"/>
      <c r="W655" s="251"/>
      <c r="X655" s="251"/>
      <c r="Y655" s="251"/>
      <c r="Z655" s="251"/>
      <c r="AA655" s="251"/>
      <c r="AB655" s="251"/>
      <c r="AC655" s="251"/>
      <c r="AD655" s="91"/>
      <c r="AE655" s="91"/>
      <c r="AF655" s="91"/>
      <c r="AG655" s="91"/>
    </row>
    <row r="656" spans="1:33">
      <c r="A656" s="534"/>
      <c r="B656" s="534">
        <v>654</v>
      </c>
      <c r="C656" s="534">
        <v>264314</v>
      </c>
      <c r="D656" s="534">
        <v>15724612</v>
      </c>
      <c r="E656" s="50" t="s">
        <v>2869</v>
      </c>
      <c r="F656" s="534">
        <v>56</v>
      </c>
      <c r="G656" s="49" t="s">
        <v>2870</v>
      </c>
      <c r="H656" s="49" t="s">
        <v>278</v>
      </c>
      <c r="I656" s="534">
        <v>992455329</v>
      </c>
      <c r="J656" s="49" t="s">
        <v>1364</v>
      </c>
      <c r="K656" s="535">
        <v>46079</v>
      </c>
      <c r="L656" s="49" t="s">
        <v>2871</v>
      </c>
      <c r="M656" s="576" t="s">
        <v>260</v>
      </c>
      <c r="N656" s="251" t="s">
        <v>241</v>
      </c>
      <c r="O656" s="437">
        <v>46090</v>
      </c>
      <c r="P656" s="617" t="s">
        <v>1625</v>
      </c>
      <c r="Q656" s="824" t="s">
        <v>334</v>
      </c>
      <c r="R656" s="566"/>
      <c r="S656" s="49"/>
      <c r="T656" s="49"/>
      <c r="U656" s="49"/>
      <c r="V656" s="49"/>
      <c r="W656" s="251"/>
      <c r="X656" s="251"/>
      <c r="Y656" s="251"/>
      <c r="Z656" s="251"/>
      <c r="AA656" s="251"/>
      <c r="AB656" s="251"/>
      <c r="AC656" s="251"/>
      <c r="AD656" s="91"/>
      <c r="AE656" s="91"/>
      <c r="AF656" s="91"/>
      <c r="AG656" s="91"/>
    </row>
    <row r="657" spans="1:33">
      <c r="A657" s="534"/>
      <c r="B657" s="534">
        <v>655</v>
      </c>
      <c r="C657" s="534">
        <v>253427</v>
      </c>
      <c r="D657" s="534">
        <v>15985039</v>
      </c>
      <c r="E657" s="50" t="s">
        <v>2872</v>
      </c>
      <c r="F657" s="534">
        <v>66</v>
      </c>
      <c r="G657" s="49" t="s">
        <v>2873</v>
      </c>
      <c r="H657" s="49" t="s">
        <v>271</v>
      </c>
      <c r="I657" s="534">
        <v>965234757</v>
      </c>
      <c r="J657" s="49" t="s">
        <v>1804</v>
      </c>
      <c r="K657" s="535">
        <v>46079</v>
      </c>
      <c r="L657" s="49" t="s">
        <v>2874</v>
      </c>
      <c r="M657" s="576" t="s">
        <v>260</v>
      </c>
      <c r="N657" s="251" t="s">
        <v>241</v>
      </c>
      <c r="O657" s="441">
        <v>46085</v>
      </c>
      <c r="P657" s="617" t="s">
        <v>1812</v>
      </c>
      <c r="Q657" s="471" t="s">
        <v>358</v>
      </c>
      <c r="R657" s="566"/>
      <c r="S657" s="49"/>
      <c r="T657" s="49"/>
      <c r="U657" s="49"/>
      <c r="V657" s="49"/>
      <c r="W657" s="251"/>
      <c r="X657" s="251"/>
      <c r="Y657" s="251"/>
      <c r="Z657" s="251"/>
      <c r="AA657" s="251"/>
      <c r="AB657" s="251"/>
      <c r="AC657" s="251"/>
      <c r="AD657" s="91"/>
      <c r="AE657" s="91"/>
      <c r="AF657" s="91"/>
      <c r="AG657" s="91"/>
    </row>
    <row r="658" spans="1:33">
      <c r="A658" s="534"/>
      <c r="B658" s="534">
        <v>656</v>
      </c>
      <c r="C658" s="534">
        <v>78110</v>
      </c>
      <c r="D658" s="534">
        <v>20741158</v>
      </c>
      <c r="E658" s="50" t="s">
        <v>2875</v>
      </c>
      <c r="F658" s="534">
        <v>48</v>
      </c>
      <c r="G658" s="49" t="s">
        <v>2876</v>
      </c>
      <c r="H658" s="49" t="s">
        <v>278</v>
      </c>
      <c r="I658" s="534">
        <v>967990866</v>
      </c>
      <c r="J658" s="49" t="s">
        <v>238</v>
      </c>
      <c r="K658" s="535">
        <v>46079</v>
      </c>
      <c r="L658" s="49" t="s">
        <v>1156</v>
      </c>
      <c r="M658" s="576" t="s">
        <v>230</v>
      </c>
      <c r="N658" s="251" t="s">
        <v>241</v>
      </c>
      <c r="O658" s="53">
        <v>46085</v>
      </c>
      <c r="P658" s="617"/>
      <c r="Q658" s="639"/>
      <c r="R658" s="566"/>
      <c r="S658" s="49"/>
      <c r="T658" s="49"/>
      <c r="U658" s="49"/>
      <c r="V658" s="49"/>
      <c r="W658" s="251"/>
      <c r="X658" s="251"/>
      <c r="Y658" s="251"/>
      <c r="Z658" s="251"/>
      <c r="AA658" s="251"/>
      <c r="AB658" s="251"/>
      <c r="AC658" s="251"/>
      <c r="AD658" s="91"/>
      <c r="AE658" s="91"/>
      <c r="AF658" s="91"/>
      <c r="AG658" s="91"/>
    </row>
    <row r="659" spans="1:33">
      <c r="A659" s="560"/>
      <c r="B659" s="534">
        <v>657</v>
      </c>
      <c r="C659" s="560">
        <v>523426</v>
      </c>
      <c r="D659" s="560">
        <v>46072959</v>
      </c>
      <c r="E659" s="433" t="s">
        <v>2877</v>
      </c>
      <c r="F659" s="560">
        <v>70</v>
      </c>
      <c r="G659" s="259" t="s">
        <v>2878</v>
      </c>
      <c r="H659" s="259" t="s">
        <v>326</v>
      </c>
      <c r="I659" s="560">
        <v>969024221</v>
      </c>
      <c r="J659" s="259" t="s">
        <v>328</v>
      </c>
      <c r="K659" s="605">
        <v>46079</v>
      </c>
      <c r="L659" s="259" t="s">
        <v>584</v>
      </c>
      <c r="M659" s="576" t="s">
        <v>230</v>
      </c>
      <c r="N659" s="251" t="s">
        <v>241</v>
      </c>
      <c r="O659" s="437">
        <v>46084</v>
      </c>
      <c r="P659" s="617" t="s">
        <v>292</v>
      </c>
      <c r="Q659" s="807">
        <v>46082</v>
      </c>
      <c r="R659" s="539" t="s">
        <v>242</v>
      </c>
      <c r="S659" s="49"/>
      <c r="T659" s="49"/>
      <c r="U659" s="49"/>
      <c r="V659" s="49"/>
      <c r="W659" s="251"/>
      <c r="X659" s="251"/>
      <c r="Y659" s="251"/>
      <c r="Z659" s="251"/>
      <c r="AA659" s="251"/>
      <c r="AB659" s="251"/>
      <c r="AC659" s="251"/>
      <c r="AD659" s="91"/>
      <c r="AE659" s="91"/>
      <c r="AF659" s="91"/>
      <c r="AG659" s="91"/>
    </row>
    <row r="660" spans="1:33">
      <c r="A660" s="560"/>
      <c r="B660" s="534">
        <v>658</v>
      </c>
      <c r="C660" s="560">
        <v>222739</v>
      </c>
      <c r="D660" s="560">
        <v>42697206</v>
      </c>
      <c r="E660" s="433" t="s">
        <v>2879</v>
      </c>
      <c r="F660" s="560">
        <v>45</v>
      </c>
      <c r="G660" s="259" t="s">
        <v>2880</v>
      </c>
      <c r="H660" s="259" t="s">
        <v>222</v>
      </c>
      <c r="I660" s="560">
        <v>947187672</v>
      </c>
      <c r="J660" s="259" t="s">
        <v>283</v>
      </c>
      <c r="K660" s="605">
        <v>46079</v>
      </c>
      <c r="L660" s="251" t="s">
        <v>584</v>
      </c>
      <c r="M660" s="576" t="s">
        <v>230</v>
      </c>
      <c r="N660" s="251" t="s">
        <v>241</v>
      </c>
      <c r="O660" s="437">
        <v>46093</v>
      </c>
      <c r="P660" s="576" t="s">
        <v>1962</v>
      </c>
      <c r="Q660" s="829" t="s">
        <v>710</v>
      </c>
      <c r="R660" s="566"/>
      <c r="S660" s="49"/>
      <c r="T660" s="49"/>
      <c r="U660" s="49"/>
      <c r="V660" s="49"/>
      <c r="W660" s="251"/>
      <c r="X660" s="251"/>
      <c r="Y660" s="251"/>
      <c r="Z660" s="251"/>
      <c r="AA660" s="251"/>
      <c r="AB660" s="251"/>
      <c r="AC660" s="251"/>
      <c r="AD660" s="91"/>
      <c r="AE660" s="91"/>
      <c r="AF660" s="91"/>
      <c r="AG660" s="91"/>
    </row>
    <row r="661" spans="1:33" ht="15.75">
      <c r="A661" s="534"/>
      <c r="B661" s="534">
        <v>659</v>
      </c>
      <c r="C661" s="534">
        <v>523433</v>
      </c>
      <c r="D661" s="580">
        <v>15716774</v>
      </c>
      <c r="E661" s="50" t="s">
        <v>2881</v>
      </c>
      <c r="F661" s="534">
        <v>43</v>
      </c>
      <c r="G661" s="49" t="s">
        <v>2882</v>
      </c>
      <c r="H661" s="49" t="s">
        <v>326</v>
      </c>
      <c r="I661" s="534">
        <v>953233018</v>
      </c>
      <c r="J661" s="49" t="s">
        <v>238</v>
      </c>
      <c r="K661" s="535">
        <v>46079</v>
      </c>
      <c r="L661" s="248" t="s">
        <v>2883</v>
      </c>
      <c r="M661" s="534" t="s">
        <v>260</v>
      </c>
      <c r="N661" s="49" t="s">
        <v>241</v>
      </c>
      <c r="O661" s="457">
        <v>46086</v>
      </c>
      <c r="P661" s="626"/>
      <c r="Q661" s="626" t="s">
        <v>2759</v>
      </c>
      <c r="R661" s="566"/>
      <c r="S661" s="49"/>
      <c r="T661" s="49"/>
      <c r="U661" s="49"/>
      <c r="V661" s="49"/>
      <c r="W661" s="251"/>
      <c r="X661" s="251"/>
      <c r="Y661" s="251"/>
      <c r="Z661" s="251"/>
      <c r="AA661" s="251"/>
      <c r="AB661" s="251"/>
      <c r="AC661" s="251"/>
      <c r="AD661" s="91"/>
      <c r="AE661" s="91"/>
      <c r="AF661" s="91"/>
      <c r="AG661" s="91"/>
    </row>
    <row r="662" spans="1:33">
      <c r="A662" s="534"/>
      <c r="B662" s="534">
        <v>660</v>
      </c>
      <c r="C662" s="534">
        <v>523432</v>
      </c>
      <c r="D662" s="534">
        <v>15751784</v>
      </c>
      <c r="E662" s="50" t="s">
        <v>2884</v>
      </c>
      <c r="F662" s="534">
        <v>51</v>
      </c>
      <c r="G662" s="49" t="s">
        <v>2885</v>
      </c>
      <c r="H662" s="49" t="s">
        <v>461</v>
      </c>
      <c r="I662" s="534">
        <v>995553974</v>
      </c>
      <c r="J662" s="49" t="s">
        <v>162</v>
      </c>
      <c r="K662" s="535">
        <v>46079</v>
      </c>
      <c r="L662" s="248" t="s">
        <v>2886</v>
      </c>
      <c r="M662" s="534" t="s">
        <v>260</v>
      </c>
      <c r="N662" s="49" t="s">
        <v>241</v>
      </c>
      <c r="O662" s="457">
        <v>46086</v>
      </c>
      <c r="P662" s="627" t="s">
        <v>1602</v>
      </c>
      <c r="Q662" s="471" t="s">
        <v>358</v>
      </c>
      <c r="R662" s="566"/>
      <c r="S662" s="49"/>
      <c r="T662" s="49"/>
      <c r="U662" s="49"/>
      <c r="V662" s="49"/>
      <c r="W662" s="251"/>
      <c r="X662" s="251"/>
      <c r="Y662" s="251"/>
      <c r="Z662" s="251"/>
      <c r="AA662" s="251"/>
      <c r="AB662" s="251"/>
      <c r="AC662" s="251"/>
      <c r="AD662" s="91"/>
      <c r="AE662" s="91"/>
      <c r="AF662" s="91"/>
      <c r="AG662" s="91"/>
    </row>
    <row r="663" spans="1:33">
      <c r="A663" s="534"/>
      <c r="B663" s="534">
        <v>661</v>
      </c>
      <c r="C663" s="534">
        <v>31548</v>
      </c>
      <c r="D663" s="534">
        <v>15730316</v>
      </c>
      <c r="E663" s="50" t="s">
        <v>2887</v>
      </c>
      <c r="F663" s="534">
        <v>57</v>
      </c>
      <c r="G663" s="49" t="s">
        <v>1573</v>
      </c>
      <c r="H663" s="49" t="s">
        <v>301</v>
      </c>
      <c r="I663" s="534">
        <v>913953949</v>
      </c>
      <c r="J663" s="49" t="s">
        <v>238</v>
      </c>
      <c r="K663" s="535">
        <v>46079</v>
      </c>
      <c r="L663" s="248" t="s">
        <v>1902</v>
      </c>
      <c r="M663" s="534" t="s">
        <v>260</v>
      </c>
      <c r="N663" s="49" t="s">
        <v>241</v>
      </c>
      <c r="O663" s="457">
        <v>46086</v>
      </c>
      <c r="P663" s="624"/>
      <c r="Q663" s="638"/>
      <c r="R663" s="566"/>
      <c r="S663" s="49"/>
      <c r="T663" s="49"/>
      <c r="U663" s="49"/>
      <c r="V663" s="49"/>
      <c r="W663" s="251"/>
      <c r="X663" s="251"/>
      <c r="Y663" s="251"/>
      <c r="Z663" s="251"/>
      <c r="AA663" s="251"/>
      <c r="AB663" s="251"/>
      <c r="AC663" s="251"/>
      <c r="AD663" s="91"/>
      <c r="AE663" s="91"/>
      <c r="AF663" s="91"/>
      <c r="AG663" s="91"/>
    </row>
    <row r="664" spans="1:33">
      <c r="A664" s="534"/>
      <c r="B664" s="534">
        <v>662</v>
      </c>
      <c r="C664" s="534">
        <v>44578</v>
      </c>
      <c r="D664" s="534">
        <v>15609823</v>
      </c>
      <c r="E664" s="50" t="s">
        <v>2888</v>
      </c>
      <c r="F664" s="534">
        <v>71</v>
      </c>
      <c r="G664" s="49" t="s">
        <v>2889</v>
      </c>
      <c r="H664" s="49" t="s">
        <v>288</v>
      </c>
      <c r="I664" s="534">
        <v>902775211</v>
      </c>
      <c r="J664" s="49" t="s">
        <v>238</v>
      </c>
      <c r="K664" s="535">
        <v>46079</v>
      </c>
      <c r="L664" s="248" t="s">
        <v>2890</v>
      </c>
      <c r="M664" s="534" t="s">
        <v>312</v>
      </c>
      <c r="N664" s="49" t="s">
        <v>241</v>
      </c>
      <c r="O664" s="457">
        <v>46086</v>
      </c>
      <c r="P664" s="624"/>
      <c r="Q664" s="624" t="s">
        <v>2244</v>
      </c>
      <c r="R664" s="566"/>
      <c r="S664" s="49"/>
      <c r="T664" s="49"/>
      <c r="U664" s="49"/>
      <c r="V664" s="49"/>
      <c r="W664" s="251"/>
      <c r="X664" s="251"/>
      <c r="Y664" s="251"/>
      <c r="Z664" s="251"/>
      <c r="AA664" s="251"/>
      <c r="AB664" s="251"/>
      <c r="AC664" s="251"/>
      <c r="AD664" s="91"/>
      <c r="AE664" s="91"/>
      <c r="AF664" s="91"/>
      <c r="AG664" s="91"/>
    </row>
    <row r="665" spans="1:33">
      <c r="A665" s="534"/>
      <c r="B665" s="534">
        <v>663</v>
      </c>
      <c r="C665" s="534">
        <v>182877</v>
      </c>
      <c r="D665" s="534">
        <v>42053337</v>
      </c>
      <c r="E665" s="50" t="s">
        <v>2891</v>
      </c>
      <c r="F665" s="534">
        <v>42</v>
      </c>
      <c r="G665" s="49" t="s">
        <v>2892</v>
      </c>
      <c r="H665" s="49" t="s">
        <v>237</v>
      </c>
      <c r="I665" s="534">
        <v>999029800</v>
      </c>
      <c r="J665" s="49" t="s">
        <v>238</v>
      </c>
      <c r="K665" s="535">
        <v>46079</v>
      </c>
      <c r="L665" s="248" t="s">
        <v>2865</v>
      </c>
      <c r="M665" s="534" t="s">
        <v>260</v>
      </c>
      <c r="N665" s="49" t="s">
        <v>241</v>
      </c>
      <c r="O665" s="457">
        <v>46086</v>
      </c>
      <c r="P665" s="624"/>
      <c r="Q665" s="624" t="s">
        <v>1186</v>
      </c>
      <c r="R665" s="566"/>
      <c r="S665" s="49"/>
      <c r="T665" s="49"/>
      <c r="U665" s="49"/>
      <c r="V665" s="49"/>
      <c r="W665" s="251"/>
      <c r="X665" s="251"/>
      <c r="Y665" s="251"/>
      <c r="Z665" s="251"/>
      <c r="AA665" s="251"/>
      <c r="AB665" s="251"/>
      <c r="AC665" s="251"/>
      <c r="AD665" s="91"/>
      <c r="AE665" s="91"/>
      <c r="AF665" s="91"/>
      <c r="AG665" s="91"/>
    </row>
    <row r="666" spans="1:33">
      <c r="A666" s="534"/>
      <c r="B666" s="534">
        <v>664</v>
      </c>
      <c r="C666" s="534">
        <v>523443</v>
      </c>
      <c r="D666" s="534">
        <v>40838735</v>
      </c>
      <c r="E666" s="50" t="s">
        <v>2893</v>
      </c>
      <c r="F666" s="534">
        <v>44</v>
      </c>
      <c r="G666" s="49" t="s">
        <v>2894</v>
      </c>
      <c r="H666" s="49" t="s">
        <v>271</v>
      </c>
      <c r="I666" s="534">
        <v>966611112</v>
      </c>
      <c r="J666" s="49" t="s">
        <v>164</v>
      </c>
      <c r="K666" s="535">
        <v>46079</v>
      </c>
      <c r="L666" s="248" t="s">
        <v>1156</v>
      </c>
      <c r="M666" s="534" t="s">
        <v>230</v>
      </c>
      <c r="N666" s="49" t="s">
        <v>241</v>
      </c>
      <c r="O666" s="457">
        <v>46086</v>
      </c>
      <c r="P666" s="626" t="s">
        <v>2588</v>
      </c>
      <c r="Q666" s="471" t="s">
        <v>358</v>
      </c>
      <c r="R666" s="566"/>
      <c r="S666" s="49"/>
      <c r="T666" s="49"/>
      <c r="U666" s="49"/>
      <c r="V666" s="49"/>
      <c r="W666" s="251"/>
      <c r="X666" s="251"/>
      <c r="Y666" s="251"/>
      <c r="Z666" s="251"/>
      <c r="AA666" s="251"/>
      <c r="AB666" s="251"/>
      <c r="AC666" s="251"/>
      <c r="AD666" s="91"/>
      <c r="AE666" s="91"/>
      <c r="AF666" s="91"/>
      <c r="AG666" s="91"/>
    </row>
    <row r="667" spans="1:33">
      <c r="A667" s="534"/>
      <c r="B667" s="534">
        <v>665</v>
      </c>
      <c r="C667" s="534">
        <v>225635</v>
      </c>
      <c r="D667" s="534">
        <v>32730852</v>
      </c>
      <c r="E667" s="50" t="s">
        <v>2895</v>
      </c>
      <c r="F667" s="534">
        <v>52</v>
      </c>
      <c r="G667" s="49" t="s">
        <v>2896</v>
      </c>
      <c r="H667" s="49" t="s">
        <v>301</v>
      </c>
      <c r="I667" s="534">
        <v>939849655</v>
      </c>
      <c r="J667" s="49" t="s">
        <v>2630</v>
      </c>
      <c r="K667" s="535">
        <v>46079</v>
      </c>
      <c r="L667" s="49" t="s">
        <v>790</v>
      </c>
      <c r="M667" s="576" t="s">
        <v>312</v>
      </c>
      <c r="N667" s="251" t="s">
        <v>317</v>
      </c>
      <c r="O667" s="458">
        <v>46101</v>
      </c>
      <c r="P667" s="617" t="s">
        <v>2897</v>
      </c>
      <c r="Q667" s="802">
        <v>46082</v>
      </c>
      <c r="R667" s="566" t="s">
        <v>318</v>
      </c>
      <c r="S667" s="49"/>
      <c r="T667" s="49"/>
      <c r="U667" s="49"/>
      <c r="V667" s="49"/>
      <c r="W667" s="251"/>
      <c r="X667" s="251"/>
      <c r="Y667" s="251"/>
      <c r="Z667" s="251"/>
      <c r="AA667" s="251"/>
      <c r="AB667" s="251"/>
      <c r="AC667" s="251"/>
      <c r="AD667" s="91"/>
      <c r="AE667" s="91"/>
      <c r="AF667" s="91"/>
      <c r="AG667" s="91"/>
    </row>
    <row r="668" spans="1:33">
      <c r="A668" s="534"/>
      <c r="B668" s="534">
        <v>666</v>
      </c>
      <c r="C668" s="534">
        <v>58360</v>
      </c>
      <c r="D668" s="534">
        <v>40398882</v>
      </c>
      <c r="E668" s="50" t="s">
        <v>2898</v>
      </c>
      <c r="F668" s="534">
        <v>50</v>
      </c>
      <c r="G668" s="49" t="s">
        <v>2899</v>
      </c>
      <c r="H668" s="49" t="s">
        <v>222</v>
      </c>
      <c r="I668" s="534">
        <v>992513869</v>
      </c>
      <c r="J668" s="49" t="s">
        <v>238</v>
      </c>
      <c r="K668" s="535">
        <v>46079</v>
      </c>
      <c r="L668" s="248" t="s">
        <v>584</v>
      </c>
      <c r="M668" s="534" t="s">
        <v>260</v>
      </c>
      <c r="N668" s="49" t="s">
        <v>241</v>
      </c>
      <c r="O668" s="457">
        <v>46086</v>
      </c>
      <c r="P668" s="624"/>
      <c r="Q668" s="624" t="s">
        <v>1667</v>
      </c>
      <c r="R668" s="566"/>
      <c r="S668" s="49"/>
      <c r="T668" s="49"/>
      <c r="U668" s="49"/>
      <c r="V668" s="49"/>
      <c r="W668" s="251"/>
      <c r="X668" s="251"/>
      <c r="Y668" s="251"/>
      <c r="Z668" s="251"/>
      <c r="AA668" s="251"/>
      <c r="AB668" s="251"/>
      <c r="AC668" s="251"/>
      <c r="AD668" s="91"/>
      <c r="AE668" s="91"/>
      <c r="AF668" s="91"/>
      <c r="AG668" s="91"/>
    </row>
    <row r="669" spans="1:33">
      <c r="A669" s="534"/>
      <c r="B669" s="534">
        <v>667</v>
      </c>
      <c r="C669" s="534">
        <v>273682</v>
      </c>
      <c r="D669" s="534">
        <v>40738621</v>
      </c>
      <c r="E669" s="50" t="s">
        <v>2900</v>
      </c>
      <c r="F669" s="534">
        <v>45</v>
      </c>
      <c r="G669" s="49" t="s">
        <v>2901</v>
      </c>
      <c r="H669" s="49" t="s">
        <v>278</v>
      </c>
      <c r="I669" s="534">
        <v>991852277</v>
      </c>
      <c r="J669" s="49" t="s">
        <v>238</v>
      </c>
      <c r="K669" s="535">
        <v>46079</v>
      </c>
      <c r="L669" s="434" t="s">
        <v>2902</v>
      </c>
      <c r="M669" s="534" t="s">
        <v>260</v>
      </c>
      <c r="N669" s="49" t="s">
        <v>241</v>
      </c>
      <c r="O669" s="457">
        <v>46086</v>
      </c>
      <c r="P669" s="624"/>
      <c r="Q669" s="638"/>
      <c r="R669" s="566"/>
      <c r="S669" s="49"/>
      <c r="T669" s="49"/>
      <c r="U669" s="49"/>
      <c r="V669" s="49"/>
      <c r="W669" s="251"/>
      <c r="X669" s="251"/>
      <c r="Y669" s="251"/>
      <c r="Z669" s="251"/>
      <c r="AA669" s="251"/>
      <c r="AB669" s="251"/>
      <c r="AC669" s="251"/>
      <c r="AD669" s="91"/>
      <c r="AE669" s="91"/>
      <c r="AF669" s="91"/>
      <c r="AG669" s="91"/>
    </row>
    <row r="670" spans="1:33">
      <c r="A670" s="534"/>
      <c r="B670" s="534">
        <v>668</v>
      </c>
      <c r="C670" s="534">
        <v>523449</v>
      </c>
      <c r="D670" s="534">
        <v>40927164</v>
      </c>
      <c r="E670" s="50" t="s">
        <v>2903</v>
      </c>
      <c r="F670" s="534">
        <v>44</v>
      </c>
      <c r="G670" s="49" t="s">
        <v>2904</v>
      </c>
      <c r="H670" s="49" t="s">
        <v>461</v>
      </c>
      <c r="I670" s="534">
        <v>959295337</v>
      </c>
      <c r="J670" s="49" t="s">
        <v>162</v>
      </c>
      <c r="K670" s="534" t="s">
        <v>2864</v>
      </c>
      <c r="L670" s="248" t="s">
        <v>1663</v>
      </c>
      <c r="M670" s="534" t="s">
        <v>260</v>
      </c>
      <c r="N670" s="49" t="s">
        <v>241</v>
      </c>
      <c r="O670" s="457">
        <v>46086</v>
      </c>
      <c r="P670" s="627" t="s">
        <v>1602</v>
      </c>
      <c r="Q670" s="471" t="s">
        <v>358</v>
      </c>
      <c r="R670" s="566"/>
      <c r="S670" s="49"/>
      <c r="T670" s="49"/>
      <c r="U670" s="49"/>
      <c r="V670" s="49"/>
      <c r="W670" s="251"/>
      <c r="X670" s="251"/>
      <c r="Y670" s="251"/>
      <c r="Z670" s="251"/>
      <c r="AA670" s="251"/>
      <c r="AB670" s="251"/>
      <c r="AC670" s="251"/>
      <c r="AD670" s="91"/>
      <c r="AE670" s="91"/>
      <c r="AF670" s="91"/>
      <c r="AG670" s="91"/>
    </row>
    <row r="671" spans="1:33">
      <c r="A671" s="534"/>
      <c r="B671" s="534">
        <v>669</v>
      </c>
      <c r="C671" s="534">
        <v>523450</v>
      </c>
      <c r="D671" s="534">
        <v>16027726</v>
      </c>
      <c r="E671" s="50" t="s">
        <v>2905</v>
      </c>
      <c r="F671" s="534">
        <v>53</v>
      </c>
      <c r="G671" s="49" t="s">
        <v>2906</v>
      </c>
      <c r="H671" s="49" t="s">
        <v>461</v>
      </c>
      <c r="I671" s="534">
        <v>928105475</v>
      </c>
      <c r="J671" s="49" t="s">
        <v>162</v>
      </c>
      <c r="K671" s="535">
        <v>46079</v>
      </c>
      <c r="L671" s="248" t="s">
        <v>1663</v>
      </c>
      <c r="M671" s="534" t="s">
        <v>260</v>
      </c>
      <c r="N671" s="49" t="s">
        <v>241</v>
      </c>
      <c r="O671" s="457">
        <v>46086</v>
      </c>
      <c r="P671" s="627" t="s">
        <v>1602</v>
      </c>
      <c r="Q671" s="471" t="s">
        <v>358</v>
      </c>
      <c r="R671" s="566"/>
      <c r="S671" s="49"/>
      <c r="T671" s="49"/>
      <c r="U671" s="49"/>
      <c r="V671" s="49"/>
      <c r="W671" s="251"/>
      <c r="X671" s="251"/>
      <c r="Y671" s="251"/>
      <c r="Z671" s="251"/>
      <c r="AA671" s="251"/>
      <c r="AB671" s="251"/>
      <c r="AC671" s="251"/>
      <c r="AD671" s="91"/>
      <c r="AE671" s="91"/>
      <c r="AF671" s="91"/>
      <c r="AG671" s="91"/>
    </row>
    <row r="672" spans="1:33">
      <c r="A672" s="534"/>
      <c r="B672" s="534">
        <v>670</v>
      </c>
      <c r="C672" s="534">
        <v>60118</v>
      </c>
      <c r="D672" s="534">
        <v>16001198</v>
      </c>
      <c r="E672" s="50" t="s">
        <v>2907</v>
      </c>
      <c r="F672" s="534">
        <v>57</v>
      </c>
      <c r="G672" s="49" t="s">
        <v>2908</v>
      </c>
      <c r="H672" s="49" t="s">
        <v>461</v>
      </c>
      <c r="I672" s="534">
        <v>981693129</v>
      </c>
      <c r="J672" s="49" t="s">
        <v>162</v>
      </c>
      <c r="K672" s="535">
        <v>46079</v>
      </c>
      <c r="L672" s="248" t="s">
        <v>2909</v>
      </c>
      <c r="M672" s="534" t="s">
        <v>230</v>
      </c>
      <c r="N672" s="49" t="s">
        <v>241</v>
      </c>
      <c r="O672" s="457">
        <v>46086</v>
      </c>
      <c r="P672" s="627" t="s">
        <v>1602</v>
      </c>
      <c r="Q672" s="471" t="s">
        <v>358</v>
      </c>
      <c r="R672" s="566"/>
      <c r="S672" s="49"/>
      <c r="T672" s="49"/>
      <c r="U672" s="49"/>
      <c r="V672" s="49"/>
      <c r="W672" s="251"/>
      <c r="X672" s="251"/>
      <c r="Y672" s="251"/>
      <c r="Z672" s="251"/>
      <c r="AA672" s="251"/>
      <c r="AB672" s="251"/>
      <c r="AC672" s="251"/>
      <c r="AD672" s="91"/>
      <c r="AE672" s="91"/>
      <c r="AF672" s="91"/>
      <c r="AG672" s="91"/>
    </row>
    <row r="673" spans="1:33">
      <c r="A673" s="562" t="s">
        <v>2910</v>
      </c>
      <c r="B673" s="534">
        <v>671</v>
      </c>
      <c r="C673" s="560">
        <v>523407</v>
      </c>
      <c r="D673" s="560">
        <v>43085030</v>
      </c>
      <c r="E673" s="433" t="s">
        <v>2911</v>
      </c>
      <c r="F673" s="560">
        <v>40</v>
      </c>
      <c r="G673" s="259" t="s">
        <v>2912</v>
      </c>
      <c r="H673" s="259" t="s">
        <v>461</v>
      </c>
      <c r="I673" s="560">
        <v>927102558</v>
      </c>
      <c r="J673" s="259" t="s">
        <v>162</v>
      </c>
      <c r="K673" s="535">
        <v>46079</v>
      </c>
      <c r="L673" s="459" t="s">
        <v>584</v>
      </c>
      <c r="M673" s="534" t="s">
        <v>260</v>
      </c>
      <c r="N673" s="49" t="s">
        <v>241</v>
      </c>
      <c r="O673" s="457">
        <v>46086</v>
      </c>
      <c r="P673" s="627" t="s">
        <v>1602</v>
      </c>
      <c r="Q673" s="471" t="s">
        <v>358</v>
      </c>
      <c r="R673" s="566"/>
      <c r="S673" s="49"/>
      <c r="T673" s="49"/>
      <c r="U673" s="49"/>
      <c r="V673" s="49"/>
      <c r="W673" s="251"/>
      <c r="X673" s="251"/>
      <c r="Y673" s="251"/>
      <c r="Z673" s="251"/>
      <c r="AA673" s="251"/>
      <c r="AB673" s="251"/>
      <c r="AC673" s="251"/>
      <c r="AD673" s="91"/>
      <c r="AE673" s="91"/>
      <c r="AF673" s="91"/>
      <c r="AG673" s="91"/>
    </row>
    <row r="674" spans="1:33">
      <c r="A674" s="534"/>
      <c r="B674" s="534">
        <v>672</v>
      </c>
      <c r="C674" s="534">
        <v>127242</v>
      </c>
      <c r="D674" s="534">
        <v>42352039</v>
      </c>
      <c r="E674" s="50" t="s">
        <v>2913</v>
      </c>
      <c r="F674" s="534">
        <v>41</v>
      </c>
      <c r="G674" s="49" t="s">
        <v>2914</v>
      </c>
      <c r="H674" s="49" t="s">
        <v>237</v>
      </c>
      <c r="I674" s="534">
        <v>980591330</v>
      </c>
      <c r="J674" s="49" t="s">
        <v>238</v>
      </c>
      <c r="K674" s="606">
        <v>46079</v>
      </c>
      <c r="L674" s="259" t="s">
        <v>584</v>
      </c>
      <c r="M674" s="576" t="s">
        <v>230</v>
      </c>
      <c r="N674" s="251" t="s">
        <v>241</v>
      </c>
      <c r="O674" s="460">
        <v>46085</v>
      </c>
      <c r="P674" s="624"/>
      <c r="Q674" s="638"/>
      <c r="R674" s="566"/>
      <c r="S674" s="49"/>
      <c r="T674" s="49"/>
      <c r="U674" s="49"/>
      <c r="V674" s="49"/>
      <c r="W674" s="251"/>
      <c r="X674" s="251"/>
      <c r="Y674" s="251"/>
      <c r="Z674" s="251"/>
      <c r="AA674" s="251"/>
      <c r="AB674" s="251"/>
      <c r="AC674" s="251"/>
      <c r="AD674" s="91"/>
      <c r="AE674" s="91"/>
      <c r="AF674" s="91"/>
      <c r="AG674" s="91"/>
    </row>
    <row r="675" spans="1:33">
      <c r="A675" s="534"/>
      <c r="B675" s="534">
        <v>673</v>
      </c>
      <c r="C675" s="534">
        <v>523455</v>
      </c>
      <c r="D675" s="534">
        <v>4432135</v>
      </c>
      <c r="E675" s="50" t="s">
        <v>2915</v>
      </c>
      <c r="F675" s="534">
        <v>52</v>
      </c>
      <c r="G675" s="49" t="s">
        <v>2916</v>
      </c>
      <c r="H675" s="49" t="s">
        <v>2917</v>
      </c>
      <c r="I675" s="534">
        <v>949194784</v>
      </c>
      <c r="J675" s="49" t="s">
        <v>2793</v>
      </c>
      <c r="K675" s="606">
        <v>46079</v>
      </c>
      <c r="L675" s="49" t="s">
        <v>1915</v>
      </c>
      <c r="M675" s="576" t="s">
        <v>260</v>
      </c>
      <c r="N675" s="251" t="s">
        <v>241</v>
      </c>
      <c r="O675" s="441">
        <v>46087</v>
      </c>
      <c r="P675" s="621" t="s">
        <v>2712</v>
      </c>
      <c r="Q675" s="471" t="s">
        <v>358</v>
      </c>
      <c r="R675" s="566"/>
      <c r="S675" s="49"/>
      <c r="T675" s="49"/>
      <c r="U675" s="49"/>
      <c r="V675" s="49"/>
      <c r="W675" s="251"/>
      <c r="X675" s="251"/>
      <c r="Y675" s="251"/>
      <c r="Z675" s="251"/>
      <c r="AA675" s="251"/>
      <c r="AB675" s="251"/>
      <c r="AC675" s="251"/>
      <c r="AD675" s="91"/>
      <c r="AE675" s="91"/>
      <c r="AF675" s="91"/>
      <c r="AG675" s="91"/>
    </row>
    <row r="676" spans="1:33">
      <c r="A676" s="534"/>
      <c r="B676" s="534">
        <v>674</v>
      </c>
      <c r="C676" s="534">
        <v>316794</v>
      </c>
      <c r="D676" s="534">
        <v>43083250</v>
      </c>
      <c r="E676" s="50" t="s">
        <v>2918</v>
      </c>
      <c r="F676" s="534">
        <v>40</v>
      </c>
      <c r="G676" s="49" t="s">
        <v>2919</v>
      </c>
      <c r="H676" s="49" t="s">
        <v>2422</v>
      </c>
      <c r="I676" s="534">
        <v>984383589</v>
      </c>
      <c r="J676" s="49" t="s">
        <v>238</v>
      </c>
      <c r="K676" s="607">
        <v>46079</v>
      </c>
      <c r="L676" s="259" t="s">
        <v>584</v>
      </c>
      <c r="M676" s="576" t="s">
        <v>230</v>
      </c>
      <c r="N676" s="251" t="s">
        <v>241</v>
      </c>
      <c r="O676" s="53">
        <v>46085</v>
      </c>
      <c r="P676" s="624"/>
      <c r="Q676" s="624" t="s">
        <v>2920</v>
      </c>
      <c r="R676" s="566"/>
      <c r="S676" s="49"/>
      <c r="T676" s="49"/>
      <c r="U676" s="49"/>
      <c r="V676" s="49"/>
      <c r="W676" s="251"/>
      <c r="X676" s="251"/>
      <c r="Y676" s="251"/>
      <c r="Z676" s="251"/>
      <c r="AA676" s="251"/>
      <c r="AB676" s="251"/>
      <c r="AC676" s="251"/>
      <c r="AD676" s="91"/>
      <c r="AE676" s="91"/>
      <c r="AF676" s="91"/>
      <c r="AG676" s="91"/>
    </row>
    <row r="677" spans="1:33">
      <c r="A677" s="560"/>
      <c r="B677" s="534">
        <v>675</v>
      </c>
      <c r="C677" s="560">
        <v>183397</v>
      </c>
      <c r="D677" s="560">
        <v>15716774</v>
      </c>
      <c r="E677" s="433" t="s">
        <v>2881</v>
      </c>
      <c r="F677" s="560">
        <v>60</v>
      </c>
      <c r="G677" s="259" t="s">
        <v>2921</v>
      </c>
      <c r="H677" s="259" t="s">
        <v>326</v>
      </c>
      <c r="I677" s="560">
        <v>934162295</v>
      </c>
      <c r="J677" s="259" t="s">
        <v>238</v>
      </c>
      <c r="K677" s="607">
        <v>46079</v>
      </c>
      <c r="L677" s="259" t="s">
        <v>584</v>
      </c>
      <c r="M677" s="576" t="s">
        <v>230</v>
      </c>
      <c r="N677" s="251" t="s">
        <v>241</v>
      </c>
      <c r="O677" s="53">
        <v>46085</v>
      </c>
      <c r="P677" s="624"/>
      <c r="Q677" s="158"/>
      <c r="R677" s="566"/>
      <c r="S677" s="49"/>
      <c r="T677" s="49"/>
      <c r="U677" s="49"/>
      <c r="V677" s="49"/>
      <c r="W677" s="251"/>
      <c r="X677" s="251"/>
      <c r="Y677" s="251"/>
      <c r="Z677" s="251"/>
      <c r="AA677" s="251"/>
      <c r="AB677" s="251"/>
      <c r="AC677" s="251"/>
      <c r="AD677" s="91"/>
      <c r="AE677" s="91"/>
      <c r="AF677" s="91"/>
      <c r="AG677" s="91"/>
    </row>
    <row r="678" spans="1:33">
      <c r="A678" s="534"/>
      <c r="B678" s="534">
        <v>676</v>
      </c>
      <c r="C678" s="534">
        <v>337059</v>
      </c>
      <c r="D678" s="534">
        <v>40839124</v>
      </c>
      <c r="E678" s="50" t="s">
        <v>2922</v>
      </c>
      <c r="F678" s="534">
        <v>45</v>
      </c>
      <c r="G678" s="49" t="s">
        <v>2923</v>
      </c>
      <c r="H678" s="49" t="s">
        <v>237</v>
      </c>
      <c r="I678" s="534">
        <v>945060346</v>
      </c>
      <c r="J678" s="49" t="s">
        <v>289</v>
      </c>
      <c r="K678" s="607">
        <v>46079</v>
      </c>
      <c r="L678" s="49" t="s">
        <v>584</v>
      </c>
      <c r="M678" s="576" t="s">
        <v>260</v>
      </c>
      <c r="N678" s="251" t="s">
        <v>241</v>
      </c>
      <c r="O678" s="437">
        <v>46085</v>
      </c>
      <c r="P678" s="617" t="s">
        <v>2708</v>
      </c>
      <c r="Q678" s="826">
        <v>46082</v>
      </c>
      <c r="R678" s="566" t="s">
        <v>242</v>
      </c>
      <c r="S678" s="49"/>
      <c r="T678" s="49"/>
      <c r="U678" s="49"/>
      <c r="V678" s="49"/>
      <c r="W678" s="256"/>
      <c r="X678" s="49"/>
      <c r="Y678" s="49"/>
      <c r="Z678" s="49"/>
      <c r="AA678" s="49"/>
      <c r="AB678" s="49"/>
      <c r="AC678" s="49"/>
      <c r="AD678" s="91"/>
      <c r="AE678" s="91"/>
      <c r="AF678" s="91"/>
      <c r="AG678" s="91"/>
    </row>
    <row r="679" spans="1:33">
      <c r="A679" s="534"/>
      <c r="B679" s="534">
        <v>677</v>
      </c>
      <c r="C679" s="534">
        <v>230391</v>
      </c>
      <c r="D679" s="534">
        <v>40205789</v>
      </c>
      <c r="E679" s="50" t="s">
        <v>2924</v>
      </c>
      <c r="F679" s="534">
        <v>46</v>
      </c>
      <c r="G679" s="49" t="s">
        <v>2925</v>
      </c>
      <c r="H679" s="49" t="s">
        <v>301</v>
      </c>
      <c r="I679" s="534">
        <v>956780299</v>
      </c>
      <c r="J679" s="49" t="s">
        <v>380</v>
      </c>
      <c r="K679" s="535">
        <v>46079</v>
      </c>
      <c r="L679" s="260" t="s">
        <v>1902</v>
      </c>
      <c r="M679" s="576" t="s">
        <v>312</v>
      </c>
      <c r="N679" s="251" t="s">
        <v>241</v>
      </c>
      <c r="O679" s="456">
        <v>46093</v>
      </c>
      <c r="P679" s="617" t="s">
        <v>1873</v>
      </c>
      <c r="Q679" s="834" t="s">
        <v>339</v>
      </c>
      <c r="R679" s="566"/>
      <c r="S679" s="49"/>
      <c r="T679" s="49"/>
      <c r="U679" s="49"/>
      <c r="V679" s="49"/>
      <c r="W679" s="256"/>
      <c r="X679" s="49"/>
      <c r="Y679" s="49"/>
      <c r="Z679" s="49"/>
      <c r="AA679" s="49"/>
      <c r="AB679" s="49"/>
      <c r="AC679" s="49"/>
      <c r="AD679" s="91"/>
      <c r="AE679" s="91"/>
      <c r="AF679" s="91"/>
      <c r="AG679" s="91"/>
    </row>
    <row r="680" spans="1:33">
      <c r="A680" s="534"/>
      <c r="B680" s="534">
        <v>678</v>
      </c>
      <c r="C680" s="534">
        <v>175855</v>
      </c>
      <c r="D680" s="534">
        <v>15737217</v>
      </c>
      <c r="E680" s="50" t="s">
        <v>2926</v>
      </c>
      <c r="F680" s="534">
        <v>51</v>
      </c>
      <c r="G680" s="49" t="s">
        <v>2927</v>
      </c>
      <c r="H680" s="49" t="s">
        <v>222</v>
      </c>
      <c r="I680" s="534">
        <v>932152606</v>
      </c>
      <c r="J680" s="49" t="s">
        <v>283</v>
      </c>
      <c r="K680" s="535">
        <v>46079</v>
      </c>
      <c r="L680" s="49" t="s">
        <v>2928</v>
      </c>
      <c r="M680" s="576" t="s">
        <v>312</v>
      </c>
      <c r="N680" s="251" t="s">
        <v>241</v>
      </c>
      <c r="O680" s="437">
        <v>46086</v>
      </c>
      <c r="P680" s="576" t="s">
        <v>1962</v>
      </c>
      <c r="Q680" s="825">
        <v>46082</v>
      </c>
      <c r="R680" s="566" t="s">
        <v>242</v>
      </c>
      <c r="S680" s="49"/>
      <c r="T680" s="49"/>
      <c r="U680" s="49"/>
      <c r="V680" s="49"/>
      <c r="W680" s="256"/>
      <c r="X680" s="49"/>
      <c r="Y680" s="49"/>
      <c r="Z680" s="49"/>
      <c r="AA680" s="49"/>
      <c r="AB680" s="49"/>
      <c r="AC680" s="49"/>
      <c r="AD680" s="91"/>
      <c r="AE680" s="91"/>
      <c r="AF680" s="91"/>
      <c r="AG680" s="91"/>
    </row>
    <row r="681" spans="1:33">
      <c r="A681" s="534"/>
      <c r="B681" s="534">
        <v>679</v>
      </c>
      <c r="C681" s="534">
        <v>76909</v>
      </c>
      <c r="D681" s="534">
        <v>15646013</v>
      </c>
      <c r="E681" s="50" t="s">
        <v>2929</v>
      </c>
      <c r="F681" s="534">
        <v>60</v>
      </c>
      <c r="G681" s="49" t="s">
        <v>2930</v>
      </c>
      <c r="H681" s="49" t="s">
        <v>222</v>
      </c>
      <c r="I681" s="534">
        <v>992923101</v>
      </c>
      <c r="J681" s="49" t="s">
        <v>283</v>
      </c>
      <c r="K681" s="535">
        <v>46079</v>
      </c>
      <c r="L681" s="49" t="s">
        <v>2931</v>
      </c>
      <c r="M681" s="576" t="s">
        <v>260</v>
      </c>
      <c r="N681" s="251" t="s">
        <v>241</v>
      </c>
      <c r="O681" s="437">
        <v>46093</v>
      </c>
      <c r="P681" s="576" t="s">
        <v>1962</v>
      </c>
      <c r="Q681" s="826">
        <v>46082</v>
      </c>
      <c r="R681" s="566" t="s">
        <v>242</v>
      </c>
      <c r="S681" s="49"/>
      <c r="T681" s="49"/>
      <c r="U681" s="49"/>
      <c r="V681" s="49"/>
      <c r="W681" s="256"/>
      <c r="X681" s="49"/>
      <c r="Y681" s="49"/>
      <c r="Z681" s="49"/>
      <c r="AA681" s="49"/>
      <c r="AB681" s="49"/>
      <c r="AC681" s="49"/>
      <c r="AD681" s="91"/>
      <c r="AE681" s="91"/>
      <c r="AF681" s="91"/>
      <c r="AG681" s="91"/>
    </row>
    <row r="682" spans="1:33">
      <c r="A682" s="534"/>
      <c r="B682" s="534">
        <v>680</v>
      </c>
      <c r="C682" s="534">
        <v>168755</v>
      </c>
      <c r="D682" s="534">
        <v>43382504</v>
      </c>
      <c r="E682" s="50" t="s">
        <v>2932</v>
      </c>
      <c r="F682" s="534">
        <v>41</v>
      </c>
      <c r="G682" s="49" t="s">
        <v>2933</v>
      </c>
      <c r="H682" s="49" t="s">
        <v>288</v>
      </c>
      <c r="I682" s="534">
        <v>956771088</v>
      </c>
      <c r="J682" s="49" t="s">
        <v>289</v>
      </c>
      <c r="K682" s="535">
        <v>46079</v>
      </c>
      <c r="L682" s="49" t="s">
        <v>1156</v>
      </c>
      <c r="M682" s="576" t="s">
        <v>230</v>
      </c>
      <c r="N682" s="251" t="s">
        <v>241</v>
      </c>
      <c r="O682" s="461">
        <v>46085</v>
      </c>
      <c r="P682" s="617" t="s">
        <v>2708</v>
      </c>
      <c r="Q682" s="807">
        <v>46082</v>
      </c>
      <c r="R682" s="566" t="s">
        <v>242</v>
      </c>
      <c r="S682" s="49"/>
      <c r="T682" s="49"/>
      <c r="U682" s="49"/>
      <c r="V682" s="49"/>
      <c r="W682" s="256"/>
      <c r="X682" s="49"/>
      <c r="Y682" s="49"/>
      <c r="Z682" s="49"/>
      <c r="AA682" s="49"/>
      <c r="AB682" s="49"/>
      <c r="AC682" s="49"/>
      <c r="AD682" s="91"/>
      <c r="AE682" s="91"/>
      <c r="AF682" s="91"/>
      <c r="AG682" s="91"/>
    </row>
    <row r="683" spans="1:33">
      <c r="A683" s="534"/>
      <c r="B683" s="534">
        <v>681</v>
      </c>
      <c r="C683" s="534">
        <v>196050</v>
      </c>
      <c r="D683" s="534">
        <v>15736875</v>
      </c>
      <c r="E683" s="50" t="s">
        <v>2934</v>
      </c>
      <c r="F683" s="534">
        <v>51</v>
      </c>
      <c r="G683" s="49" t="s">
        <v>2935</v>
      </c>
      <c r="H683" s="49" t="s">
        <v>222</v>
      </c>
      <c r="I683" s="534">
        <v>940957197</v>
      </c>
      <c r="J683" s="49" t="s">
        <v>238</v>
      </c>
      <c r="K683" s="535">
        <v>46079</v>
      </c>
      <c r="L683" s="248" t="s">
        <v>2936</v>
      </c>
      <c r="M683" s="534" t="s">
        <v>312</v>
      </c>
      <c r="N683" s="49" t="s">
        <v>241</v>
      </c>
      <c r="O683" s="457">
        <v>46086</v>
      </c>
      <c r="P683" s="627"/>
      <c r="Q683" s="638"/>
      <c r="R683" s="566"/>
      <c r="S683" s="49"/>
      <c r="T683" s="49"/>
      <c r="U683" s="49"/>
      <c r="V683" s="49"/>
      <c r="W683" s="256"/>
      <c r="X683" s="49"/>
      <c r="Y683" s="49"/>
      <c r="Z683" s="49"/>
      <c r="AA683" s="49"/>
      <c r="AB683" s="49"/>
      <c r="AC683" s="49"/>
      <c r="AD683" s="91"/>
      <c r="AE683" s="91"/>
      <c r="AF683" s="91"/>
      <c r="AG683" s="91"/>
    </row>
    <row r="684" spans="1:33">
      <c r="A684" s="534"/>
      <c r="B684" s="534">
        <v>682</v>
      </c>
      <c r="C684" s="534">
        <v>410338</v>
      </c>
      <c r="D684" s="534" t="s">
        <v>2937</v>
      </c>
      <c r="E684" s="50" t="s">
        <v>2938</v>
      </c>
      <c r="F684" s="534">
        <v>61</v>
      </c>
      <c r="G684" s="49" t="s">
        <v>2939</v>
      </c>
      <c r="H684" s="49" t="s">
        <v>237</v>
      </c>
      <c r="I684" s="534">
        <v>951564436</v>
      </c>
      <c r="J684" s="49" t="s">
        <v>742</v>
      </c>
      <c r="K684" s="535">
        <v>46079</v>
      </c>
      <c r="L684" s="49" t="s">
        <v>1794</v>
      </c>
      <c r="M684" s="610" t="s">
        <v>312</v>
      </c>
      <c r="N684" s="885" t="s">
        <v>317</v>
      </c>
      <c r="O684" s="456">
        <v>46094</v>
      </c>
      <c r="P684" s="617" t="s">
        <v>2165</v>
      </c>
      <c r="Q684" s="823">
        <v>46082</v>
      </c>
      <c r="R684" s="566" t="s">
        <v>318</v>
      </c>
      <c r="S684" s="49"/>
      <c r="T684" s="49"/>
      <c r="U684" s="49"/>
      <c r="V684" s="49"/>
      <c r="W684" s="256"/>
      <c r="X684" s="49"/>
      <c r="Y684" s="49"/>
      <c r="Z684" s="49"/>
      <c r="AA684" s="49"/>
      <c r="AB684" s="49"/>
      <c r="AC684" s="49"/>
      <c r="AD684" s="91"/>
      <c r="AE684" s="91"/>
      <c r="AF684" s="91"/>
      <c r="AG684" s="91"/>
    </row>
    <row r="685" spans="1:33">
      <c r="A685" s="534"/>
      <c r="B685" s="534">
        <v>683</v>
      </c>
      <c r="C685" s="534">
        <v>523458</v>
      </c>
      <c r="D685" s="534">
        <v>40017144</v>
      </c>
      <c r="E685" s="50" t="s">
        <v>2940</v>
      </c>
      <c r="F685" s="534">
        <v>48</v>
      </c>
      <c r="G685" s="49" t="s">
        <v>2941</v>
      </c>
      <c r="H685" s="49" t="s">
        <v>271</v>
      </c>
      <c r="I685" s="534">
        <v>951319291</v>
      </c>
      <c r="J685" s="49" t="s">
        <v>1804</v>
      </c>
      <c r="K685" s="534" t="s">
        <v>2864</v>
      </c>
      <c r="L685" s="259" t="s">
        <v>584</v>
      </c>
      <c r="M685" s="576" t="s">
        <v>260</v>
      </c>
      <c r="N685" s="251" t="s">
        <v>241</v>
      </c>
      <c r="O685" s="441">
        <v>46090</v>
      </c>
      <c r="P685" s="617" t="s">
        <v>1812</v>
      </c>
      <c r="Q685" s="471" t="s">
        <v>358</v>
      </c>
      <c r="R685" s="566"/>
      <c r="S685" s="49"/>
      <c r="T685" s="49"/>
      <c r="U685" s="49"/>
      <c r="V685" s="49"/>
      <c r="W685" s="256"/>
      <c r="X685" s="49"/>
      <c r="Y685" s="49"/>
      <c r="Z685" s="49"/>
      <c r="AA685" s="49"/>
      <c r="AB685" s="49"/>
      <c r="AC685" s="49"/>
      <c r="AD685" s="91"/>
      <c r="AE685" s="91"/>
      <c r="AF685" s="91"/>
      <c r="AG685" s="91"/>
    </row>
    <row r="686" spans="1:33">
      <c r="A686" s="534"/>
      <c r="B686" s="534">
        <v>684</v>
      </c>
      <c r="C686" s="534">
        <v>269972</v>
      </c>
      <c r="D686" s="534">
        <v>42560226</v>
      </c>
      <c r="E686" s="50" t="s">
        <v>2942</v>
      </c>
      <c r="F686" s="534">
        <v>53</v>
      </c>
      <c r="G686" s="49" t="s">
        <v>2943</v>
      </c>
      <c r="H686" s="49" t="s">
        <v>237</v>
      </c>
      <c r="I686" s="534">
        <v>918390972</v>
      </c>
      <c r="J686" s="49" t="s">
        <v>429</v>
      </c>
      <c r="K686" s="535">
        <v>46079</v>
      </c>
      <c r="L686" s="49" t="s">
        <v>1156</v>
      </c>
      <c r="M686" s="576" t="s">
        <v>230</v>
      </c>
      <c r="N686" s="251" t="s">
        <v>241</v>
      </c>
      <c r="O686" s="437">
        <v>46101</v>
      </c>
      <c r="P686" s="617" t="s">
        <v>2227</v>
      </c>
      <c r="Q686" s="471" t="s">
        <v>358</v>
      </c>
      <c r="R686" s="566"/>
      <c r="S686" s="49"/>
      <c r="T686" s="49"/>
      <c r="U686" s="49"/>
      <c r="V686" s="49"/>
      <c r="W686" s="256"/>
      <c r="X686" s="49"/>
      <c r="Y686" s="49"/>
      <c r="Z686" s="49"/>
      <c r="AA686" s="49"/>
      <c r="AB686" s="49"/>
      <c r="AC686" s="49"/>
      <c r="AD686" s="91"/>
      <c r="AE686" s="91"/>
      <c r="AF686" s="91"/>
      <c r="AG686" s="91"/>
    </row>
    <row r="687" spans="1:33">
      <c r="A687" s="534"/>
      <c r="B687" s="534">
        <v>685</v>
      </c>
      <c r="C687" s="534">
        <v>234598</v>
      </c>
      <c r="D687" s="534">
        <v>44724101</v>
      </c>
      <c r="E687" s="50" t="s">
        <v>2944</v>
      </c>
      <c r="F687" s="534">
        <v>40</v>
      </c>
      <c r="G687" s="49" t="s">
        <v>2945</v>
      </c>
      <c r="H687" s="49" t="s">
        <v>278</v>
      </c>
      <c r="I687" s="534">
        <v>957893800</v>
      </c>
      <c r="J687" s="49" t="s">
        <v>384</v>
      </c>
      <c r="K687" s="535">
        <v>46079</v>
      </c>
      <c r="L687" s="49" t="s">
        <v>2946</v>
      </c>
      <c r="M687" s="576" t="s">
        <v>260</v>
      </c>
      <c r="N687" s="251" t="s">
        <v>241</v>
      </c>
      <c r="O687" s="462">
        <v>46093</v>
      </c>
      <c r="P687" s="617"/>
      <c r="Q687" s="802">
        <v>46082</v>
      </c>
      <c r="R687" s="808">
        <v>46082</v>
      </c>
      <c r="S687" s="49"/>
      <c r="T687" s="49"/>
      <c r="U687" s="49"/>
      <c r="V687" s="49"/>
      <c r="W687" s="256"/>
      <c r="X687" s="49"/>
      <c r="Y687" s="49"/>
      <c r="Z687" s="49"/>
      <c r="AA687" s="49"/>
      <c r="AB687" s="49"/>
      <c r="AC687" s="49"/>
      <c r="AD687" s="91"/>
      <c r="AE687" s="91"/>
      <c r="AF687" s="91"/>
      <c r="AG687" s="91"/>
    </row>
    <row r="688" spans="1:33">
      <c r="A688" s="560"/>
      <c r="B688" s="534">
        <v>686</v>
      </c>
      <c r="C688" s="560">
        <v>129839</v>
      </c>
      <c r="D688" s="560">
        <v>42635226</v>
      </c>
      <c r="E688" s="433" t="s">
        <v>2947</v>
      </c>
      <c r="F688" s="560">
        <v>41</v>
      </c>
      <c r="G688" s="259" t="s">
        <v>2948</v>
      </c>
      <c r="H688" s="259" t="s">
        <v>301</v>
      </c>
      <c r="I688" s="560">
        <v>997285162</v>
      </c>
      <c r="J688" s="259" t="s">
        <v>380</v>
      </c>
      <c r="K688" s="605">
        <v>46079</v>
      </c>
      <c r="L688" s="259" t="s">
        <v>584</v>
      </c>
      <c r="M688" s="576" t="s">
        <v>230</v>
      </c>
      <c r="N688" s="251" t="s">
        <v>241</v>
      </c>
      <c r="O688" s="456">
        <v>46093</v>
      </c>
      <c r="P688" s="617" t="s">
        <v>1873</v>
      </c>
      <c r="Q688" s="835" t="s">
        <v>447</v>
      </c>
      <c r="R688" s="566"/>
      <c r="S688" s="49"/>
      <c r="T688" s="49"/>
      <c r="U688" s="49"/>
      <c r="V688" s="49"/>
      <c r="W688" s="467"/>
      <c r="X688" s="259"/>
      <c r="Y688" s="259"/>
      <c r="Z688" s="259"/>
      <c r="AA688" s="259"/>
      <c r="AB688" s="259"/>
      <c r="AC688" s="259"/>
      <c r="AD688" s="91"/>
      <c r="AE688" s="91"/>
      <c r="AF688" s="91"/>
      <c r="AG688" s="91"/>
    </row>
    <row r="689" spans="1:33">
      <c r="A689" s="534"/>
      <c r="B689" s="534">
        <v>687</v>
      </c>
      <c r="C689" s="534">
        <v>523459</v>
      </c>
      <c r="D689" s="534">
        <v>46829789</v>
      </c>
      <c r="E689" s="50" t="s">
        <v>2949</v>
      </c>
      <c r="F689" s="534">
        <v>45</v>
      </c>
      <c r="G689" s="49" t="s">
        <v>2950</v>
      </c>
      <c r="H689" s="49" t="s">
        <v>271</v>
      </c>
      <c r="I689" s="534">
        <v>945918508</v>
      </c>
      <c r="J689" s="49" t="s">
        <v>164</v>
      </c>
      <c r="K689" s="535">
        <v>46079</v>
      </c>
      <c r="L689" s="248" t="s">
        <v>576</v>
      </c>
      <c r="M689" s="534" t="s">
        <v>260</v>
      </c>
      <c r="N689" s="49" t="s">
        <v>241</v>
      </c>
      <c r="O689" s="457">
        <v>46086</v>
      </c>
      <c r="P689" s="626" t="s">
        <v>2588</v>
      </c>
      <c r="Q689" s="471" t="s">
        <v>358</v>
      </c>
      <c r="R689" s="566"/>
      <c r="S689" s="49"/>
      <c r="T689" s="49"/>
      <c r="U689" s="49"/>
      <c r="V689" s="49"/>
      <c r="W689" s="256"/>
      <c r="X689" s="49"/>
      <c r="Y689" s="49"/>
      <c r="Z689" s="49"/>
      <c r="AA689" s="49"/>
      <c r="AB689" s="49"/>
      <c r="AC689" s="49"/>
      <c r="AD689" s="91"/>
      <c r="AE689" s="91"/>
      <c r="AF689" s="91"/>
      <c r="AG689" s="91"/>
    </row>
    <row r="690" spans="1:33">
      <c r="A690" s="533">
        <v>46080</v>
      </c>
      <c r="B690" s="534">
        <v>688</v>
      </c>
      <c r="C690" s="534">
        <v>261851</v>
      </c>
      <c r="D690" s="534">
        <v>15604287</v>
      </c>
      <c r="E690" s="50" t="s">
        <v>2951</v>
      </c>
      <c r="F690" s="534">
        <v>67</v>
      </c>
      <c r="G690" s="49" t="s">
        <v>2952</v>
      </c>
      <c r="H690" s="49" t="s">
        <v>278</v>
      </c>
      <c r="I690" s="534">
        <v>947795578</v>
      </c>
      <c r="J690" s="49" t="s">
        <v>1012</v>
      </c>
      <c r="K690" s="535">
        <v>46080</v>
      </c>
      <c r="L690" s="251" t="s">
        <v>2953</v>
      </c>
      <c r="M690" s="576" t="s">
        <v>230</v>
      </c>
      <c r="N690" s="251" t="s">
        <v>317</v>
      </c>
      <c r="O690" s="456">
        <v>46091</v>
      </c>
      <c r="P690" s="576" t="s">
        <v>2954</v>
      </c>
      <c r="Q690" s="825">
        <v>46082</v>
      </c>
      <c r="R690" s="534" t="s">
        <v>318</v>
      </c>
      <c r="S690" s="49"/>
      <c r="T690" s="49"/>
      <c r="U690" s="49"/>
      <c r="V690" s="49"/>
      <c r="W690" s="251"/>
      <c r="X690" s="251"/>
      <c r="Y690" s="251"/>
      <c r="Z690" s="251"/>
      <c r="AA690" s="251"/>
      <c r="AB690" s="251"/>
      <c r="AC690" s="251"/>
      <c r="AD690" s="91"/>
      <c r="AE690" s="91"/>
      <c r="AF690" s="91"/>
      <c r="AG690" s="91"/>
    </row>
    <row r="691" spans="1:33">
      <c r="A691" s="534"/>
      <c r="B691" s="534">
        <v>689</v>
      </c>
      <c r="C691" s="534">
        <v>170349</v>
      </c>
      <c r="D691" s="534">
        <v>15762644</v>
      </c>
      <c r="E691" s="50" t="s">
        <v>2955</v>
      </c>
      <c r="F691" s="534">
        <v>48</v>
      </c>
      <c r="G691" s="49" t="s">
        <v>2956</v>
      </c>
      <c r="H691" s="49" t="s">
        <v>301</v>
      </c>
      <c r="I691" s="534">
        <v>922116369</v>
      </c>
      <c r="J691" s="49" t="s">
        <v>302</v>
      </c>
      <c r="K691" s="535">
        <v>46080</v>
      </c>
      <c r="L691" s="49" t="s">
        <v>2957</v>
      </c>
      <c r="M691" s="576" t="s">
        <v>230</v>
      </c>
      <c r="N691" s="251" t="s">
        <v>601</v>
      </c>
      <c r="O691" s="448" t="s">
        <v>2958</v>
      </c>
      <c r="P691" s="623" t="s">
        <v>2959</v>
      </c>
      <c r="Q691" s="824" t="s">
        <v>334</v>
      </c>
      <c r="R691" s="566"/>
      <c r="S691" s="49"/>
      <c r="T691" s="49"/>
      <c r="U691" s="49"/>
      <c r="V691" s="49"/>
      <c r="W691" s="256"/>
      <c r="X691" s="49"/>
      <c r="Y691" s="49"/>
      <c r="Z691" s="49"/>
      <c r="AA691" s="49"/>
      <c r="AB691" s="49"/>
      <c r="AC691" s="49"/>
      <c r="AD691" s="91"/>
      <c r="AE691" s="91"/>
      <c r="AF691" s="91"/>
      <c r="AG691" s="91"/>
    </row>
    <row r="692" spans="1:33">
      <c r="A692" s="534"/>
      <c r="B692" s="534">
        <v>690</v>
      </c>
      <c r="C692" s="534">
        <v>275393</v>
      </c>
      <c r="D692" s="534">
        <v>15737062</v>
      </c>
      <c r="E692" s="50" t="s">
        <v>2960</v>
      </c>
      <c r="F692" s="534">
        <v>50</v>
      </c>
      <c r="G692" s="49" t="s">
        <v>2961</v>
      </c>
      <c r="H692" s="49" t="s">
        <v>278</v>
      </c>
      <c r="I692" s="534">
        <v>989627399</v>
      </c>
      <c r="J692" s="49" t="s">
        <v>238</v>
      </c>
      <c r="K692" s="535">
        <v>46080</v>
      </c>
      <c r="L692" s="251" t="s">
        <v>2962</v>
      </c>
      <c r="M692" s="576" t="s">
        <v>230</v>
      </c>
      <c r="N692" s="251" t="s">
        <v>317</v>
      </c>
      <c r="O692" s="457">
        <v>46085</v>
      </c>
      <c r="P692" s="576"/>
      <c r="Q692" s="576" t="s">
        <v>1186</v>
      </c>
      <c r="R692" s="534"/>
      <c r="S692" s="49"/>
      <c r="T692" s="49"/>
      <c r="U692" s="49"/>
      <c r="V692" s="49"/>
      <c r="W692" s="251"/>
      <c r="X692" s="251"/>
      <c r="Y692" s="251"/>
      <c r="Z692" s="251"/>
      <c r="AA692" s="251"/>
      <c r="AB692" s="251"/>
      <c r="AC692" s="251"/>
      <c r="AD692" s="91"/>
      <c r="AE692" s="91"/>
      <c r="AF692" s="91"/>
      <c r="AG692" s="91"/>
    </row>
    <row r="693" spans="1:33">
      <c r="A693" s="534"/>
      <c r="B693" s="534">
        <v>691</v>
      </c>
      <c r="C693" s="534">
        <v>523477</v>
      </c>
      <c r="D693" s="534">
        <v>15992642</v>
      </c>
      <c r="E693" s="50" t="s">
        <v>2963</v>
      </c>
      <c r="F693" s="534">
        <v>50</v>
      </c>
      <c r="G693" s="49" t="s">
        <v>2964</v>
      </c>
      <c r="H693" s="49" t="s">
        <v>271</v>
      </c>
      <c r="I693" s="534">
        <v>999646127</v>
      </c>
      <c r="J693" s="49" t="s">
        <v>164</v>
      </c>
      <c r="K693" s="535">
        <v>46080</v>
      </c>
      <c r="L693" s="113" t="s">
        <v>2965</v>
      </c>
      <c r="M693" s="320" t="s">
        <v>260</v>
      </c>
      <c r="N693" s="49" t="s">
        <v>601</v>
      </c>
      <c r="O693" s="457">
        <v>46086</v>
      </c>
      <c r="P693" s="607" t="s">
        <v>1951</v>
      </c>
      <c r="Q693" s="471" t="s">
        <v>358</v>
      </c>
      <c r="R693" s="566"/>
      <c r="S693" s="49"/>
      <c r="T693" s="49"/>
      <c r="U693" s="49"/>
      <c r="V693" s="49"/>
      <c r="W693" s="256"/>
      <c r="X693" s="49"/>
      <c r="Y693" s="49"/>
      <c r="Z693" s="49"/>
      <c r="AA693" s="49"/>
      <c r="AB693" s="49"/>
      <c r="AC693" s="49"/>
      <c r="AD693" s="91"/>
      <c r="AE693" s="91"/>
      <c r="AF693" s="91"/>
      <c r="AG693" s="91"/>
    </row>
    <row r="694" spans="1:33">
      <c r="A694" s="534"/>
      <c r="B694" s="534">
        <v>692</v>
      </c>
      <c r="C694" s="534">
        <v>83667</v>
      </c>
      <c r="D694" s="534">
        <v>15763819</v>
      </c>
      <c r="E694" s="50" t="s">
        <v>2966</v>
      </c>
      <c r="F694" s="534">
        <v>47</v>
      </c>
      <c r="G694" s="49" t="s">
        <v>2967</v>
      </c>
      <c r="H694" s="49" t="s">
        <v>237</v>
      </c>
      <c r="I694" s="534">
        <v>988459421</v>
      </c>
      <c r="J694" s="49" t="s">
        <v>289</v>
      </c>
      <c r="K694" s="535">
        <v>46080</v>
      </c>
      <c r="L694" s="251" t="s">
        <v>1156</v>
      </c>
      <c r="M694" s="576" t="s">
        <v>260</v>
      </c>
      <c r="N694" s="251" t="s">
        <v>241</v>
      </c>
      <c r="O694" s="463">
        <v>46091</v>
      </c>
      <c r="P694" s="578" t="s">
        <v>2968</v>
      </c>
      <c r="Q694" s="826">
        <v>46082</v>
      </c>
      <c r="R694" s="566" t="s">
        <v>242</v>
      </c>
      <c r="S694" s="49"/>
      <c r="T694" s="49"/>
      <c r="U694" s="49"/>
      <c r="V694" s="49"/>
      <c r="W694" s="251"/>
      <c r="X694" s="251"/>
      <c r="Y694" s="251"/>
      <c r="Z694" s="251"/>
      <c r="AA694" s="251"/>
      <c r="AB694" s="251"/>
      <c r="AC694" s="251"/>
      <c r="AD694" s="91"/>
      <c r="AE694" s="91"/>
      <c r="AF694" s="91"/>
      <c r="AG694" s="91"/>
    </row>
    <row r="695" spans="1:33">
      <c r="A695" s="534"/>
      <c r="B695" s="534">
        <v>693</v>
      </c>
      <c r="C695" s="534">
        <v>130277</v>
      </c>
      <c r="D695" s="534">
        <v>43178132</v>
      </c>
      <c r="E695" s="50" t="s">
        <v>2969</v>
      </c>
      <c r="F695" s="534">
        <v>40</v>
      </c>
      <c r="G695" s="49" t="s">
        <v>2970</v>
      </c>
      <c r="H695" s="49" t="s">
        <v>278</v>
      </c>
      <c r="I695" s="534">
        <v>945080359</v>
      </c>
      <c r="J695" s="49" t="s">
        <v>384</v>
      </c>
      <c r="K695" s="535">
        <v>46080</v>
      </c>
      <c r="L695" s="49" t="s">
        <v>584</v>
      </c>
      <c r="M695" s="576" t="s">
        <v>230</v>
      </c>
      <c r="N695" s="251" t="s">
        <v>241</v>
      </c>
      <c r="O695" s="464">
        <v>46093</v>
      </c>
      <c r="P695" s="617"/>
      <c r="Q695" s="802">
        <v>46082</v>
      </c>
      <c r="R695" s="808">
        <v>46082</v>
      </c>
      <c r="S695" s="49"/>
      <c r="T695" s="49"/>
      <c r="U695" s="49"/>
      <c r="V695" s="49"/>
      <c r="W695" s="256"/>
      <c r="X695" s="49"/>
      <c r="Y695" s="49"/>
      <c r="Z695" s="49"/>
      <c r="AA695" s="49"/>
      <c r="AB695" s="49"/>
      <c r="AC695" s="49"/>
      <c r="AD695" s="91"/>
      <c r="AE695" s="91"/>
      <c r="AF695" s="91"/>
      <c r="AG695" s="91"/>
    </row>
    <row r="696" spans="1:33">
      <c r="A696" s="534"/>
      <c r="B696" s="534">
        <v>694</v>
      </c>
      <c r="C696" s="534">
        <v>413933</v>
      </c>
      <c r="D696" s="534" t="s">
        <v>2971</v>
      </c>
      <c r="E696" s="50" t="s">
        <v>2972</v>
      </c>
      <c r="F696" s="534">
        <v>54</v>
      </c>
      <c r="G696" s="49" t="s">
        <v>2973</v>
      </c>
      <c r="H696" s="49" t="s">
        <v>222</v>
      </c>
      <c r="I696" s="534">
        <v>992047453</v>
      </c>
      <c r="J696" s="49" t="s">
        <v>384</v>
      </c>
      <c r="K696" s="535">
        <v>46080</v>
      </c>
      <c r="L696" s="49" t="s">
        <v>2974</v>
      </c>
      <c r="M696" s="576" t="s">
        <v>260</v>
      </c>
      <c r="N696" s="251" t="s">
        <v>241</v>
      </c>
      <c r="O696" s="464">
        <v>46093</v>
      </c>
      <c r="P696" s="617"/>
      <c r="Q696" s="802">
        <v>46082</v>
      </c>
      <c r="R696" s="808">
        <v>46082</v>
      </c>
      <c r="S696" s="49"/>
      <c r="T696" s="49"/>
      <c r="U696" s="49"/>
      <c r="V696" s="49"/>
      <c r="W696" s="256"/>
      <c r="X696" s="49"/>
      <c r="Y696" s="49"/>
      <c r="Z696" s="49"/>
      <c r="AA696" s="49"/>
      <c r="AB696" s="49"/>
      <c r="AC696" s="49"/>
      <c r="AD696" s="91"/>
      <c r="AE696" s="91"/>
      <c r="AF696" s="91"/>
      <c r="AG696" s="91"/>
    </row>
    <row r="697" spans="1:33">
      <c r="A697" s="534"/>
      <c r="B697" s="534">
        <v>695</v>
      </c>
      <c r="C697" s="534">
        <v>117818</v>
      </c>
      <c r="D697" s="534">
        <v>42159921</v>
      </c>
      <c r="E697" s="50" t="s">
        <v>2975</v>
      </c>
      <c r="F697" s="534">
        <v>42</v>
      </c>
      <c r="G697" s="49" t="s">
        <v>2976</v>
      </c>
      <c r="H697" s="49" t="s">
        <v>237</v>
      </c>
      <c r="I697" s="534">
        <v>957542529</v>
      </c>
      <c r="J697" s="49" t="s">
        <v>384</v>
      </c>
      <c r="K697" s="535">
        <v>46080</v>
      </c>
      <c r="L697" s="49" t="s">
        <v>2977</v>
      </c>
      <c r="M697" s="576" t="s">
        <v>260</v>
      </c>
      <c r="N697" s="251" t="s">
        <v>241</v>
      </c>
      <c r="O697" s="464">
        <v>46093</v>
      </c>
      <c r="P697" s="617"/>
      <c r="Q697" s="802">
        <v>46082</v>
      </c>
      <c r="R697" s="808">
        <v>46082</v>
      </c>
      <c r="S697" s="49"/>
      <c r="T697" s="49"/>
      <c r="U697" s="49"/>
      <c r="V697" s="49"/>
      <c r="W697" s="256"/>
      <c r="X697" s="49"/>
      <c r="Y697" s="49"/>
      <c r="Z697" s="49"/>
      <c r="AA697" s="49"/>
      <c r="AB697" s="49"/>
      <c r="AC697" s="49"/>
      <c r="AD697" s="91"/>
      <c r="AE697" s="91"/>
      <c r="AF697" s="91"/>
      <c r="AG697" s="91"/>
    </row>
    <row r="698" spans="1:33">
      <c r="A698" s="534"/>
      <c r="B698" s="534">
        <v>696</v>
      </c>
      <c r="C698" s="534">
        <v>190582</v>
      </c>
      <c r="D698" s="534">
        <v>15591040</v>
      </c>
      <c r="E698" s="50" t="s">
        <v>2978</v>
      </c>
      <c r="F698" s="534">
        <v>74</v>
      </c>
      <c r="G698" s="49" t="s">
        <v>2979</v>
      </c>
      <c r="H698" s="49" t="s">
        <v>278</v>
      </c>
      <c r="I698" s="534">
        <v>977183545</v>
      </c>
      <c r="J698" s="49" t="s">
        <v>238</v>
      </c>
      <c r="K698" s="535">
        <v>46080</v>
      </c>
      <c r="L698" s="251" t="s">
        <v>1156</v>
      </c>
      <c r="M698" s="534" t="s">
        <v>230</v>
      </c>
      <c r="N698" s="49" t="s">
        <v>241</v>
      </c>
      <c r="O698" s="457">
        <v>46086</v>
      </c>
      <c r="P698" s="576"/>
      <c r="Q698" s="576" t="s">
        <v>2135</v>
      </c>
      <c r="R698" s="534"/>
      <c r="S698" s="49"/>
      <c r="T698" s="49"/>
      <c r="U698" s="49"/>
      <c r="V698" s="49"/>
      <c r="W698" s="251"/>
      <c r="X698" s="251"/>
      <c r="Y698" s="251"/>
      <c r="Z698" s="251"/>
      <c r="AA698" s="251"/>
      <c r="AB698" s="251"/>
      <c r="AC698" s="251"/>
      <c r="AD698" s="91"/>
      <c r="AE698" s="91"/>
      <c r="AF698" s="91"/>
      <c r="AG698" s="91"/>
    </row>
    <row r="699" spans="1:33">
      <c r="A699" s="534"/>
      <c r="B699" s="534">
        <v>697</v>
      </c>
      <c r="C699" s="534">
        <v>52891</v>
      </c>
      <c r="D699" s="534">
        <v>15690200</v>
      </c>
      <c r="E699" s="50" t="s">
        <v>2980</v>
      </c>
      <c r="F699" s="534">
        <v>68</v>
      </c>
      <c r="G699" s="49" t="s">
        <v>2981</v>
      </c>
      <c r="H699" s="49" t="s">
        <v>237</v>
      </c>
      <c r="I699" s="534" t="s">
        <v>1649</v>
      </c>
      <c r="J699" s="49" t="s">
        <v>238</v>
      </c>
      <c r="K699" s="535">
        <v>46080</v>
      </c>
      <c r="L699" s="248" t="s">
        <v>1947</v>
      </c>
      <c r="M699" s="534" t="s">
        <v>230</v>
      </c>
      <c r="N699" s="49" t="s">
        <v>317</v>
      </c>
      <c r="O699" s="457">
        <v>46086</v>
      </c>
      <c r="P699" s="627"/>
      <c r="Q699" s="638"/>
      <c r="R699" s="566"/>
      <c r="S699" s="49"/>
      <c r="T699" s="49"/>
      <c r="U699" s="49"/>
      <c r="V699" s="49"/>
      <c r="W699" s="256"/>
      <c r="X699" s="49"/>
      <c r="Y699" s="49"/>
      <c r="Z699" s="49"/>
      <c r="AA699" s="49"/>
      <c r="AB699" s="49"/>
      <c r="AC699" s="49"/>
      <c r="AD699" s="91"/>
      <c r="AE699" s="91"/>
      <c r="AF699" s="91"/>
      <c r="AG699" s="91"/>
    </row>
    <row r="700" spans="1:33">
      <c r="A700" s="536"/>
      <c r="B700" s="534">
        <v>698</v>
      </c>
      <c r="C700" s="536">
        <v>112034</v>
      </c>
      <c r="D700" s="536">
        <v>41654851</v>
      </c>
      <c r="E700" s="212" t="s">
        <v>2982</v>
      </c>
      <c r="F700" s="536">
        <v>43</v>
      </c>
      <c r="G700" s="59" t="s">
        <v>2983</v>
      </c>
      <c r="H700" s="59" t="s">
        <v>432</v>
      </c>
      <c r="I700" s="536">
        <v>950597919</v>
      </c>
      <c r="J700" s="59" t="s">
        <v>1209</v>
      </c>
      <c r="K700" s="591">
        <v>46080</v>
      </c>
      <c r="L700" s="59" t="s">
        <v>2984</v>
      </c>
      <c r="M700" s="608" t="s">
        <v>323</v>
      </c>
      <c r="N700" s="452" t="s">
        <v>241</v>
      </c>
      <c r="O700" s="462"/>
      <c r="P700" s="891"/>
      <c r="Q700" s="816" t="s">
        <v>334</v>
      </c>
      <c r="R700" s="612"/>
      <c r="S700" s="59"/>
      <c r="T700" s="59"/>
      <c r="U700" s="59"/>
      <c r="V700" s="59"/>
      <c r="W700" s="258"/>
      <c r="X700" s="59"/>
      <c r="Y700" s="59"/>
      <c r="Z700" s="59"/>
      <c r="AA700" s="59"/>
      <c r="AB700" s="59"/>
      <c r="AC700" s="59"/>
      <c r="AD700" s="91"/>
      <c r="AE700" s="91"/>
      <c r="AF700" s="91"/>
      <c r="AG700" s="91"/>
    </row>
    <row r="701" spans="1:33">
      <c r="A701" s="560"/>
      <c r="B701" s="534">
        <v>699</v>
      </c>
      <c r="C701" s="560">
        <v>191910</v>
      </c>
      <c r="D701" s="560" t="s">
        <v>2985</v>
      </c>
      <c r="E701" s="433" t="s">
        <v>2986</v>
      </c>
      <c r="F701" s="560">
        <v>49</v>
      </c>
      <c r="G701" s="259" t="s">
        <v>2987</v>
      </c>
      <c r="H701" s="259" t="s">
        <v>1735</v>
      </c>
      <c r="I701" s="560">
        <v>951279722</v>
      </c>
      <c r="J701" s="259" t="s">
        <v>1364</v>
      </c>
      <c r="K701" s="605">
        <v>46080</v>
      </c>
      <c r="L701" s="886" t="s">
        <v>2988</v>
      </c>
      <c r="M701" s="578" t="s">
        <v>230</v>
      </c>
      <c r="N701" s="49" t="s">
        <v>601</v>
      </c>
      <c r="O701" s="890"/>
      <c r="P701" s="539"/>
      <c r="Q701" s="824" t="s">
        <v>385</v>
      </c>
      <c r="R701" s="566"/>
      <c r="S701" s="49"/>
      <c r="T701" s="49"/>
      <c r="U701" s="49"/>
      <c r="V701" s="49"/>
      <c r="W701" s="467"/>
      <c r="X701" s="259"/>
      <c r="Y701" s="259"/>
      <c r="Z701" s="259"/>
      <c r="AA701" s="259"/>
      <c r="AB701" s="259"/>
      <c r="AC701" s="259"/>
      <c r="AD701" s="91"/>
      <c r="AE701" s="91"/>
      <c r="AF701" s="91"/>
      <c r="AG701" s="91"/>
    </row>
    <row r="702" spans="1:33">
      <c r="A702" s="534"/>
      <c r="B702" s="534">
        <v>700</v>
      </c>
      <c r="C702" s="534">
        <v>523483</v>
      </c>
      <c r="D702" s="534">
        <v>40727040</v>
      </c>
      <c r="E702" s="50" t="s">
        <v>2989</v>
      </c>
      <c r="F702" s="534">
        <v>45</v>
      </c>
      <c r="G702" s="49" t="s">
        <v>2990</v>
      </c>
      <c r="H702" s="49" t="s">
        <v>1581</v>
      </c>
      <c r="I702" s="534">
        <v>932329933</v>
      </c>
      <c r="J702" s="49" t="s">
        <v>1012</v>
      </c>
      <c r="K702" s="535">
        <v>46080</v>
      </c>
      <c r="L702" s="113" t="s">
        <v>2991</v>
      </c>
      <c r="M702" s="578" t="s">
        <v>230</v>
      </c>
      <c r="N702" s="259" t="s">
        <v>601</v>
      </c>
      <c r="O702" s="456">
        <v>46091</v>
      </c>
      <c r="P702" s="576" t="s">
        <v>2954</v>
      </c>
      <c r="Q702" s="825">
        <v>46082</v>
      </c>
      <c r="R702" s="566" t="s">
        <v>242</v>
      </c>
      <c r="S702" s="49"/>
      <c r="T702" s="49"/>
      <c r="U702" s="49"/>
      <c r="V702" s="49"/>
      <c r="W702" s="256"/>
      <c r="X702" s="49"/>
      <c r="Y702" s="49"/>
      <c r="Z702" s="49"/>
      <c r="AA702" s="49"/>
      <c r="AB702" s="49"/>
      <c r="AC702" s="49"/>
      <c r="AD702" s="91"/>
      <c r="AE702" s="91"/>
      <c r="AF702" s="91"/>
      <c r="AG702" s="91"/>
    </row>
    <row r="703" spans="1:33">
      <c r="A703" s="534"/>
      <c r="B703" s="534">
        <v>701</v>
      </c>
      <c r="C703" s="534">
        <v>368750</v>
      </c>
      <c r="D703" s="534">
        <v>15763346</v>
      </c>
      <c r="E703" s="50" t="s">
        <v>2992</v>
      </c>
      <c r="F703" s="534">
        <v>48</v>
      </c>
      <c r="G703" s="49" t="s">
        <v>2993</v>
      </c>
      <c r="H703" s="49" t="s">
        <v>237</v>
      </c>
      <c r="I703" s="534">
        <v>993881246</v>
      </c>
      <c r="J703" s="49" t="s">
        <v>238</v>
      </c>
      <c r="K703" s="535">
        <v>46080</v>
      </c>
      <c r="L703" s="248" t="s">
        <v>747</v>
      </c>
      <c r="M703" s="534" t="s">
        <v>230</v>
      </c>
      <c r="N703" s="49" t="s">
        <v>317</v>
      </c>
      <c r="O703" s="457">
        <v>46086</v>
      </c>
      <c r="P703" s="627"/>
      <c r="Q703" s="627" t="s">
        <v>2834</v>
      </c>
      <c r="R703" s="566"/>
      <c r="S703" s="49"/>
      <c r="T703" s="49"/>
      <c r="U703" s="49"/>
      <c r="V703" s="49"/>
      <c r="W703" s="256"/>
      <c r="X703" s="49"/>
      <c r="Y703" s="49"/>
      <c r="Z703" s="49"/>
      <c r="AA703" s="49"/>
      <c r="AB703" s="49"/>
      <c r="AC703" s="49"/>
      <c r="AD703" s="91"/>
      <c r="AE703" s="91"/>
      <c r="AF703" s="91"/>
      <c r="AG703" s="91"/>
    </row>
    <row r="704" spans="1:33">
      <c r="A704" s="534"/>
      <c r="B704" s="534">
        <v>702</v>
      </c>
      <c r="C704" s="534">
        <v>109282</v>
      </c>
      <c r="D704" s="534">
        <v>41505770</v>
      </c>
      <c r="E704" s="50" t="s">
        <v>2994</v>
      </c>
      <c r="F704" s="534">
        <v>43</v>
      </c>
      <c r="G704" s="49" t="s">
        <v>2995</v>
      </c>
      <c r="H704" s="49" t="s">
        <v>278</v>
      </c>
      <c r="I704" s="534">
        <v>973483560</v>
      </c>
      <c r="J704" s="49" t="s">
        <v>238</v>
      </c>
      <c r="K704" s="535">
        <v>46080</v>
      </c>
      <c r="L704" s="113" t="s">
        <v>2996</v>
      </c>
      <c r="M704" s="320" t="s">
        <v>312</v>
      </c>
      <c r="N704" s="49" t="s">
        <v>601</v>
      </c>
      <c r="O704" s="457">
        <v>46086</v>
      </c>
      <c r="P704" s="627"/>
      <c r="Q704" s="638"/>
      <c r="R704" s="566"/>
      <c r="S704" s="49"/>
      <c r="T704" s="49"/>
      <c r="U704" s="49"/>
      <c r="V704" s="49"/>
      <c r="W704" s="256"/>
      <c r="X704" s="49"/>
      <c r="Y704" s="49"/>
      <c r="Z704" s="49"/>
      <c r="AA704" s="49"/>
      <c r="AB704" s="49"/>
      <c r="AC704" s="49"/>
      <c r="AD704" s="91"/>
      <c r="AE704" s="91"/>
      <c r="AF704" s="91"/>
      <c r="AG704" s="91"/>
    </row>
    <row r="705" spans="1:33">
      <c r="A705" s="534"/>
      <c r="B705" s="534">
        <v>703</v>
      </c>
      <c r="C705" s="534">
        <v>523485</v>
      </c>
      <c r="D705" s="534">
        <v>15962726</v>
      </c>
      <c r="E705" s="50" t="s">
        <v>2997</v>
      </c>
      <c r="F705" s="534">
        <v>59</v>
      </c>
      <c r="G705" s="49" t="s">
        <v>2998</v>
      </c>
      <c r="H705" s="49" t="s">
        <v>461</v>
      </c>
      <c r="I705" s="534">
        <v>972227574</v>
      </c>
      <c r="J705" s="49" t="s">
        <v>162</v>
      </c>
      <c r="K705" s="535">
        <v>46080</v>
      </c>
      <c r="L705" s="113" t="s">
        <v>2991</v>
      </c>
      <c r="M705" s="320" t="s">
        <v>230</v>
      </c>
      <c r="N705" s="49" t="s">
        <v>601</v>
      </c>
      <c r="O705" s="457">
        <v>46086</v>
      </c>
      <c r="P705" s="607" t="s">
        <v>1951</v>
      </c>
      <c r="Q705" s="471" t="s">
        <v>358</v>
      </c>
      <c r="R705" s="566"/>
      <c r="S705" s="49"/>
      <c r="T705" s="49"/>
      <c r="U705" s="49"/>
      <c r="V705" s="49"/>
      <c r="W705" s="256"/>
      <c r="X705" s="49"/>
      <c r="Y705" s="49"/>
      <c r="Z705" s="49"/>
      <c r="AA705" s="49"/>
      <c r="AB705" s="49"/>
      <c r="AC705" s="49"/>
      <c r="AD705" s="91"/>
      <c r="AE705" s="91"/>
      <c r="AF705" s="91"/>
      <c r="AG705" s="91"/>
    </row>
    <row r="706" spans="1:33">
      <c r="A706" s="534"/>
      <c r="B706" s="534">
        <v>704</v>
      </c>
      <c r="C706" s="534">
        <v>348671</v>
      </c>
      <c r="D706" s="534">
        <v>16010439</v>
      </c>
      <c r="E706" s="50" t="s">
        <v>2999</v>
      </c>
      <c r="F706" s="534">
        <v>50</v>
      </c>
      <c r="G706" s="49" t="s">
        <v>3000</v>
      </c>
      <c r="H706" s="49" t="s">
        <v>3001</v>
      </c>
      <c r="I706" s="534">
        <v>994076176</v>
      </c>
      <c r="J706" s="49" t="s">
        <v>162</v>
      </c>
      <c r="K706" s="535">
        <v>46080</v>
      </c>
      <c r="L706" s="113" t="s">
        <v>2991</v>
      </c>
      <c r="M706" s="320" t="s">
        <v>230</v>
      </c>
      <c r="N706" s="49" t="s">
        <v>317</v>
      </c>
      <c r="O706" s="457">
        <v>46086</v>
      </c>
      <c r="P706" s="607" t="s">
        <v>1951</v>
      </c>
      <c r="Q706" s="471" t="s">
        <v>358</v>
      </c>
      <c r="R706" s="566"/>
      <c r="S706" s="49"/>
      <c r="T706" s="49"/>
      <c r="U706" s="49"/>
      <c r="V706" s="49"/>
      <c r="W706" s="256"/>
      <c r="X706" s="49"/>
      <c r="Y706" s="49"/>
      <c r="Z706" s="49"/>
      <c r="AA706" s="49"/>
      <c r="AB706" s="49"/>
      <c r="AC706" s="49"/>
      <c r="AD706" s="91"/>
      <c r="AE706" s="91"/>
      <c r="AF706" s="91"/>
      <c r="AG706" s="91"/>
    </row>
    <row r="707" spans="1:33">
      <c r="A707" s="534"/>
      <c r="B707" s="534">
        <v>705</v>
      </c>
      <c r="C707" s="534">
        <v>523486</v>
      </c>
      <c r="D707" s="534">
        <v>15954021</v>
      </c>
      <c r="E707" s="50" t="s">
        <v>3002</v>
      </c>
      <c r="F707" s="534">
        <v>60</v>
      </c>
      <c r="G707" s="49" t="s">
        <v>3003</v>
      </c>
      <c r="H707" s="49" t="s">
        <v>461</v>
      </c>
      <c r="I707" s="534">
        <v>945587445</v>
      </c>
      <c r="J707" s="49" t="s">
        <v>162</v>
      </c>
      <c r="K707" s="535">
        <v>46080</v>
      </c>
      <c r="L707" s="113" t="s">
        <v>3004</v>
      </c>
      <c r="M707" s="320" t="s">
        <v>260</v>
      </c>
      <c r="N707" s="49" t="s">
        <v>601</v>
      </c>
      <c r="O707" s="457">
        <v>46086</v>
      </c>
      <c r="P707" s="607" t="s">
        <v>1951</v>
      </c>
      <c r="Q707" s="471" t="s">
        <v>358</v>
      </c>
      <c r="R707" s="566"/>
      <c r="S707" s="49"/>
      <c r="T707" s="49"/>
      <c r="U707" s="49"/>
      <c r="V707" s="49"/>
      <c r="W707" s="256"/>
      <c r="X707" s="49"/>
      <c r="Y707" s="49"/>
      <c r="Z707" s="49"/>
      <c r="AA707" s="49"/>
      <c r="AB707" s="49"/>
      <c r="AC707" s="49"/>
      <c r="AD707" s="91"/>
      <c r="AE707" s="91"/>
      <c r="AF707" s="91"/>
      <c r="AG707" s="91"/>
    </row>
    <row r="708" spans="1:33">
      <c r="A708" s="534"/>
      <c r="B708" s="534">
        <v>706</v>
      </c>
      <c r="C708" s="534">
        <v>108949</v>
      </c>
      <c r="D708" s="534">
        <v>41787622</v>
      </c>
      <c r="E708" s="50" t="s">
        <v>3005</v>
      </c>
      <c r="F708" s="534">
        <v>43</v>
      </c>
      <c r="G708" s="49" t="s">
        <v>3006</v>
      </c>
      <c r="H708" s="49" t="s">
        <v>278</v>
      </c>
      <c r="I708" s="534">
        <v>940243780</v>
      </c>
      <c r="J708" s="49" t="s">
        <v>238</v>
      </c>
      <c r="K708" s="535">
        <v>46080</v>
      </c>
      <c r="L708" s="113" t="s">
        <v>2991</v>
      </c>
      <c r="M708" s="320" t="s">
        <v>230</v>
      </c>
      <c r="N708" s="49" t="s">
        <v>601</v>
      </c>
      <c r="O708" s="457">
        <v>46086</v>
      </c>
      <c r="P708" s="627"/>
      <c r="Q708" s="627" t="s">
        <v>3007</v>
      </c>
      <c r="R708" s="566"/>
      <c r="S708" s="49"/>
      <c r="T708" s="49"/>
      <c r="U708" s="49"/>
      <c r="V708" s="49"/>
      <c r="W708" s="256"/>
      <c r="X708" s="49"/>
      <c r="Y708" s="49"/>
      <c r="Z708" s="49"/>
      <c r="AA708" s="49"/>
      <c r="AB708" s="49"/>
      <c r="AC708" s="49"/>
      <c r="AD708" s="91"/>
      <c r="AE708" s="91"/>
      <c r="AF708" s="91"/>
      <c r="AG708" s="91"/>
    </row>
    <row r="709" spans="1:33">
      <c r="A709" s="534"/>
      <c r="B709" s="534">
        <v>707</v>
      </c>
      <c r="C709" s="534">
        <v>67222</v>
      </c>
      <c r="D709" s="534">
        <v>15650329</v>
      </c>
      <c r="E709" s="50" t="s">
        <v>3008</v>
      </c>
      <c r="F709" s="534">
        <v>65</v>
      </c>
      <c r="G709" s="49" t="s">
        <v>3009</v>
      </c>
      <c r="H709" s="49" t="s">
        <v>301</v>
      </c>
      <c r="I709" s="534">
        <v>932082496</v>
      </c>
      <c r="J709" s="49" t="s">
        <v>328</v>
      </c>
      <c r="K709" s="535">
        <v>46080</v>
      </c>
      <c r="L709" s="113" t="s">
        <v>2988</v>
      </c>
      <c r="M709" s="578" t="s">
        <v>230</v>
      </c>
      <c r="N709" s="251" t="s">
        <v>317</v>
      </c>
      <c r="O709" s="465">
        <v>46093</v>
      </c>
      <c r="P709" s="621"/>
      <c r="Q709" s="621" t="s">
        <v>3010</v>
      </c>
      <c r="R709" s="566"/>
      <c r="S709" s="49"/>
      <c r="T709" s="49"/>
      <c r="U709" s="49"/>
      <c r="V709" s="49"/>
      <c r="W709" s="256"/>
      <c r="X709" s="49"/>
      <c r="Y709" s="49"/>
      <c r="Z709" s="49"/>
      <c r="AA709" s="49"/>
      <c r="AB709" s="49"/>
      <c r="AC709" s="49"/>
      <c r="AD709" s="91"/>
      <c r="AE709" s="91"/>
      <c r="AF709" s="91"/>
      <c r="AG709" s="91"/>
    </row>
    <row r="710" spans="1:33">
      <c r="A710" s="534"/>
      <c r="B710" s="534">
        <v>708</v>
      </c>
      <c r="C710" s="534">
        <v>267329</v>
      </c>
      <c r="D710" s="534">
        <v>46260712</v>
      </c>
      <c r="E710" s="50" t="s">
        <v>3011</v>
      </c>
      <c r="F710" s="534">
        <v>42</v>
      </c>
      <c r="G710" s="49" t="s">
        <v>3012</v>
      </c>
      <c r="H710" s="49" t="s">
        <v>237</v>
      </c>
      <c r="I710" s="534">
        <v>953251002</v>
      </c>
      <c r="J710" s="49" t="s">
        <v>429</v>
      </c>
      <c r="K710" s="535">
        <v>46080</v>
      </c>
      <c r="L710" s="113" t="s">
        <v>2988</v>
      </c>
      <c r="M710" s="578" t="s">
        <v>230</v>
      </c>
      <c r="N710" s="259" t="s">
        <v>601</v>
      </c>
      <c r="O710" s="437">
        <v>46101</v>
      </c>
      <c r="P710" s="617" t="s">
        <v>2227</v>
      </c>
      <c r="Q710" s="471" t="s">
        <v>358</v>
      </c>
      <c r="R710" s="566"/>
      <c r="S710" s="49"/>
      <c r="T710" s="49"/>
      <c r="U710" s="49"/>
      <c r="V710" s="49"/>
      <c r="W710" s="256"/>
      <c r="X710" s="49"/>
      <c r="Y710" s="49"/>
      <c r="Z710" s="49"/>
      <c r="AA710" s="49"/>
      <c r="AB710" s="49"/>
      <c r="AC710" s="49"/>
      <c r="AD710" s="91"/>
      <c r="AE710" s="91"/>
      <c r="AF710" s="91"/>
      <c r="AG710" s="91"/>
    </row>
    <row r="711" spans="1:33">
      <c r="A711" s="534"/>
      <c r="B711" s="534">
        <v>709</v>
      </c>
      <c r="C711" s="534">
        <v>46756</v>
      </c>
      <c r="D711" s="534">
        <v>15744260</v>
      </c>
      <c r="E711" s="50" t="s">
        <v>3013</v>
      </c>
      <c r="F711" s="534">
        <v>50</v>
      </c>
      <c r="G711" s="49" t="s">
        <v>3014</v>
      </c>
      <c r="H711" s="49" t="s">
        <v>326</v>
      </c>
      <c r="I711" s="534">
        <v>945258211</v>
      </c>
      <c r="J711" s="49" t="s">
        <v>238</v>
      </c>
      <c r="K711" s="535">
        <v>46080</v>
      </c>
      <c r="L711" s="113" t="s">
        <v>2991</v>
      </c>
      <c r="M711" s="320" t="s">
        <v>230</v>
      </c>
      <c r="N711" s="49" t="s">
        <v>317</v>
      </c>
      <c r="O711" s="457">
        <v>46086</v>
      </c>
      <c r="P711" s="627"/>
      <c r="Q711" s="627" t="s">
        <v>1186</v>
      </c>
      <c r="R711" s="566"/>
      <c r="S711" s="49"/>
      <c r="T711" s="49"/>
      <c r="U711" s="49"/>
      <c r="V711" s="49"/>
      <c r="W711" s="256"/>
      <c r="X711" s="49"/>
      <c r="Y711" s="49"/>
      <c r="Z711" s="49"/>
      <c r="AA711" s="49"/>
      <c r="AB711" s="49"/>
      <c r="AC711" s="49"/>
      <c r="AD711" s="91"/>
      <c r="AE711" s="91"/>
      <c r="AF711" s="91"/>
      <c r="AG711" s="91"/>
    </row>
    <row r="712" spans="1:33">
      <c r="A712" s="533" t="s">
        <v>513</v>
      </c>
      <c r="B712" s="534">
        <v>710</v>
      </c>
      <c r="C712" s="534">
        <v>65984</v>
      </c>
      <c r="D712" s="534">
        <v>15690339</v>
      </c>
      <c r="E712" s="50" t="s">
        <v>3015</v>
      </c>
      <c r="F712" s="534">
        <v>66</v>
      </c>
      <c r="G712" s="49" t="s">
        <v>3016</v>
      </c>
      <c r="H712" s="49" t="s">
        <v>237</v>
      </c>
      <c r="I712" s="534">
        <v>936852176</v>
      </c>
      <c r="J712" s="49" t="s">
        <v>742</v>
      </c>
      <c r="K712" s="535">
        <v>46080</v>
      </c>
      <c r="L712" s="49" t="s">
        <v>683</v>
      </c>
      <c r="M712" s="576" t="s">
        <v>312</v>
      </c>
      <c r="N712" s="251" t="s">
        <v>317</v>
      </c>
      <c r="O712" s="456">
        <v>46094</v>
      </c>
      <c r="P712" s="617" t="s">
        <v>2165</v>
      </c>
      <c r="Q712" s="823">
        <v>46082</v>
      </c>
      <c r="R712" s="534" t="s">
        <v>318</v>
      </c>
      <c r="S712" s="49"/>
      <c r="T712" s="49"/>
      <c r="U712" s="49"/>
      <c r="V712" s="49"/>
      <c r="W712" s="256"/>
      <c r="X712" s="49"/>
      <c r="Y712" s="49"/>
      <c r="Z712" s="49"/>
      <c r="AA712" s="49"/>
      <c r="AB712" s="49"/>
      <c r="AC712" s="49"/>
      <c r="AD712" s="91"/>
      <c r="AE712" s="91"/>
      <c r="AF712" s="91"/>
      <c r="AG712" s="91"/>
    </row>
    <row r="713" spans="1:33">
      <c r="A713" s="534"/>
      <c r="B713" s="534">
        <v>711</v>
      </c>
      <c r="C713" s="534">
        <v>268240</v>
      </c>
      <c r="D713" s="534">
        <v>43410362</v>
      </c>
      <c r="E713" s="50" t="s">
        <v>3017</v>
      </c>
      <c r="F713" s="534">
        <v>40</v>
      </c>
      <c r="G713" s="49" t="s">
        <v>3018</v>
      </c>
      <c r="H713" s="49" t="s">
        <v>278</v>
      </c>
      <c r="I713" s="534">
        <v>914717220</v>
      </c>
      <c r="J713" s="49" t="s">
        <v>384</v>
      </c>
      <c r="K713" s="535">
        <v>46080</v>
      </c>
      <c r="L713" s="113" t="s">
        <v>2991</v>
      </c>
      <c r="M713" s="578" t="s">
        <v>230</v>
      </c>
      <c r="N713" s="49" t="s">
        <v>601</v>
      </c>
      <c r="O713" s="464">
        <v>46093</v>
      </c>
      <c r="P713" s="628"/>
      <c r="Q713" s="802">
        <v>46082</v>
      </c>
      <c r="R713" s="808">
        <v>46082</v>
      </c>
      <c r="S713" s="49"/>
      <c r="T713" s="49"/>
      <c r="U713" s="49"/>
      <c r="V713" s="49"/>
      <c r="W713" s="256"/>
      <c r="X713" s="49"/>
      <c r="Y713" s="49"/>
      <c r="Z713" s="49"/>
      <c r="AA713" s="49"/>
      <c r="AB713" s="49"/>
      <c r="AC713" s="49"/>
      <c r="AD713" s="91"/>
      <c r="AE713" s="91"/>
      <c r="AF713" s="91"/>
      <c r="AG713" s="91"/>
    </row>
    <row r="714" spans="1:33">
      <c r="A714" s="534"/>
      <c r="B714" s="534">
        <v>712</v>
      </c>
      <c r="C714" s="534">
        <v>130072</v>
      </c>
      <c r="D714" s="534">
        <v>15726495</v>
      </c>
      <c r="E714" s="50" t="s">
        <v>3019</v>
      </c>
      <c r="F714" s="534">
        <v>53</v>
      </c>
      <c r="G714" s="49" t="s">
        <v>3020</v>
      </c>
      <c r="H714" s="49" t="s">
        <v>222</v>
      </c>
      <c r="I714" s="534">
        <v>994780380</v>
      </c>
      <c r="J714" s="49" t="s">
        <v>223</v>
      </c>
      <c r="K714" s="535">
        <v>46080</v>
      </c>
      <c r="L714" s="113" t="s">
        <v>2991</v>
      </c>
      <c r="M714" s="578" t="s">
        <v>230</v>
      </c>
      <c r="N714" s="259" t="s">
        <v>601</v>
      </c>
      <c r="O714" s="437">
        <v>46093</v>
      </c>
      <c r="P714" s="617" t="s">
        <v>1498</v>
      </c>
      <c r="Q714" s="802">
        <v>46082</v>
      </c>
      <c r="R714" s="534" t="s">
        <v>242</v>
      </c>
      <c r="S714" s="49"/>
      <c r="T714" s="49"/>
      <c r="U714" s="49"/>
      <c r="V714" s="49"/>
      <c r="W714" s="256"/>
      <c r="X714" s="49"/>
      <c r="Y714" s="49"/>
      <c r="Z714" s="49"/>
      <c r="AA714" s="49"/>
      <c r="AB714" s="49"/>
      <c r="AC714" s="49"/>
      <c r="AD714" s="91"/>
      <c r="AE714" s="91"/>
      <c r="AF714" s="91"/>
      <c r="AG714" s="91"/>
    </row>
    <row r="715" spans="1:33">
      <c r="A715" s="534"/>
      <c r="B715" s="534">
        <v>713</v>
      </c>
      <c r="C715" s="534">
        <v>523452</v>
      </c>
      <c r="D715" s="534">
        <v>40906779</v>
      </c>
      <c r="E715" s="50" t="s">
        <v>3021</v>
      </c>
      <c r="F715" s="534">
        <v>44</v>
      </c>
      <c r="G715" s="49" t="s">
        <v>3022</v>
      </c>
      <c r="H715" s="49" t="s">
        <v>326</v>
      </c>
      <c r="I715" s="534">
        <v>936072608</v>
      </c>
      <c r="J715" s="49" t="s">
        <v>238</v>
      </c>
      <c r="K715" s="535">
        <v>46080</v>
      </c>
      <c r="L715" s="113" t="s">
        <v>2991</v>
      </c>
      <c r="M715" s="320" t="s">
        <v>230</v>
      </c>
      <c r="N715" s="49" t="s">
        <v>601</v>
      </c>
      <c r="O715" s="457">
        <v>46086</v>
      </c>
      <c r="P715" s="629"/>
      <c r="Q715" s="629" t="s">
        <v>2834</v>
      </c>
      <c r="R715" s="534"/>
      <c r="S715" s="49"/>
      <c r="T715" s="49"/>
      <c r="U715" s="49"/>
      <c r="V715" s="49"/>
      <c r="W715" s="256"/>
      <c r="X715" s="49"/>
      <c r="Y715" s="49"/>
      <c r="Z715" s="49"/>
      <c r="AA715" s="49"/>
      <c r="AB715" s="49"/>
      <c r="AC715" s="49"/>
      <c r="AD715" s="91"/>
      <c r="AE715" s="91"/>
      <c r="AF715" s="91"/>
      <c r="AG715" s="91"/>
    </row>
    <row r="716" spans="1:33">
      <c r="A716" s="534"/>
      <c r="B716" s="534">
        <v>714</v>
      </c>
      <c r="C716" s="534">
        <v>124891</v>
      </c>
      <c r="D716" s="534">
        <v>15691418</v>
      </c>
      <c r="E716" s="50" t="s">
        <v>3023</v>
      </c>
      <c r="F716" s="534">
        <v>62</v>
      </c>
      <c r="G716" s="49" t="s">
        <v>3024</v>
      </c>
      <c r="H716" s="49" t="s">
        <v>326</v>
      </c>
      <c r="I716" s="534">
        <v>927174372</v>
      </c>
      <c r="J716" s="49" t="s">
        <v>238</v>
      </c>
      <c r="K716" s="535">
        <v>46080</v>
      </c>
      <c r="L716" s="113" t="s">
        <v>3025</v>
      </c>
      <c r="M716" s="320" t="s">
        <v>260</v>
      </c>
      <c r="N716" s="49" t="s">
        <v>601</v>
      </c>
      <c r="O716" s="457">
        <v>46086</v>
      </c>
      <c r="P716" s="629"/>
      <c r="Q716" s="629" t="s">
        <v>3026</v>
      </c>
      <c r="R716" s="534"/>
      <c r="S716" s="49"/>
      <c r="T716" s="49"/>
      <c r="U716" s="49"/>
      <c r="V716" s="49"/>
      <c r="W716" s="256"/>
      <c r="X716" s="49"/>
      <c r="Y716" s="49"/>
      <c r="Z716" s="49"/>
      <c r="AA716" s="49"/>
      <c r="AB716" s="49"/>
      <c r="AC716" s="49"/>
      <c r="AD716" s="91"/>
      <c r="AE716" s="91"/>
      <c r="AF716" s="91"/>
      <c r="AG716" s="91"/>
    </row>
    <row r="717" spans="1:33">
      <c r="A717" s="534"/>
      <c r="B717" s="534">
        <v>715</v>
      </c>
      <c r="C717" s="534">
        <v>65984</v>
      </c>
      <c r="D717" s="534">
        <v>44501541</v>
      </c>
      <c r="E717" s="50" t="s">
        <v>3027</v>
      </c>
      <c r="F717" s="534">
        <v>43</v>
      </c>
      <c r="G717" s="49" t="s">
        <v>3028</v>
      </c>
      <c r="H717" s="49" t="s">
        <v>326</v>
      </c>
      <c r="I717" s="534">
        <v>953244846</v>
      </c>
      <c r="J717" s="49" t="s">
        <v>375</v>
      </c>
      <c r="K717" s="535">
        <v>46080</v>
      </c>
      <c r="L717" s="113" t="s">
        <v>3029</v>
      </c>
      <c r="M717" s="578" t="s">
        <v>260</v>
      </c>
      <c r="N717" s="260" t="s">
        <v>601</v>
      </c>
      <c r="O717" s="453">
        <v>46094</v>
      </c>
      <c r="P717" s="628" t="s">
        <v>3030</v>
      </c>
      <c r="Q717" s="826">
        <v>46082</v>
      </c>
      <c r="R717" s="566" t="s">
        <v>242</v>
      </c>
      <c r="S717" s="49"/>
      <c r="T717" s="49"/>
      <c r="U717" s="49"/>
      <c r="V717" s="49"/>
      <c r="W717" s="256"/>
      <c r="X717" s="49"/>
      <c r="Y717" s="49"/>
      <c r="Z717" s="49"/>
      <c r="AA717" s="49"/>
      <c r="AB717" s="49"/>
      <c r="AC717" s="49"/>
      <c r="AD717" s="91"/>
      <c r="AE717" s="91"/>
      <c r="AF717" s="91"/>
      <c r="AG717" s="91"/>
    </row>
    <row r="718" spans="1:33">
      <c r="A718" s="534"/>
      <c r="B718" s="534">
        <v>716</v>
      </c>
      <c r="C718" s="534">
        <v>153680</v>
      </c>
      <c r="D718" s="534">
        <v>15720237</v>
      </c>
      <c r="E718" s="50" t="s">
        <v>3031</v>
      </c>
      <c r="F718" s="534">
        <v>56</v>
      </c>
      <c r="G718" s="49" t="s">
        <v>3032</v>
      </c>
      <c r="H718" s="49" t="s">
        <v>3033</v>
      </c>
      <c r="I718" s="534">
        <v>933186566</v>
      </c>
      <c r="J718" s="49" t="s">
        <v>827</v>
      </c>
      <c r="K718" s="535">
        <v>46080</v>
      </c>
      <c r="L718" s="886" t="s">
        <v>2991</v>
      </c>
      <c r="M718" s="578" t="s">
        <v>230</v>
      </c>
      <c r="N718" s="49" t="s">
        <v>601</v>
      </c>
      <c r="O718" s="437">
        <v>46104</v>
      </c>
      <c r="P718" s="546" t="s">
        <v>1798</v>
      </c>
      <c r="Q718" s="802">
        <v>46082</v>
      </c>
      <c r="R718" s="534" t="s">
        <v>242</v>
      </c>
      <c r="S718" s="49"/>
      <c r="T718" s="49"/>
      <c r="U718" s="49"/>
      <c r="V718" s="49"/>
      <c r="W718" s="256"/>
      <c r="X718" s="49"/>
      <c r="Y718" s="49"/>
      <c r="Z718" s="49"/>
      <c r="AA718" s="49"/>
      <c r="AB718" s="49"/>
      <c r="AC718" s="49"/>
      <c r="AD718" s="91"/>
      <c r="AE718" s="91"/>
      <c r="AF718" s="91"/>
      <c r="AG718" s="91"/>
    </row>
    <row r="719" spans="1:33">
      <c r="A719" s="534"/>
      <c r="B719" s="534">
        <v>717</v>
      </c>
      <c r="C719" s="534">
        <v>109701</v>
      </c>
      <c r="D719" s="534">
        <v>41072198</v>
      </c>
      <c r="E719" s="50" t="s">
        <v>3034</v>
      </c>
      <c r="F719" s="534">
        <v>44</v>
      </c>
      <c r="G719" s="49" t="s">
        <v>3035</v>
      </c>
      <c r="H719" s="49" t="s">
        <v>278</v>
      </c>
      <c r="I719" s="534">
        <v>998846612</v>
      </c>
      <c r="J719" s="49" t="s">
        <v>384</v>
      </c>
      <c r="K719" s="535">
        <v>46080</v>
      </c>
      <c r="L719" s="113" t="s">
        <v>2988</v>
      </c>
      <c r="M719" s="578" t="s">
        <v>230</v>
      </c>
      <c r="N719" s="259" t="s">
        <v>601</v>
      </c>
      <c r="O719" s="464">
        <v>46093</v>
      </c>
      <c r="P719" s="628"/>
      <c r="Q719" s="802">
        <v>46082</v>
      </c>
      <c r="R719" s="808">
        <v>46082</v>
      </c>
      <c r="S719" s="49"/>
      <c r="T719" s="49"/>
      <c r="U719" s="49"/>
      <c r="V719" s="49"/>
      <c r="W719" s="256"/>
      <c r="X719" s="49"/>
      <c r="Y719" s="49"/>
      <c r="Z719" s="49"/>
      <c r="AA719" s="49"/>
      <c r="AB719" s="49"/>
      <c r="AC719" s="49"/>
      <c r="AD719" s="91"/>
      <c r="AE719" s="91"/>
      <c r="AF719" s="91"/>
      <c r="AG719" s="91"/>
    </row>
    <row r="720" spans="1:33">
      <c r="A720" s="534"/>
      <c r="B720" s="534">
        <v>718</v>
      </c>
      <c r="C720" s="534">
        <v>515269</v>
      </c>
      <c r="D720" s="534">
        <v>41938482</v>
      </c>
      <c r="E720" s="50" t="s">
        <v>3036</v>
      </c>
      <c r="F720" s="588">
        <v>46</v>
      </c>
      <c r="G720" s="49" t="s">
        <v>3037</v>
      </c>
      <c r="H720" s="49" t="s">
        <v>246</v>
      </c>
      <c r="I720" s="534">
        <v>913546533</v>
      </c>
      <c r="J720" s="49" t="s">
        <v>162</v>
      </c>
      <c r="K720" s="535">
        <v>46080</v>
      </c>
      <c r="L720" s="113" t="s">
        <v>2988</v>
      </c>
      <c r="M720" s="320" t="s">
        <v>230</v>
      </c>
      <c r="N720" s="49" t="s">
        <v>601</v>
      </c>
      <c r="O720" s="457">
        <v>46086</v>
      </c>
      <c r="P720" s="607" t="s">
        <v>1951</v>
      </c>
      <c r="Q720" s="471" t="s">
        <v>358</v>
      </c>
      <c r="R720" s="534"/>
      <c r="S720" s="49"/>
      <c r="T720" s="49"/>
      <c r="U720" s="49"/>
      <c r="V720" s="49"/>
      <c r="W720" s="256"/>
      <c r="X720" s="49"/>
      <c r="Y720" s="49"/>
      <c r="Z720" s="49"/>
      <c r="AA720" s="49"/>
      <c r="AB720" s="49"/>
      <c r="AC720" s="49"/>
      <c r="AD720" s="91"/>
      <c r="AE720" s="91"/>
      <c r="AF720" s="91"/>
      <c r="AG720" s="91"/>
    </row>
    <row r="721" spans="1:33">
      <c r="A721" s="534"/>
      <c r="B721" s="534">
        <v>719</v>
      </c>
      <c r="C721" s="534">
        <v>28912</v>
      </c>
      <c r="D721" s="534">
        <v>15757013</v>
      </c>
      <c r="E721" s="50" t="s">
        <v>3038</v>
      </c>
      <c r="F721" s="534">
        <v>58</v>
      </c>
      <c r="G721" s="49" t="s">
        <v>3039</v>
      </c>
      <c r="H721" s="49" t="s">
        <v>237</v>
      </c>
      <c r="I721" s="534">
        <v>966186554</v>
      </c>
      <c r="J721" s="49" t="s">
        <v>238</v>
      </c>
      <c r="K721" s="535">
        <v>46080</v>
      </c>
      <c r="L721" s="113" t="s">
        <v>3040</v>
      </c>
      <c r="M721" s="320" t="s">
        <v>260</v>
      </c>
      <c r="N721" s="49" t="s">
        <v>601</v>
      </c>
      <c r="O721" s="457">
        <v>46086</v>
      </c>
      <c r="P721" s="576"/>
      <c r="Q721" s="158"/>
      <c r="R721" s="534"/>
      <c r="S721" s="49"/>
      <c r="T721" s="49"/>
      <c r="U721" s="49"/>
      <c r="V721" s="49"/>
      <c r="W721" s="251"/>
      <c r="X721" s="251"/>
      <c r="Y721" s="251"/>
      <c r="Z721" s="251"/>
      <c r="AA721" s="251"/>
      <c r="AB721" s="251"/>
      <c r="AC721" s="251"/>
      <c r="AD721" s="91"/>
      <c r="AE721" s="91"/>
      <c r="AF721" s="91"/>
      <c r="AG721" s="91"/>
    </row>
    <row r="722" spans="1:33">
      <c r="A722" s="534"/>
      <c r="B722" s="534">
        <v>720</v>
      </c>
      <c r="C722" s="534">
        <v>81917</v>
      </c>
      <c r="D722" s="534">
        <v>15717614</v>
      </c>
      <c r="E722" s="50" t="s">
        <v>3041</v>
      </c>
      <c r="F722" s="534">
        <v>65</v>
      </c>
      <c r="G722" s="49" t="s">
        <v>3042</v>
      </c>
      <c r="H722" s="49" t="s">
        <v>326</v>
      </c>
      <c r="I722" s="534">
        <v>987631340</v>
      </c>
      <c r="J722" s="49" t="s">
        <v>375</v>
      </c>
      <c r="K722" s="535">
        <v>46080</v>
      </c>
      <c r="L722" s="886" t="s">
        <v>3043</v>
      </c>
      <c r="M722" s="578" t="s">
        <v>230</v>
      </c>
      <c r="N722" s="251" t="s">
        <v>317</v>
      </c>
      <c r="O722" s="453">
        <v>46094</v>
      </c>
      <c r="P722" s="628" t="s">
        <v>3030</v>
      </c>
      <c r="Q722" s="807">
        <v>46082</v>
      </c>
      <c r="R722" s="566" t="s">
        <v>318</v>
      </c>
      <c r="S722" s="49"/>
      <c r="T722" s="49"/>
      <c r="U722" s="49"/>
      <c r="V722" s="49"/>
      <c r="W722" s="256"/>
      <c r="X722" s="49"/>
      <c r="Y722" s="49"/>
      <c r="Z722" s="49"/>
      <c r="AA722" s="49"/>
      <c r="AB722" s="49"/>
      <c r="AC722" s="49"/>
      <c r="AD722" s="91"/>
      <c r="AE722" s="91"/>
      <c r="AF722" s="91"/>
      <c r="AG722" s="91"/>
    </row>
    <row r="723" spans="1:33">
      <c r="A723" s="554">
        <v>46081</v>
      </c>
      <c r="B723" s="534">
        <v>721</v>
      </c>
      <c r="C723" s="536">
        <v>146649</v>
      </c>
      <c r="D723" s="536">
        <v>15616230</v>
      </c>
      <c r="E723" s="212" t="s">
        <v>3044</v>
      </c>
      <c r="F723" s="536">
        <v>58</v>
      </c>
      <c r="G723" s="59" t="s">
        <v>3045</v>
      </c>
      <c r="H723" s="59" t="s">
        <v>278</v>
      </c>
      <c r="I723" s="536">
        <v>997296615</v>
      </c>
      <c r="J723" s="59" t="s">
        <v>238</v>
      </c>
      <c r="K723" s="591">
        <v>46081</v>
      </c>
      <c r="L723" s="249" t="s">
        <v>3046</v>
      </c>
      <c r="M723" s="536" t="s">
        <v>323</v>
      </c>
      <c r="N723" s="59" t="s">
        <v>601</v>
      </c>
      <c r="O723" s="457">
        <v>46086</v>
      </c>
      <c r="P723" s="630"/>
      <c r="Q723" s="630" t="s">
        <v>2244</v>
      </c>
      <c r="R723" s="612"/>
      <c r="S723" s="59"/>
      <c r="T723" s="59"/>
      <c r="U723" s="59"/>
      <c r="V723" s="59"/>
      <c r="W723" s="258"/>
      <c r="X723" s="59"/>
      <c r="Y723" s="59"/>
      <c r="Z723" s="59"/>
      <c r="AA723" s="59"/>
      <c r="AB723" s="59"/>
      <c r="AC723" s="59"/>
      <c r="AD723" s="91"/>
      <c r="AE723" s="91"/>
      <c r="AF723" s="91"/>
      <c r="AG723" s="91"/>
    </row>
    <row r="724" spans="1:33">
      <c r="A724" s="534"/>
      <c r="B724" s="534">
        <v>722</v>
      </c>
      <c r="C724" s="534">
        <v>523504</v>
      </c>
      <c r="D724" s="534">
        <v>40461761</v>
      </c>
      <c r="E724" s="50" t="s">
        <v>3047</v>
      </c>
      <c r="F724" s="534">
        <v>46</v>
      </c>
      <c r="G724" s="49" t="s">
        <v>3048</v>
      </c>
      <c r="H724" s="49" t="s">
        <v>461</v>
      </c>
      <c r="I724" s="534">
        <v>938117255</v>
      </c>
      <c r="J724" s="49" t="s">
        <v>162</v>
      </c>
      <c r="K724" s="535">
        <v>46081</v>
      </c>
      <c r="L724" s="49" t="s">
        <v>3049</v>
      </c>
      <c r="M724" s="611" t="s">
        <v>260</v>
      </c>
      <c r="N724" s="888" t="s">
        <v>601</v>
      </c>
      <c r="O724" s="457">
        <v>46086</v>
      </c>
      <c r="P724" s="607" t="s">
        <v>1951</v>
      </c>
      <c r="Q724" s="471" t="s">
        <v>358</v>
      </c>
      <c r="R724" s="566"/>
      <c r="S724" s="49"/>
      <c r="T724" s="49"/>
      <c r="U724" s="49"/>
      <c r="V724" s="49"/>
      <c r="W724" s="256"/>
      <c r="X724" s="49"/>
      <c r="Y724" s="49"/>
      <c r="Z724" s="49"/>
      <c r="AA724" s="49"/>
      <c r="AB724" s="49"/>
      <c r="AC724" s="49"/>
      <c r="AD724" s="91"/>
      <c r="AE724" s="91"/>
      <c r="AF724" s="91"/>
      <c r="AG724" s="91"/>
    </row>
    <row r="725" spans="1:33">
      <c r="A725" s="534"/>
      <c r="B725" s="534">
        <v>723</v>
      </c>
      <c r="C725" s="534">
        <v>16570</v>
      </c>
      <c r="D725" s="534">
        <v>15758101</v>
      </c>
      <c r="E725" s="50" t="s">
        <v>3050</v>
      </c>
      <c r="F725" s="534">
        <v>59</v>
      </c>
      <c r="G725" s="49" t="s">
        <v>3051</v>
      </c>
      <c r="H725" s="49" t="s">
        <v>222</v>
      </c>
      <c r="I725" s="534">
        <v>986214481</v>
      </c>
      <c r="J725" s="49" t="s">
        <v>223</v>
      </c>
      <c r="K725" s="535">
        <v>46081</v>
      </c>
      <c r="L725" s="251" t="s">
        <v>3052</v>
      </c>
      <c r="M725" s="534" t="s">
        <v>312</v>
      </c>
      <c r="N725" s="49" t="s">
        <v>601</v>
      </c>
      <c r="O725" s="437">
        <v>46093</v>
      </c>
      <c r="P725" s="617" t="s">
        <v>1498</v>
      </c>
      <c r="Q725" s="802">
        <v>46082</v>
      </c>
      <c r="R725" s="534" t="s">
        <v>242</v>
      </c>
      <c r="S725" s="49"/>
      <c r="T725" s="49"/>
      <c r="U725" s="49"/>
      <c r="V725" s="49"/>
      <c r="W725" s="251"/>
      <c r="X725" s="251"/>
      <c r="Y725" s="251"/>
      <c r="Z725" s="251"/>
      <c r="AA725" s="251"/>
      <c r="AB725" s="251"/>
      <c r="AC725" s="251"/>
      <c r="AD725" s="91"/>
      <c r="AE725" s="91"/>
      <c r="AF725" s="91"/>
      <c r="AG725" s="91"/>
    </row>
    <row r="726" spans="1:33">
      <c r="A726" s="534"/>
      <c r="B726" s="534">
        <v>724</v>
      </c>
      <c r="C726" s="534">
        <v>212038</v>
      </c>
      <c r="D726" s="534">
        <v>41577166</v>
      </c>
      <c r="E726" s="50" t="s">
        <v>3053</v>
      </c>
      <c r="F726" s="534">
        <v>43</v>
      </c>
      <c r="G726" s="49" t="s">
        <v>3054</v>
      </c>
      <c r="H726" s="49" t="s">
        <v>278</v>
      </c>
      <c r="I726" s="534">
        <v>950504287</v>
      </c>
      <c r="J726" s="49" t="s">
        <v>238</v>
      </c>
      <c r="K726" s="535">
        <v>46081</v>
      </c>
      <c r="L726" s="251" t="s">
        <v>679</v>
      </c>
      <c r="M726" s="534" t="s">
        <v>230</v>
      </c>
      <c r="N726" s="248" t="s">
        <v>601</v>
      </c>
      <c r="O726" s="457">
        <v>46086</v>
      </c>
      <c r="P726" s="576"/>
      <c r="Q726" s="638"/>
      <c r="R726" s="534"/>
      <c r="S726" s="49"/>
      <c r="T726" s="49"/>
      <c r="U726" s="49"/>
      <c r="V726" s="49"/>
      <c r="W726" s="251"/>
      <c r="X726" s="251"/>
      <c r="Y726" s="251"/>
      <c r="Z726" s="251"/>
      <c r="AA726" s="251"/>
      <c r="AB726" s="251"/>
      <c r="AC726" s="251"/>
      <c r="AD726" s="91"/>
      <c r="AE726" s="91"/>
      <c r="AF726" s="91"/>
      <c r="AG726" s="91"/>
    </row>
    <row r="727" spans="1:33">
      <c r="A727" s="534"/>
      <c r="B727" s="534">
        <v>725</v>
      </c>
      <c r="C727" s="534">
        <v>120915</v>
      </c>
      <c r="D727" s="534">
        <v>41267955</v>
      </c>
      <c r="E727" s="50" t="s">
        <v>3055</v>
      </c>
      <c r="F727" s="534">
        <v>43</v>
      </c>
      <c r="G727" s="49" t="s">
        <v>3056</v>
      </c>
      <c r="H727" s="49" t="s">
        <v>278</v>
      </c>
      <c r="I727" s="534">
        <v>947248910</v>
      </c>
      <c r="J727" s="49" t="s">
        <v>238</v>
      </c>
      <c r="K727" s="535">
        <v>46081</v>
      </c>
      <c r="L727" s="251" t="s">
        <v>1458</v>
      </c>
      <c r="M727" s="534" t="s">
        <v>230</v>
      </c>
      <c r="N727" s="248" t="s">
        <v>601</v>
      </c>
      <c r="O727" s="457">
        <v>46086</v>
      </c>
      <c r="P727" s="576"/>
      <c r="Q727" s="638"/>
      <c r="R727" s="534"/>
      <c r="S727" s="49"/>
      <c r="T727" s="49"/>
      <c r="U727" s="49"/>
      <c r="V727" s="49"/>
      <c r="W727" s="251"/>
      <c r="X727" s="251"/>
      <c r="Y727" s="251"/>
      <c r="Z727" s="251"/>
      <c r="AA727" s="251"/>
      <c r="AB727" s="251"/>
      <c r="AC727" s="251"/>
      <c r="AD727" s="91"/>
      <c r="AE727" s="91"/>
      <c r="AF727" s="91"/>
      <c r="AG727" s="91"/>
    </row>
    <row r="728" spans="1:33">
      <c r="A728" s="534"/>
      <c r="B728" s="534">
        <v>726</v>
      </c>
      <c r="C728" s="534">
        <v>322276</v>
      </c>
      <c r="D728" s="534">
        <v>15588146</v>
      </c>
      <c r="E728" s="50" t="s">
        <v>3057</v>
      </c>
      <c r="F728" s="534">
        <v>59</v>
      </c>
      <c r="G728" s="49" t="s">
        <v>3058</v>
      </c>
      <c r="H728" s="49" t="s">
        <v>278</v>
      </c>
      <c r="I728" s="534">
        <v>987277088</v>
      </c>
      <c r="J728" s="49" t="s">
        <v>238</v>
      </c>
      <c r="K728" s="535">
        <v>46081</v>
      </c>
      <c r="L728" s="251" t="s">
        <v>3059</v>
      </c>
      <c r="M728" s="534" t="s">
        <v>260</v>
      </c>
      <c r="N728" s="248" t="s">
        <v>601</v>
      </c>
      <c r="O728" s="457">
        <v>46086</v>
      </c>
      <c r="P728" s="576"/>
      <c r="Q728" s="638"/>
      <c r="R728" s="534"/>
      <c r="S728" s="49"/>
      <c r="T728" s="49"/>
      <c r="U728" s="49"/>
      <c r="V728" s="49"/>
      <c r="W728" s="251"/>
      <c r="X728" s="251"/>
      <c r="Y728" s="251"/>
      <c r="Z728" s="251"/>
      <c r="AA728" s="251"/>
      <c r="AB728" s="251"/>
      <c r="AC728" s="251"/>
      <c r="AD728" s="91"/>
      <c r="AE728" s="91"/>
      <c r="AF728" s="91"/>
      <c r="AG728" s="91"/>
    </row>
    <row r="729" spans="1:33">
      <c r="A729" s="563"/>
      <c r="B729" s="534">
        <v>727</v>
      </c>
      <c r="C729" s="565">
        <v>139992</v>
      </c>
      <c r="D729" s="534">
        <v>15731631</v>
      </c>
      <c r="E729" s="50" t="s">
        <v>3060</v>
      </c>
      <c r="F729" s="534">
        <v>59</v>
      </c>
      <c r="G729" s="49" t="s">
        <v>3061</v>
      </c>
      <c r="H729" s="49" t="s">
        <v>278</v>
      </c>
      <c r="I729" s="534">
        <v>912803299</v>
      </c>
      <c r="J729" s="49" t="s">
        <v>238</v>
      </c>
      <c r="K729" s="535">
        <v>46081</v>
      </c>
      <c r="L729" s="251" t="s">
        <v>458</v>
      </c>
      <c r="M729" s="534" t="s">
        <v>260</v>
      </c>
      <c r="N729" s="248" t="s">
        <v>601</v>
      </c>
      <c r="O729" s="457">
        <v>46086</v>
      </c>
      <c r="P729" s="576"/>
      <c r="Q729" s="638"/>
      <c r="R729" s="534"/>
      <c r="S729" s="49"/>
      <c r="T729" s="49"/>
      <c r="U729" s="49"/>
      <c r="V729" s="49"/>
      <c r="W729" s="251"/>
      <c r="X729" s="251"/>
      <c r="Y729" s="251"/>
      <c r="Z729" s="251"/>
      <c r="AA729" s="251"/>
      <c r="AB729" s="251"/>
      <c r="AC729" s="251"/>
      <c r="AD729" s="91"/>
      <c r="AE729" s="91"/>
      <c r="AF729" s="91"/>
      <c r="AG729" s="91"/>
    </row>
    <row r="730" spans="1:33">
      <c r="A730" s="534"/>
      <c r="B730" s="534">
        <v>728</v>
      </c>
      <c r="C730" s="534">
        <v>8983</v>
      </c>
      <c r="D730" s="534">
        <v>40869877</v>
      </c>
      <c r="E730" s="50" t="s">
        <v>3062</v>
      </c>
      <c r="F730" s="534">
        <v>44</v>
      </c>
      <c r="G730" s="49" t="s">
        <v>3063</v>
      </c>
      <c r="H730" s="49" t="s">
        <v>278</v>
      </c>
      <c r="I730" s="534">
        <v>980905827</v>
      </c>
      <c r="J730" s="49" t="s">
        <v>429</v>
      </c>
      <c r="K730" s="535">
        <v>46081</v>
      </c>
      <c r="L730" s="251" t="s">
        <v>679</v>
      </c>
      <c r="M730" s="534" t="s">
        <v>230</v>
      </c>
      <c r="N730" s="49" t="s">
        <v>601</v>
      </c>
      <c r="O730" s="437">
        <v>46101</v>
      </c>
      <c r="P730" s="617" t="s">
        <v>2227</v>
      </c>
      <c r="Q730" s="471" t="s">
        <v>358</v>
      </c>
      <c r="R730" s="534"/>
      <c r="S730" s="49"/>
      <c r="T730" s="49"/>
      <c r="U730" s="49"/>
      <c r="V730" s="49"/>
      <c r="W730" s="251"/>
      <c r="X730" s="251"/>
      <c r="Y730" s="251"/>
      <c r="Z730" s="251"/>
      <c r="AA730" s="251"/>
      <c r="AB730" s="251"/>
      <c r="AC730" s="251"/>
      <c r="AD730" s="91"/>
      <c r="AE730" s="91"/>
      <c r="AF730" s="91"/>
      <c r="AG730" s="91"/>
    </row>
    <row r="731" spans="1:33">
      <c r="A731" s="534"/>
      <c r="B731" s="534">
        <v>729</v>
      </c>
      <c r="C731" s="534">
        <v>523507</v>
      </c>
      <c r="D731" s="534">
        <v>41947974</v>
      </c>
      <c r="E731" s="50" t="s">
        <v>3064</v>
      </c>
      <c r="F731" s="534">
        <v>43</v>
      </c>
      <c r="G731" s="49" t="s">
        <v>3065</v>
      </c>
      <c r="H731" s="49" t="s">
        <v>911</v>
      </c>
      <c r="I731" s="534">
        <v>997490062</v>
      </c>
      <c r="J731" s="49" t="s">
        <v>421</v>
      </c>
      <c r="K731" s="535">
        <v>46081</v>
      </c>
      <c r="L731" s="49" t="s">
        <v>3066</v>
      </c>
      <c r="M731" s="534" t="s">
        <v>260</v>
      </c>
      <c r="N731" s="49" t="s">
        <v>601</v>
      </c>
      <c r="O731" s="441">
        <v>46090</v>
      </c>
      <c r="P731" s="617" t="s">
        <v>1602</v>
      </c>
      <c r="Q731" s="471" t="s">
        <v>358</v>
      </c>
      <c r="R731" s="566"/>
      <c r="S731" s="49"/>
      <c r="T731" s="49"/>
      <c r="U731" s="49"/>
      <c r="V731" s="49"/>
      <c r="W731" s="256"/>
      <c r="X731" s="49"/>
      <c r="Y731" s="49"/>
      <c r="Z731" s="49"/>
      <c r="AA731" s="49"/>
      <c r="AB731" s="49"/>
      <c r="AC731" s="49"/>
      <c r="AD731" s="91"/>
      <c r="AE731" s="91"/>
      <c r="AF731" s="91"/>
      <c r="AG731" s="91"/>
    </row>
    <row r="732" spans="1:33">
      <c r="A732" s="534"/>
      <c r="B732" s="534">
        <v>730</v>
      </c>
      <c r="C732" s="534">
        <v>523508</v>
      </c>
      <c r="D732" s="534">
        <v>31658699</v>
      </c>
      <c r="E732" s="50" t="s">
        <v>3067</v>
      </c>
      <c r="F732" s="534">
        <v>57</v>
      </c>
      <c r="G732" s="49" t="s">
        <v>3068</v>
      </c>
      <c r="H732" s="49" t="s">
        <v>246</v>
      </c>
      <c r="I732" s="534">
        <v>947024222</v>
      </c>
      <c r="J732" s="49" t="s">
        <v>579</v>
      </c>
      <c r="K732" s="535">
        <v>46081</v>
      </c>
      <c r="L732" s="251" t="s">
        <v>458</v>
      </c>
      <c r="M732" s="534" t="s">
        <v>260</v>
      </c>
      <c r="N732" s="49" t="s">
        <v>601</v>
      </c>
      <c r="O732" s="456">
        <v>46101</v>
      </c>
      <c r="P732" s="576" t="s">
        <v>2897</v>
      </c>
      <c r="Q732" s="826">
        <v>46082</v>
      </c>
      <c r="R732" s="566" t="s">
        <v>242</v>
      </c>
      <c r="S732" s="49"/>
      <c r="T732" s="49"/>
      <c r="U732" s="49"/>
      <c r="V732" s="49"/>
      <c r="W732" s="251"/>
      <c r="X732" s="251"/>
      <c r="Y732" s="251"/>
      <c r="Z732" s="251"/>
      <c r="AA732" s="251"/>
      <c r="AB732" s="251"/>
      <c r="AC732" s="251"/>
      <c r="AD732" s="91"/>
      <c r="AE732" s="91"/>
      <c r="AF732" s="91"/>
      <c r="AG732" s="91"/>
    </row>
    <row r="733" spans="1:33">
      <c r="A733" s="534"/>
      <c r="B733" s="534">
        <v>731</v>
      </c>
      <c r="C733" s="534">
        <v>457441</v>
      </c>
      <c r="D733" s="534">
        <v>16001399</v>
      </c>
      <c r="E733" s="50" t="s">
        <v>3069</v>
      </c>
      <c r="F733" s="534">
        <v>57</v>
      </c>
      <c r="G733" s="49" t="s">
        <v>3070</v>
      </c>
      <c r="H733" s="49" t="s">
        <v>461</v>
      </c>
      <c r="I733" s="534" t="s">
        <v>3071</v>
      </c>
      <c r="J733" s="49" t="s">
        <v>1601</v>
      </c>
      <c r="K733" s="535">
        <v>46081</v>
      </c>
      <c r="L733" s="49" t="s">
        <v>718</v>
      </c>
      <c r="M733" s="534" t="s">
        <v>312</v>
      </c>
      <c r="N733" s="49" t="s">
        <v>601</v>
      </c>
      <c r="O733" s="441">
        <v>46090</v>
      </c>
      <c r="P733" s="617" t="s">
        <v>1602</v>
      </c>
      <c r="Q733" s="471" t="s">
        <v>358</v>
      </c>
      <c r="R733" s="566"/>
      <c r="S733" s="49"/>
      <c r="T733" s="49"/>
      <c r="U733" s="49"/>
      <c r="V733" s="49"/>
      <c r="W733" s="256"/>
      <c r="X733" s="49"/>
      <c r="Y733" s="49"/>
      <c r="Z733" s="49"/>
      <c r="AA733" s="49"/>
      <c r="AB733" s="49"/>
      <c r="AC733" s="49"/>
      <c r="AD733" s="91"/>
      <c r="AE733" s="91"/>
      <c r="AF733" s="91"/>
      <c r="AG733" s="91"/>
    </row>
    <row r="734" spans="1:33">
      <c r="A734" s="534"/>
      <c r="B734" s="534">
        <v>732</v>
      </c>
      <c r="C734" s="534">
        <v>523509</v>
      </c>
      <c r="D734" s="534">
        <v>40016105</v>
      </c>
      <c r="E734" s="50" t="s">
        <v>3072</v>
      </c>
      <c r="F734" s="534">
        <v>47</v>
      </c>
      <c r="G734" s="49" t="s">
        <v>3073</v>
      </c>
      <c r="H734" s="49" t="s">
        <v>911</v>
      </c>
      <c r="I734" s="534">
        <v>922532304</v>
      </c>
      <c r="J734" s="49" t="s">
        <v>1601</v>
      </c>
      <c r="K734" s="535">
        <v>46081</v>
      </c>
      <c r="L734" s="49" t="s">
        <v>2481</v>
      </c>
      <c r="M734" s="534" t="s">
        <v>230</v>
      </c>
      <c r="N734" s="49" t="s">
        <v>601</v>
      </c>
      <c r="O734" s="441">
        <v>46090</v>
      </c>
      <c r="P734" s="617" t="s">
        <v>1602</v>
      </c>
      <c r="Q734" s="471" t="s">
        <v>358</v>
      </c>
      <c r="R734" s="566"/>
      <c r="S734" s="49"/>
      <c r="T734" s="49"/>
      <c r="U734" s="49"/>
      <c r="V734" s="49"/>
      <c r="W734" s="256"/>
      <c r="X734" s="49"/>
      <c r="Y734" s="49"/>
      <c r="Z734" s="49"/>
      <c r="AA734" s="49"/>
      <c r="AB734" s="49"/>
      <c r="AC734" s="49"/>
      <c r="AD734" s="91"/>
      <c r="AE734" s="91"/>
      <c r="AF734" s="91"/>
      <c r="AG734" s="91"/>
    </row>
    <row r="735" spans="1:33">
      <c r="A735" s="534"/>
      <c r="B735" s="534">
        <v>733</v>
      </c>
      <c r="C735" s="534">
        <v>5235510</v>
      </c>
      <c r="D735" s="534">
        <v>15754338</v>
      </c>
      <c r="E735" s="50" t="s">
        <v>3074</v>
      </c>
      <c r="F735" s="534">
        <v>51</v>
      </c>
      <c r="G735" s="49" t="s">
        <v>3075</v>
      </c>
      <c r="H735" s="49" t="s">
        <v>911</v>
      </c>
      <c r="I735" s="534" t="s">
        <v>3076</v>
      </c>
      <c r="J735" s="49" t="s">
        <v>1601</v>
      </c>
      <c r="K735" s="535">
        <v>46081</v>
      </c>
      <c r="L735" s="49" t="s">
        <v>458</v>
      </c>
      <c r="M735" s="534" t="s">
        <v>260</v>
      </c>
      <c r="N735" s="49" t="s">
        <v>601</v>
      </c>
      <c r="O735" s="441">
        <v>46087</v>
      </c>
      <c r="P735" s="617" t="s">
        <v>1602</v>
      </c>
      <c r="Q735" s="471" t="s">
        <v>358</v>
      </c>
      <c r="R735" s="566"/>
      <c r="S735" s="49"/>
      <c r="T735" s="49"/>
      <c r="U735" s="49"/>
      <c r="V735" s="49"/>
      <c r="W735" s="256"/>
      <c r="X735" s="49"/>
      <c r="Y735" s="49"/>
      <c r="Z735" s="49"/>
      <c r="AA735" s="49"/>
      <c r="AB735" s="49"/>
      <c r="AC735" s="49"/>
      <c r="AD735" s="91"/>
      <c r="AE735" s="91"/>
      <c r="AF735" s="91"/>
      <c r="AG735" s="91"/>
    </row>
    <row r="736" spans="1:33">
      <c r="A736" s="534"/>
      <c r="B736" s="534">
        <v>734</v>
      </c>
      <c r="C736" s="534">
        <v>523511</v>
      </c>
      <c r="D736" s="534">
        <v>43119814</v>
      </c>
      <c r="E736" s="50" t="s">
        <v>3077</v>
      </c>
      <c r="F736" s="534">
        <v>40</v>
      </c>
      <c r="G736" s="49" t="s">
        <v>3078</v>
      </c>
      <c r="H736" s="49" t="s">
        <v>911</v>
      </c>
      <c r="I736" s="534">
        <v>933505441</v>
      </c>
      <c r="J736" s="49" t="s">
        <v>1601</v>
      </c>
      <c r="K736" s="535">
        <v>46081</v>
      </c>
      <c r="L736" s="49" t="s">
        <v>3079</v>
      </c>
      <c r="M736" s="555" t="s">
        <v>260</v>
      </c>
      <c r="N736" s="49" t="s">
        <v>1244</v>
      </c>
      <c r="O736" s="441">
        <v>46087</v>
      </c>
      <c r="P736" s="617" t="s">
        <v>1602</v>
      </c>
      <c r="Q736" s="471" t="s">
        <v>358</v>
      </c>
      <c r="R736" s="566"/>
      <c r="S736" s="49"/>
      <c r="T736" s="49"/>
      <c r="U736" s="49"/>
      <c r="V736" s="49"/>
      <c r="W736" s="256"/>
      <c r="X736" s="49"/>
      <c r="Y736" s="49"/>
      <c r="Z736" s="49"/>
      <c r="AA736" s="49"/>
      <c r="AB736" s="49"/>
      <c r="AC736" s="49"/>
      <c r="AD736" s="91"/>
      <c r="AE736" s="91"/>
      <c r="AF736" s="91"/>
      <c r="AG736" s="91"/>
    </row>
    <row r="737" spans="1:33">
      <c r="A737" s="534"/>
      <c r="B737" s="534">
        <v>735</v>
      </c>
      <c r="C737" s="534">
        <v>272375</v>
      </c>
      <c r="D737" s="534">
        <v>15733616</v>
      </c>
      <c r="E737" s="50" t="s">
        <v>3080</v>
      </c>
      <c r="F737" s="534">
        <v>53</v>
      </c>
      <c r="G737" s="49" t="s">
        <v>3081</v>
      </c>
      <c r="H737" s="49" t="s">
        <v>246</v>
      </c>
      <c r="I737" s="534">
        <v>991359332</v>
      </c>
      <c r="J737" s="49" t="s">
        <v>238</v>
      </c>
      <c r="K737" s="535">
        <v>46081</v>
      </c>
      <c r="L737" s="49" t="s">
        <v>679</v>
      </c>
      <c r="M737" s="534" t="s">
        <v>230</v>
      </c>
      <c r="N737" s="248" t="s">
        <v>601</v>
      </c>
      <c r="O737" s="457">
        <v>46086</v>
      </c>
      <c r="P737" s="627"/>
      <c r="Q737" s="627" t="s">
        <v>2759</v>
      </c>
      <c r="R737" s="566"/>
      <c r="S737" s="49"/>
      <c r="T737" s="49"/>
      <c r="U737" s="49"/>
      <c r="V737" s="49"/>
      <c r="W737" s="256"/>
      <c r="X737" s="49"/>
      <c r="Y737" s="49"/>
      <c r="Z737" s="49"/>
      <c r="AA737" s="49"/>
      <c r="AB737" s="49"/>
      <c r="AC737" s="49"/>
      <c r="AD737" s="91"/>
      <c r="AE737" s="91"/>
      <c r="AF737" s="91"/>
      <c r="AG737" s="91"/>
    </row>
    <row r="738" spans="1:33">
      <c r="A738" s="534"/>
      <c r="B738" s="534">
        <v>736</v>
      </c>
      <c r="C738" s="534">
        <v>162901</v>
      </c>
      <c r="D738" s="534">
        <v>15212532</v>
      </c>
      <c r="E738" s="50" t="s">
        <v>3082</v>
      </c>
      <c r="F738" s="534">
        <v>72</v>
      </c>
      <c r="G738" s="49" t="s">
        <v>3083</v>
      </c>
      <c r="H738" s="49" t="s">
        <v>301</v>
      </c>
      <c r="I738" s="534">
        <v>997788343</v>
      </c>
      <c r="J738" s="49" t="s">
        <v>238</v>
      </c>
      <c r="K738" s="535">
        <v>46081</v>
      </c>
      <c r="L738" s="113" t="s">
        <v>2315</v>
      </c>
      <c r="M738" s="578" t="s">
        <v>312</v>
      </c>
      <c r="N738" s="248" t="s">
        <v>3084</v>
      </c>
      <c r="O738" s="457">
        <v>46086</v>
      </c>
      <c r="P738" s="627"/>
      <c r="Q738" s="627" t="s">
        <v>1438</v>
      </c>
      <c r="R738" s="566"/>
      <c r="S738" s="49"/>
      <c r="T738" s="49"/>
      <c r="U738" s="49"/>
      <c r="V738" s="49"/>
      <c r="W738" s="256"/>
      <c r="X738" s="49"/>
      <c r="Y738" s="49"/>
      <c r="Z738" s="49"/>
      <c r="AA738" s="49"/>
      <c r="AB738" s="49"/>
      <c r="AC738" s="49"/>
      <c r="AD738" s="91"/>
      <c r="AE738" s="91"/>
      <c r="AF738" s="91"/>
      <c r="AG738" s="91"/>
    </row>
    <row r="739" spans="1:33">
      <c r="A739" s="534"/>
      <c r="B739" s="534">
        <v>737</v>
      </c>
      <c r="C739" s="534">
        <v>77569</v>
      </c>
      <c r="D739" s="534">
        <v>80283655</v>
      </c>
      <c r="E739" s="50" t="s">
        <v>3085</v>
      </c>
      <c r="F739" s="534">
        <v>48</v>
      </c>
      <c r="G739" s="49" t="s">
        <v>3086</v>
      </c>
      <c r="H739" s="49" t="s">
        <v>237</v>
      </c>
      <c r="I739" s="534" t="s">
        <v>3087</v>
      </c>
      <c r="J739" s="49" t="s">
        <v>1105</v>
      </c>
      <c r="K739" s="535">
        <v>46081</v>
      </c>
      <c r="L739" s="49" t="s">
        <v>845</v>
      </c>
      <c r="M739" s="534" t="s">
        <v>260</v>
      </c>
      <c r="N739" s="49" t="s">
        <v>601</v>
      </c>
      <c r="O739" s="437">
        <v>46090</v>
      </c>
      <c r="P739" s="617" t="s">
        <v>1478</v>
      </c>
      <c r="Q739" s="826">
        <v>46082</v>
      </c>
      <c r="R739" s="566" t="s">
        <v>242</v>
      </c>
      <c r="S739" s="49"/>
      <c r="T739" s="49"/>
      <c r="U739" s="49"/>
      <c r="V739" s="49"/>
      <c r="W739" s="256"/>
      <c r="X739" s="49"/>
      <c r="Y739" s="49"/>
      <c r="Z739" s="49"/>
      <c r="AA739" s="49"/>
      <c r="AB739" s="49"/>
      <c r="AC739" s="49"/>
      <c r="AD739" s="91"/>
      <c r="AE739" s="91"/>
      <c r="AF739" s="91"/>
      <c r="AG739" s="91"/>
    </row>
    <row r="740" spans="1:33">
      <c r="A740" s="534"/>
      <c r="B740" s="534">
        <v>738</v>
      </c>
      <c r="C740" s="534">
        <v>53917</v>
      </c>
      <c r="D740" s="534">
        <v>15736284</v>
      </c>
      <c r="E740" s="50" t="s">
        <v>3088</v>
      </c>
      <c r="F740" s="534">
        <v>51</v>
      </c>
      <c r="G740" s="49" t="s">
        <v>3089</v>
      </c>
      <c r="H740" s="49" t="s">
        <v>3090</v>
      </c>
      <c r="I740" s="534" t="s">
        <v>3091</v>
      </c>
      <c r="J740" s="49" t="s">
        <v>238</v>
      </c>
      <c r="K740" s="535">
        <v>46081</v>
      </c>
      <c r="L740" s="113" t="s">
        <v>1109</v>
      </c>
      <c r="M740" s="578" t="s">
        <v>260</v>
      </c>
      <c r="N740" s="248" t="s">
        <v>3092</v>
      </c>
      <c r="O740" s="457">
        <v>46086</v>
      </c>
      <c r="P740" s="627"/>
      <c r="Q740" s="638"/>
      <c r="R740" s="566"/>
      <c r="S740" s="49"/>
      <c r="T740" s="49"/>
      <c r="U740" s="49"/>
      <c r="V740" s="49"/>
      <c r="W740" s="256"/>
      <c r="X740" s="49"/>
      <c r="Y740" s="49"/>
      <c r="Z740" s="49"/>
      <c r="AA740" s="49"/>
      <c r="AB740" s="49"/>
      <c r="AC740" s="49"/>
      <c r="AD740" s="91"/>
      <c r="AE740" s="91"/>
      <c r="AF740" s="91"/>
      <c r="AG740" s="91"/>
    </row>
    <row r="741" spans="1:33">
      <c r="A741" s="534"/>
      <c r="B741" s="534">
        <v>739</v>
      </c>
      <c r="C741" s="534">
        <v>135004</v>
      </c>
      <c r="D741" s="534">
        <v>44567578</v>
      </c>
      <c r="E741" s="50" t="s">
        <v>3093</v>
      </c>
      <c r="F741" s="534">
        <v>40</v>
      </c>
      <c r="G741" s="49" t="s">
        <v>3094</v>
      </c>
      <c r="H741" s="49" t="s">
        <v>278</v>
      </c>
      <c r="I741" s="534">
        <v>986146570</v>
      </c>
      <c r="J741" s="49" t="s">
        <v>238</v>
      </c>
      <c r="K741" s="535">
        <v>46081</v>
      </c>
      <c r="L741" s="113" t="s">
        <v>1109</v>
      </c>
      <c r="M741" s="578" t="s">
        <v>260</v>
      </c>
      <c r="N741" s="248" t="s">
        <v>3092</v>
      </c>
      <c r="O741" s="457">
        <v>46086</v>
      </c>
      <c r="P741" s="627"/>
      <c r="Q741" s="638"/>
      <c r="R741" s="566"/>
      <c r="S741" s="49"/>
      <c r="T741" s="49"/>
      <c r="U741" s="49"/>
      <c r="V741" s="49"/>
      <c r="W741" s="256"/>
      <c r="X741" s="49"/>
      <c r="Y741" s="49"/>
      <c r="Z741" s="49"/>
      <c r="AA741" s="49"/>
      <c r="AB741" s="49"/>
      <c r="AC741" s="49"/>
      <c r="AD741" s="91"/>
      <c r="AE741" s="91"/>
      <c r="AF741" s="91"/>
      <c r="AG741" s="91"/>
    </row>
    <row r="742" spans="1:33">
      <c r="A742" s="534"/>
      <c r="B742" s="534">
        <v>740</v>
      </c>
      <c r="C742" s="534">
        <v>523514</v>
      </c>
      <c r="D742" s="534">
        <v>40836675</v>
      </c>
      <c r="E742" s="50" t="s">
        <v>3095</v>
      </c>
      <c r="F742" s="534">
        <v>44</v>
      </c>
      <c r="G742" s="49" t="s">
        <v>3096</v>
      </c>
      <c r="H742" s="49"/>
      <c r="I742" s="534">
        <v>934499751</v>
      </c>
      <c r="J742" s="49" t="s">
        <v>162</v>
      </c>
      <c r="K742" s="535">
        <v>46081</v>
      </c>
      <c r="L742" s="113" t="s">
        <v>1109</v>
      </c>
      <c r="M742" s="578" t="s">
        <v>260</v>
      </c>
      <c r="N742" s="248" t="s">
        <v>3092</v>
      </c>
      <c r="O742" s="457">
        <v>46086</v>
      </c>
      <c r="P742" s="607" t="s">
        <v>1951</v>
      </c>
      <c r="Q742" s="471" t="s">
        <v>358</v>
      </c>
      <c r="R742" s="566"/>
      <c r="S742" s="49"/>
      <c r="T742" s="49"/>
      <c r="U742" s="49"/>
      <c r="V742" s="49"/>
      <c r="W742" s="256"/>
      <c r="X742" s="49"/>
      <c r="Y742" s="49"/>
      <c r="Z742" s="49"/>
      <c r="AA742" s="49"/>
      <c r="AB742" s="49"/>
      <c r="AC742" s="49"/>
      <c r="AD742" s="91"/>
      <c r="AE742" s="91"/>
      <c r="AF742" s="91"/>
      <c r="AG742" s="91"/>
    </row>
    <row r="743" spans="1:33">
      <c r="A743" s="534"/>
      <c r="B743" s="534">
        <v>741</v>
      </c>
      <c r="C743" s="534">
        <v>82126</v>
      </c>
      <c r="D743" s="534">
        <v>15739989</v>
      </c>
      <c r="E743" s="50" t="s">
        <v>3097</v>
      </c>
      <c r="F743" s="534">
        <v>49</v>
      </c>
      <c r="G743" s="49" t="s">
        <v>3098</v>
      </c>
      <c r="H743" s="49" t="s">
        <v>3090</v>
      </c>
      <c r="I743" s="534">
        <v>957891344</v>
      </c>
      <c r="J743" s="49" t="s">
        <v>238</v>
      </c>
      <c r="K743" s="535">
        <v>46081</v>
      </c>
      <c r="L743" s="113" t="s">
        <v>1109</v>
      </c>
      <c r="M743" s="578" t="s">
        <v>260</v>
      </c>
      <c r="N743" s="248" t="s">
        <v>3092</v>
      </c>
      <c r="O743" s="457">
        <v>46086</v>
      </c>
      <c r="P743" s="627"/>
      <c r="Q743" s="638"/>
      <c r="R743" s="566"/>
      <c r="S743" s="49"/>
      <c r="T743" s="49"/>
      <c r="U743" s="49"/>
      <c r="V743" s="49"/>
      <c r="W743" s="256"/>
      <c r="X743" s="49"/>
      <c r="Y743" s="49"/>
      <c r="Z743" s="49"/>
      <c r="AA743" s="49"/>
      <c r="AB743" s="49"/>
      <c r="AC743" s="49"/>
      <c r="AD743" s="91"/>
      <c r="AE743" s="91"/>
      <c r="AF743" s="91"/>
      <c r="AG743" s="91"/>
    </row>
    <row r="744" spans="1:33">
      <c r="A744" s="14"/>
      <c r="B744" s="14"/>
      <c r="C744" s="14"/>
      <c r="D744" s="14"/>
      <c r="F744" s="14"/>
      <c r="G744" s="5"/>
      <c r="H744" s="5"/>
      <c r="I744" s="14"/>
      <c r="J744" s="5"/>
      <c r="K744" s="14"/>
      <c r="L744" s="5"/>
      <c r="M744" s="14"/>
      <c r="N744" s="5"/>
      <c r="O744" s="5"/>
      <c r="P744" s="14"/>
      <c r="Q744" s="14"/>
      <c r="R744" s="14"/>
      <c r="S744" s="5"/>
      <c r="T744" s="5"/>
      <c r="U744" s="5"/>
      <c r="V744" s="5"/>
      <c r="W744" s="5"/>
      <c r="X744" s="5"/>
      <c r="Y744" s="5"/>
      <c r="Z744" s="5"/>
    </row>
    <row r="745" spans="1:33">
      <c r="A745" s="14"/>
      <c r="B745" s="14"/>
      <c r="C745" s="14"/>
      <c r="D745" s="14"/>
      <c r="F745" s="14"/>
      <c r="G745" s="5"/>
      <c r="H745" s="5"/>
      <c r="I745" s="14"/>
      <c r="J745" s="5"/>
      <c r="K745" s="14"/>
      <c r="L745" s="5"/>
      <c r="M745" s="14"/>
      <c r="N745" s="5"/>
      <c r="O745" s="5"/>
      <c r="P745" s="14"/>
      <c r="Q745" s="14"/>
      <c r="R745" s="14"/>
      <c r="S745" s="5"/>
      <c r="T745" s="5"/>
      <c r="U745" s="5"/>
      <c r="V745" s="5"/>
      <c r="W745" s="5"/>
      <c r="X745" s="5"/>
      <c r="Y745" s="5"/>
      <c r="Z745" s="5"/>
    </row>
    <row r="746" spans="1:33">
      <c r="A746" s="14"/>
      <c r="B746" s="14"/>
      <c r="C746" s="14"/>
      <c r="D746" s="14"/>
      <c r="F746" s="14"/>
      <c r="G746" s="5"/>
      <c r="H746" s="5"/>
      <c r="I746" s="14"/>
      <c r="J746" s="5"/>
      <c r="K746" s="14"/>
      <c r="L746" s="5"/>
      <c r="M746" s="14"/>
      <c r="N746" s="5"/>
      <c r="O746" s="5"/>
      <c r="P746" s="14"/>
      <c r="Q746" s="14"/>
      <c r="R746" s="14"/>
      <c r="S746" s="5"/>
      <c r="T746" s="5"/>
      <c r="U746" s="5"/>
      <c r="V746" s="5"/>
      <c r="W746" s="5"/>
      <c r="X746" s="5"/>
      <c r="Y746" s="5"/>
      <c r="Z746" s="5"/>
    </row>
    <row r="747" spans="1:33">
      <c r="A747" s="14"/>
      <c r="B747" s="14"/>
      <c r="C747" s="14"/>
      <c r="D747" s="14"/>
      <c r="F747" s="14"/>
      <c r="G747" s="5"/>
      <c r="H747" s="5"/>
      <c r="I747" s="14"/>
      <c r="J747" s="5"/>
      <c r="K747" s="14"/>
      <c r="L747" s="5"/>
      <c r="M747" s="14"/>
      <c r="N747" s="5"/>
      <c r="O747" s="5"/>
      <c r="P747" s="14"/>
      <c r="Q747" s="14"/>
      <c r="R747" s="14"/>
      <c r="S747" s="5"/>
      <c r="T747" s="5"/>
      <c r="U747" s="5"/>
      <c r="V747" s="5"/>
      <c r="W747" s="5"/>
      <c r="X747" s="5"/>
      <c r="Y747" s="5"/>
      <c r="Z747" s="5"/>
    </row>
    <row r="748" spans="1:33">
      <c r="A748" s="14"/>
      <c r="B748" s="14"/>
      <c r="C748" s="14"/>
      <c r="D748" s="14"/>
      <c r="F748" s="14"/>
      <c r="G748" s="5"/>
      <c r="H748" s="5"/>
      <c r="I748" s="14"/>
      <c r="J748" s="5"/>
      <c r="K748" s="14"/>
      <c r="L748" s="5"/>
      <c r="M748" s="14"/>
      <c r="N748" s="5"/>
      <c r="O748" s="5"/>
      <c r="P748" s="14"/>
      <c r="Q748" s="14"/>
      <c r="R748" s="14"/>
      <c r="S748" s="5"/>
      <c r="T748" s="5"/>
      <c r="U748" s="5"/>
      <c r="V748" s="5"/>
      <c r="W748" s="5"/>
      <c r="X748" s="5"/>
      <c r="Y748" s="5"/>
      <c r="Z748" s="5"/>
    </row>
    <row r="749" spans="1:33">
      <c r="A749" s="14"/>
      <c r="B749" s="14"/>
      <c r="C749" s="14"/>
      <c r="D749" s="14"/>
      <c r="F749" s="14"/>
      <c r="G749" s="5"/>
      <c r="H749" s="5"/>
      <c r="I749" s="14"/>
      <c r="J749" s="5"/>
      <c r="K749" s="14"/>
      <c r="L749" s="5"/>
      <c r="M749" s="14"/>
      <c r="N749" s="5"/>
      <c r="O749" s="5"/>
      <c r="P749" s="14"/>
      <c r="Q749" s="14"/>
      <c r="R749" s="14"/>
      <c r="S749" s="5"/>
      <c r="T749" s="5"/>
      <c r="U749" s="5"/>
      <c r="V749" s="5"/>
      <c r="W749" s="5"/>
      <c r="X749" s="5"/>
      <c r="Y749" s="5"/>
      <c r="Z749" s="5"/>
    </row>
    <row r="750" spans="1:33">
      <c r="A750" s="14"/>
      <c r="B750" s="14"/>
      <c r="C750" s="14"/>
      <c r="D750" s="14"/>
      <c r="F750" s="14"/>
      <c r="G750" s="5"/>
      <c r="H750" s="5"/>
      <c r="I750" s="14"/>
      <c r="J750" s="5"/>
      <c r="K750" s="14"/>
      <c r="L750" s="5"/>
      <c r="M750" s="14"/>
      <c r="N750" s="5"/>
      <c r="O750" s="5"/>
      <c r="P750" s="14"/>
      <c r="Q750" s="14"/>
      <c r="R750" s="14"/>
      <c r="S750" s="5"/>
      <c r="T750" s="5"/>
      <c r="U750" s="5"/>
      <c r="V750" s="5"/>
      <c r="W750" s="5"/>
      <c r="X750" s="5"/>
      <c r="Y750" s="5"/>
      <c r="Z750" s="5"/>
    </row>
    <row r="751" spans="1:33">
      <c r="A751" s="14"/>
      <c r="B751" s="14"/>
      <c r="C751" s="14"/>
      <c r="D751" s="14"/>
      <c r="F751" s="14"/>
      <c r="G751" s="5"/>
      <c r="H751" s="5"/>
      <c r="I751" s="14"/>
      <c r="J751" s="5"/>
      <c r="K751" s="14"/>
      <c r="L751" s="5"/>
      <c r="M751" s="14"/>
      <c r="N751" s="5"/>
      <c r="O751" s="5"/>
      <c r="P751" s="14"/>
      <c r="Q751" s="14"/>
      <c r="R751" s="14"/>
      <c r="S751" s="5"/>
      <c r="T751" s="5"/>
      <c r="U751" s="5"/>
      <c r="V751" s="5"/>
      <c r="W751" s="5"/>
      <c r="X751" s="5"/>
      <c r="Y751" s="5"/>
      <c r="Z751" s="5"/>
    </row>
    <row r="752" spans="1:33">
      <c r="A752" s="14"/>
      <c r="B752" s="14"/>
      <c r="C752" s="14"/>
      <c r="D752" s="14"/>
      <c r="F752" s="14"/>
      <c r="G752" s="5"/>
      <c r="H752" s="5"/>
      <c r="I752" s="14"/>
      <c r="J752" s="5"/>
      <c r="K752" s="14"/>
      <c r="L752" s="5"/>
      <c r="M752" s="14"/>
      <c r="N752" s="5"/>
      <c r="O752" s="5"/>
      <c r="P752" s="14"/>
      <c r="Q752" s="14"/>
      <c r="R752" s="14"/>
      <c r="S752" s="5"/>
      <c r="T752" s="5"/>
      <c r="U752" s="5"/>
      <c r="V752" s="5"/>
      <c r="W752" s="5"/>
      <c r="X752" s="5"/>
      <c r="Y752" s="5"/>
      <c r="Z752" s="5"/>
    </row>
    <row r="753" spans="1:26">
      <c r="A753" s="14"/>
      <c r="B753" s="14"/>
      <c r="C753" s="14"/>
      <c r="D753" s="14"/>
      <c r="F753" s="14"/>
      <c r="G753" s="5"/>
      <c r="H753" s="5"/>
      <c r="I753" s="14"/>
      <c r="J753" s="5"/>
      <c r="K753" s="14"/>
      <c r="L753" s="5"/>
      <c r="M753" s="14"/>
      <c r="N753" s="5"/>
      <c r="O753" s="5"/>
      <c r="P753" s="14"/>
      <c r="Q753" s="14"/>
      <c r="R753" s="14"/>
      <c r="S753" s="5"/>
      <c r="T753" s="5"/>
      <c r="U753" s="5"/>
      <c r="V753" s="5"/>
      <c r="W753" s="5"/>
      <c r="X753" s="5"/>
      <c r="Y753" s="5"/>
      <c r="Z753" s="5"/>
    </row>
    <row r="754" spans="1:26">
      <c r="A754" s="14"/>
      <c r="B754" s="14"/>
      <c r="C754" s="14"/>
      <c r="D754" s="14"/>
      <c r="F754" s="14"/>
      <c r="G754" s="5"/>
      <c r="H754" s="5"/>
      <c r="I754" s="14"/>
      <c r="J754" s="5"/>
      <c r="K754" s="14"/>
      <c r="L754" s="5"/>
      <c r="M754" s="14"/>
      <c r="N754" s="5"/>
      <c r="O754" s="5"/>
      <c r="P754" s="14"/>
      <c r="Q754" s="14"/>
      <c r="R754" s="14"/>
      <c r="S754" s="5"/>
      <c r="T754" s="5"/>
      <c r="U754" s="5"/>
      <c r="V754" s="5"/>
      <c r="W754" s="5"/>
      <c r="X754" s="5"/>
      <c r="Y754" s="5"/>
      <c r="Z754" s="5"/>
    </row>
    <row r="755" spans="1:26">
      <c r="A755" s="14"/>
      <c r="B755" s="14"/>
      <c r="C755" s="14"/>
      <c r="D755" s="14"/>
      <c r="F755" s="14"/>
      <c r="G755" s="5"/>
      <c r="H755" s="5"/>
      <c r="I755" s="14"/>
      <c r="J755" s="5"/>
      <c r="K755" s="14"/>
      <c r="L755" s="5"/>
      <c r="M755" s="14"/>
      <c r="N755" s="5"/>
      <c r="O755" s="5"/>
      <c r="P755" s="14"/>
      <c r="Q755" s="14"/>
      <c r="R755" s="14"/>
      <c r="S755" s="5"/>
      <c r="T755" s="5"/>
      <c r="U755" s="5"/>
      <c r="V755" s="5"/>
      <c r="W755" s="5"/>
      <c r="X755" s="5"/>
      <c r="Y755" s="5"/>
      <c r="Z755" s="5"/>
    </row>
    <row r="756" spans="1:26">
      <c r="A756" s="14"/>
      <c r="B756" s="14"/>
      <c r="C756" s="14"/>
      <c r="D756" s="14"/>
      <c r="F756" s="14"/>
      <c r="G756" s="5"/>
      <c r="H756" s="5"/>
      <c r="I756" s="14"/>
      <c r="J756" s="5"/>
      <c r="K756" s="14"/>
      <c r="L756" s="5"/>
      <c r="M756" s="14"/>
      <c r="N756" s="5"/>
      <c r="O756" s="5"/>
      <c r="P756" s="14"/>
      <c r="Q756" s="14"/>
      <c r="R756" s="14"/>
      <c r="S756" s="5"/>
      <c r="T756" s="5"/>
      <c r="U756" s="5"/>
      <c r="V756" s="5"/>
      <c r="W756" s="5"/>
      <c r="X756" s="5"/>
      <c r="Y756" s="5"/>
      <c r="Z756" s="5"/>
    </row>
  </sheetData>
  <autoFilter ref="A1:AG743" xr:uid="{2968A2ED-325C-4820-89C1-6CC869521E44}">
    <filterColumn colId="27" showButton="0"/>
    <filterColumn colId="28" showButton="0"/>
  </autoFilter>
  <mergeCells count="30">
    <mergeCell ref="AG1:AG2"/>
    <mergeCell ref="X1:X2"/>
    <mergeCell ref="Y1:Y2"/>
    <mergeCell ref="Z1:Z2"/>
    <mergeCell ref="AB1:AD1"/>
    <mergeCell ref="AE1:AE2"/>
    <mergeCell ref="AF1:AF2"/>
    <mergeCell ref="W1:W2"/>
    <mergeCell ref="J1:J2"/>
    <mergeCell ref="K1:K2"/>
    <mergeCell ref="L1:L2"/>
    <mergeCell ref="M1:M2"/>
    <mergeCell ref="N1:N2"/>
    <mergeCell ref="O1:O2"/>
    <mergeCell ref="R1:R2"/>
    <mergeCell ref="S1:S2"/>
    <mergeCell ref="T1:T2"/>
    <mergeCell ref="U1:U2"/>
    <mergeCell ref="V1:V2"/>
    <mergeCell ref="P1:P2"/>
    <mergeCell ref="Q1:Q2"/>
    <mergeCell ref="F1:F2"/>
    <mergeCell ref="G1:G2"/>
    <mergeCell ref="H1:H2"/>
    <mergeCell ref="I1:I2"/>
    <mergeCell ref="A1:A2"/>
    <mergeCell ref="B1:B2"/>
    <mergeCell ref="C1:C2"/>
    <mergeCell ref="D1:D2"/>
    <mergeCell ref="E1: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4A8D-3907-425E-B52A-32016A1500E4}">
  <dimension ref="A1:AI612"/>
  <sheetViews>
    <sheetView workbookViewId="0">
      <pane xSplit="5" topLeftCell="U1" activePane="topRight" state="frozen"/>
      <selection pane="topRight" activeCell="A439" sqref="A439"/>
    </sheetView>
  </sheetViews>
  <sheetFormatPr defaultRowHeight="15"/>
  <cols>
    <col min="2" max="2" width="4.140625" customWidth="1"/>
    <col min="3" max="3" width="8" customWidth="1"/>
    <col min="4" max="4" width="9.140625" customWidth="1"/>
    <col min="5" max="5" width="30.85546875" style="5" customWidth="1"/>
    <col min="6" max="6" width="5.140625" customWidth="1"/>
    <col min="7" max="7" width="34.85546875" customWidth="1"/>
    <col min="8" max="8" width="18.42578125" customWidth="1"/>
    <col min="10" max="10" width="24.140625" customWidth="1"/>
    <col min="11" max="11" width="10.7109375" customWidth="1"/>
    <col min="12" max="12" width="46.28515625" customWidth="1"/>
    <col min="13" max="13" width="10.28515625" customWidth="1"/>
    <col min="14" max="14" width="25.85546875" customWidth="1"/>
    <col min="15" max="15" width="16.140625" style="5" bestFit="1" customWidth="1"/>
    <col min="16" max="16" width="31" customWidth="1"/>
    <col min="17" max="17" width="14.42578125" customWidth="1"/>
  </cols>
  <sheetData>
    <row r="1" spans="1:35" ht="30.75" customHeight="1">
      <c r="A1" s="1465" t="s">
        <v>186</v>
      </c>
      <c r="B1" s="1476" t="s">
        <v>187</v>
      </c>
      <c r="C1" s="1469" t="s">
        <v>188</v>
      </c>
      <c r="D1" s="1468" t="s">
        <v>189</v>
      </c>
      <c r="E1" s="1463" t="s">
        <v>190</v>
      </c>
      <c r="F1" s="1463" t="s">
        <v>191</v>
      </c>
      <c r="G1" s="1463" t="s">
        <v>192</v>
      </c>
      <c r="H1" s="1463" t="s">
        <v>193</v>
      </c>
      <c r="I1" s="1463" t="s">
        <v>3099</v>
      </c>
      <c r="J1" s="1479" t="s">
        <v>195</v>
      </c>
      <c r="K1" s="1481" t="s">
        <v>196</v>
      </c>
      <c r="L1" s="1463" t="s">
        <v>197</v>
      </c>
      <c r="M1" s="1463" t="s">
        <v>198</v>
      </c>
      <c r="N1" s="1463" t="s">
        <v>199</v>
      </c>
      <c r="O1" s="1460" t="s">
        <v>200</v>
      </c>
      <c r="P1" s="1458" t="s">
        <v>201</v>
      </c>
      <c r="Q1" s="1458" t="s">
        <v>202</v>
      </c>
      <c r="R1" s="1460" t="s">
        <v>203</v>
      </c>
      <c r="S1" s="1460" t="s">
        <v>204</v>
      </c>
      <c r="T1" s="1458" t="s">
        <v>205</v>
      </c>
      <c r="U1" s="1458" t="s">
        <v>206</v>
      </c>
      <c r="V1" s="1458" t="s">
        <v>207</v>
      </c>
      <c r="W1" s="1458" t="s">
        <v>208</v>
      </c>
      <c r="X1" s="1458" t="s">
        <v>205</v>
      </c>
      <c r="Y1" s="1458" t="s">
        <v>206</v>
      </c>
      <c r="Z1" s="1460" t="s">
        <v>200</v>
      </c>
      <c r="AA1" s="1402" t="s">
        <v>3100</v>
      </c>
      <c r="AB1" s="1402" t="s">
        <v>209</v>
      </c>
      <c r="AC1" s="470" t="s">
        <v>210</v>
      </c>
      <c r="AD1" s="1461" t="s">
        <v>211</v>
      </c>
      <c r="AE1" s="1461"/>
      <c r="AF1" s="1461"/>
      <c r="AG1" s="1462" t="s">
        <v>212</v>
      </c>
      <c r="AH1" s="1462" t="s">
        <v>213</v>
      </c>
      <c r="AI1" s="1462" t="s">
        <v>214</v>
      </c>
    </row>
    <row r="2" spans="1:35" ht="38.25" customHeight="1">
      <c r="A2" s="1465"/>
      <c r="B2" s="1477"/>
      <c r="C2" s="1472"/>
      <c r="D2" s="1478"/>
      <c r="E2" s="1471"/>
      <c r="F2" s="1471"/>
      <c r="G2" s="1471"/>
      <c r="H2" s="1471"/>
      <c r="I2" s="1471"/>
      <c r="J2" s="1480"/>
      <c r="K2" s="1482"/>
      <c r="L2" s="1471"/>
      <c r="M2" s="1471"/>
      <c r="N2" s="1471"/>
      <c r="O2" s="1458"/>
      <c r="P2" s="1473"/>
      <c r="Q2" s="1473"/>
      <c r="R2" s="1458"/>
      <c r="S2" s="1458"/>
      <c r="T2" s="1473"/>
      <c r="U2" s="1473"/>
      <c r="V2" s="1473"/>
      <c r="W2" s="1473"/>
      <c r="X2" s="1473"/>
      <c r="Y2" s="1473"/>
      <c r="Z2" s="1458"/>
      <c r="AA2" s="1401"/>
      <c r="AB2" s="1401"/>
      <c r="AC2" s="1401" t="s">
        <v>215</v>
      </c>
      <c r="AD2" s="210" t="s">
        <v>216</v>
      </c>
      <c r="AE2" s="210" t="s">
        <v>217</v>
      </c>
      <c r="AF2" s="1401" t="s">
        <v>218</v>
      </c>
      <c r="AG2" s="1475"/>
      <c r="AH2" s="1475"/>
      <c r="AI2" s="1475"/>
    </row>
    <row r="3" spans="1:35" ht="15" customHeight="1">
      <c r="A3" s="225">
        <v>46083</v>
      </c>
      <c r="B3" s="156">
        <v>1</v>
      </c>
      <c r="C3" s="156">
        <v>523300</v>
      </c>
      <c r="D3" s="156">
        <v>15201838</v>
      </c>
      <c r="E3" s="156" t="s">
        <v>3101</v>
      </c>
      <c r="F3" s="156">
        <v>52</v>
      </c>
      <c r="G3" s="156" t="s">
        <v>3102</v>
      </c>
      <c r="H3" s="156" t="s">
        <v>237</v>
      </c>
      <c r="I3" s="156">
        <v>975185129</v>
      </c>
      <c r="J3" s="352" t="s">
        <v>429</v>
      </c>
      <c r="K3" s="155">
        <v>46083</v>
      </c>
      <c r="L3" s="156" t="s">
        <v>3103</v>
      </c>
      <c r="M3" s="156" t="s">
        <v>3104</v>
      </c>
      <c r="N3" s="426" t="s">
        <v>3105</v>
      </c>
      <c r="O3" s="215">
        <v>46101</v>
      </c>
      <c r="P3" s="50" t="s">
        <v>2227</v>
      </c>
      <c r="Q3" s="875" t="s">
        <v>358</v>
      </c>
      <c r="R3" s="838"/>
      <c r="S3" s="838"/>
      <c r="T3" s="838"/>
      <c r="U3" s="838"/>
      <c r="V3" s="838"/>
      <c r="W3" s="838"/>
      <c r="X3" s="838"/>
      <c r="Y3" s="838"/>
      <c r="Z3" s="838"/>
      <c r="AA3" s="838"/>
      <c r="AB3" s="838"/>
      <c r="AC3" s="838"/>
      <c r="AD3" s="838"/>
      <c r="AE3" s="838"/>
      <c r="AF3" s="838"/>
      <c r="AG3" s="838"/>
      <c r="AH3" s="838"/>
      <c r="AI3" s="838"/>
    </row>
    <row r="4" spans="1:35">
      <c r="A4" s="223"/>
      <c r="B4" s="156">
        <v>2</v>
      </c>
      <c r="C4" s="156">
        <v>178409</v>
      </c>
      <c r="D4" s="156">
        <v>15717625</v>
      </c>
      <c r="E4" s="156" t="s">
        <v>3106</v>
      </c>
      <c r="F4" s="156">
        <v>62</v>
      </c>
      <c r="G4" s="156" t="s">
        <v>3107</v>
      </c>
      <c r="H4" s="156" t="s">
        <v>326</v>
      </c>
      <c r="I4" s="156" t="s">
        <v>3108</v>
      </c>
      <c r="J4" s="352" t="s">
        <v>238</v>
      </c>
      <c r="K4" s="155">
        <v>46083</v>
      </c>
      <c r="L4" s="156" t="s">
        <v>2183</v>
      </c>
      <c r="M4" s="156" t="s">
        <v>230</v>
      </c>
      <c r="N4" s="255" t="s">
        <v>317</v>
      </c>
      <c r="O4" s="155">
        <v>46086</v>
      </c>
      <c r="P4" s="224"/>
      <c r="Q4" s="155"/>
      <c r="R4" s="91"/>
      <c r="S4" s="91"/>
      <c r="T4" s="91"/>
      <c r="U4" s="91"/>
      <c r="V4" s="91"/>
      <c r="W4" s="91"/>
      <c r="X4" s="91"/>
      <c r="Y4" s="91"/>
      <c r="Z4" s="91"/>
      <c r="AA4" s="91"/>
      <c r="AB4" s="91"/>
      <c r="AC4" s="91"/>
      <c r="AD4" s="91"/>
      <c r="AE4" s="91"/>
      <c r="AF4" s="91"/>
      <c r="AG4" s="91"/>
      <c r="AH4" s="91"/>
      <c r="AI4" s="91"/>
    </row>
    <row r="5" spans="1:35">
      <c r="A5" s="224"/>
      <c r="B5" s="156">
        <v>3</v>
      </c>
      <c r="C5" s="156">
        <v>59231</v>
      </c>
      <c r="D5" s="156">
        <v>15655339</v>
      </c>
      <c r="E5" s="156" t="s">
        <v>3109</v>
      </c>
      <c r="F5" s="156">
        <v>67</v>
      </c>
      <c r="G5" s="156" t="s">
        <v>3110</v>
      </c>
      <c r="H5" s="156" t="s">
        <v>301</v>
      </c>
      <c r="I5" s="156">
        <v>941147848</v>
      </c>
      <c r="J5" s="353" t="s">
        <v>302</v>
      </c>
      <c r="K5" s="155">
        <v>46083</v>
      </c>
      <c r="L5" s="156" t="s">
        <v>2194</v>
      </c>
      <c r="M5" s="156" t="s">
        <v>3111</v>
      </c>
      <c r="N5" s="255" t="s">
        <v>317</v>
      </c>
      <c r="O5" s="152" t="s">
        <v>2958</v>
      </c>
      <c r="P5" s="732" t="s">
        <v>2959</v>
      </c>
      <c r="Q5" s="152"/>
      <c r="R5" s="91"/>
      <c r="S5" s="91"/>
      <c r="T5" s="91"/>
      <c r="U5" s="91"/>
      <c r="V5" s="91"/>
      <c r="W5" s="91"/>
      <c r="X5" s="91"/>
      <c r="Y5" s="91"/>
      <c r="Z5" s="91"/>
      <c r="AA5" s="91"/>
      <c r="AB5" s="91"/>
      <c r="AC5" s="91"/>
      <c r="AD5" s="91"/>
      <c r="AE5" s="91"/>
      <c r="AF5" s="91"/>
      <c r="AG5" s="91"/>
      <c r="AH5" s="91"/>
      <c r="AI5" s="91"/>
    </row>
    <row r="6" spans="1:35">
      <c r="A6" s="226"/>
      <c r="B6" s="156">
        <v>4</v>
      </c>
      <c r="C6" s="156">
        <v>166874</v>
      </c>
      <c r="D6" s="156">
        <v>44989498</v>
      </c>
      <c r="E6" s="156" t="s">
        <v>3112</v>
      </c>
      <c r="F6" s="156">
        <v>51</v>
      </c>
      <c r="G6" s="156" t="s">
        <v>3113</v>
      </c>
      <c r="H6" s="156" t="s">
        <v>237</v>
      </c>
      <c r="I6" s="156">
        <v>980915125</v>
      </c>
      <c r="J6" s="353" t="s">
        <v>289</v>
      </c>
      <c r="K6" s="155">
        <v>46083</v>
      </c>
      <c r="L6" s="156" t="s">
        <v>2194</v>
      </c>
      <c r="M6" s="156" t="s">
        <v>3111</v>
      </c>
      <c r="N6" s="255" t="s">
        <v>317</v>
      </c>
      <c r="O6" s="155">
        <v>46091</v>
      </c>
      <c r="P6" s="855" t="s">
        <v>3114</v>
      </c>
      <c r="Q6" s="155"/>
      <c r="R6" s="91"/>
      <c r="S6" s="91"/>
      <c r="T6" s="91"/>
      <c r="U6" s="91"/>
      <c r="V6" s="91"/>
      <c r="W6" s="91"/>
      <c r="X6" s="91"/>
      <c r="Y6" s="91"/>
      <c r="Z6" s="91"/>
      <c r="AA6" s="91"/>
      <c r="AB6" s="91"/>
      <c r="AC6" s="91"/>
      <c r="AD6" s="91"/>
      <c r="AE6" s="91"/>
      <c r="AF6" s="91"/>
      <c r="AG6" s="91"/>
      <c r="AH6" s="91"/>
      <c r="AI6" s="91"/>
    </row>
    <row r="7" spans="1:35">
      <c r="A7" s="224"/>
      <c r="B7" s="156">
        <v>5</v>
      </c>
      <c r="C7" s="156">
        <v>523550</v>
      </c>
      <c r="D7" s="156">
        <v>80149887</v>
      </c>
      <c r="E7" s="156" t="s">
        <v>3115</v>
      </c>
      <c r="F7" s="156">
        <v>47</v>
      </c>
      <c r="G7" s="156" t="s">
        <v>3116</v>
      </c>
      <c r="H7" s="156" t="s">
        <v>1070</v>
      </c>
      <c r="I7" s="156">
        <v>928657911</v>
      </c>
      <c r="J7" s="353" t="s">
        <v>1804</v>
      </c>
      <c r="K7" s="155">
        <v>46083</v>
      </c>
      <c r="L7" s="156" t="s">
        <v>2194</v>
      </c>
      <c r="M7" s="156" t="s">
        <v>230</v>
      </c>
      <c r="N7" s="255" t="s">
        <v>317</v>
      </c>
      <c r="O7" s="155">
        <v>46087</v>
      </c>
      <c r="P7" s="51" t="s">
        <v>1951</v>
      </c>
      <c r="Q7" s="877" t="s">
        <v>358</v>
      </c>
      <c r="R7" s="837"/>
      <c r="S7" s="837"/>
      <c r="T7" s="837"/>
      <c r="U7" s="837"/>
      <c r="V7" s="837"/>
      <c r="W7" s="837"/>
      <c r="X7" s="837"/>
      <c r="Y7" s="837"/>
      <c r="Z7" s="837"/>
      <c r="AA7" s="837"/>
      <c r="AB7" s="837"/>
      <c r="AC7" s="837"/>
      <c r="AD7" s="837"/>
      <c r="AE7" s="837"/>
      <c r="AF7" s="837"/>
      <c r="AG7" s="837"/>
      <c r="AH7" s="837"/>
      <c r="AI7" s="837"/>
    </row>
    <row r="8" spans="1:35">
      <c r="A8" s="224"/>
      <c r="B8" s="156">
        <v>6</v>
      </c>
      <c r="C8" s="156">
        <v>523551</v>
      </c>
      <c r="D8" s="156">
        <v>15944140</v>
      </c>
      <c r="E8" s="156" t="s">
        <v>3117</v>
      </c>
      <c r="F8" s="156">
        <v>62</v>
      </c>
      <c r="G8" s="156" t="s">
        <v>3118</v>
      </c>
      <c r="H8" s="156" t="s">
        <v>1070</v>
      </c>
      <c r="I8" s="156">
        <v>930935338</v>
      </c>
      <c r="J8" s="353" t="s">
        <v>1804</v>
      </c>
      <c r="K8" s="155">
        <v>46083</v>
      </c>
      <c r="L8" s="156" t="s">
        <v>2183</v>
      </c>
      <c r="M8" s="156" t="s">
        <v>230</v>
      </c>
      <c r="N8" s="255" t="s">
        <v>317</v>
      </c>
      <c r="O8" s="155">
        <v>46087</v>
      </c>
      <c r="P8" s="51" t="s">
        <v>1951</v>
      </c>
      <c r="Q8" s="875" t="s">
        <v>358</v>
      </c>
      <c r="R8" s="838"/>
      <c r="S8" s="838"/>
      <c r="T8" s="838"/>
      <c r="U8" s="838"/>
      <c r="V8" s="838"/>
      <c r="W8" s="838"/>
      <c r="X8" s="838"/>
      <c r="Y8" s="838"/>
      <c r="Z8" s="838"/>
      <c r="AA8" s="838"/>
      <c r="AB8" s="838"/>
      <c r="AC8" s="838"/>
      <c r="AD8" s="838"/>
      <c r="AE8" s="838"/>
      <c r="AF8" s="838"/>
      <c r="AG8" s="838"/>
      <c r="AH8" s="838"/>
      <c r="AI8" s="838"/>
    </row>
    <row r="9" spans="1:35" ht="15" customHeight="1">
      <c r="A9" s="224"/>
      <c r="B9" s="156">
        <v>7</v>
      </c>
      <c r="C9" s="156">
        <v>23417</v>
      </c>
      <c r="D9" s="156">
        <v>15733471</v>
      </c>
      <c r="E9" s="156" t="s">
        <v>3119</v>
      </c>
      <c r="F9" s="156">
        <v>53</v>
      </c>
      <c r="G9" s="156" t="s">
        <v>3120</v>
      </c>
      <c r="H9" s="156" t="s">
        <v>237</v>
      </c>
      <c r="I9" s="156">
        <v>955729154</v>
      </c>
      <c r="J9" s="353" t="s">
        <v>289</v>
      </c>
      <c r="K9" s="155">
        <v>46083</v>
      </c>
      <c r="L9" s="156" t="s">
        <v>3121</v>
      </c>
      <c r="M9" s="156" t="s">
        <v>3122</v>
      </c>
      <c r="N9" s="255" t="s">
        <v>3105</v>
      </c>
      <c r="O9" s="155">
        <v>46091</v>
      </c>
      <c r="P9" s="855" t="s">
        <v>3114</v>
      </c>
      <c r="Q9" s="155"/>
      <c r="R9" s="91"/>
      <c r="S9" s="91"/>
      <c r="T9" s="91"/>
      <c r="U9" s="91"/>
      <c r="V9" s="91"/>
      <c r="W9" s="91"/>
      <c r="X9" s="91"/>
      <c r="Y9" s="91"/>
      <c r="Z9" s="91"/>
      <c r="AA9" s="91"/>
      <c r="AB9" s="91"/>
      <c r="AC9" s="91"/>
      <c r="AD9" s="91"/>
      <c r="AE9" s="91"/>
      <c r="AF9" s="91"/>
      <c r="AG9" s="91"/>
      <c r="AH9" s="91"/>
      <c r="AI9" s="91"/>
    </row>
    <row r="10" spans="1:35">
      <c r="A10" s="227" t="s">
        <v>513</v>
      </c>
      <c r="B10" s="156">
        <v>8</v>
      </c>
      <c r="C10" s="156">
        <v>140877</v>
      </c>
      <c r="D10" s="156">
        <v>15739497</v>
      </c>
      <c r="E10" s="156" t="s">
        <v>3123</v>
      </c>
      <c r="F10" s="156">
        <v>54</v>
      </c>
      <c r="G10" s="156" t="s">
        <v>3124</v>
      </c>
      <c r="H10" s="156" t="s">
        <v>278</v>
      </c>
      <c r="I10" s="156">
        <v>950047109</v>
      </c>
      <c r="J10" s="353" t="s">
        <v>384</v>
      </c>
      <c r="K10" s="155">
        <v>46083</v>
      </c>
      <c r="L10" s="156" t="s">
        <v>2194</v>
      </c>
      <c r="M10" s="156" t="s">
        <v>3111</v>
      </c>
      <c r="N10" s="255" t="s">
        <v>317</v>
      </c>
      <c r="O10" s="424">
        <v>46101</v>
      </c>
      <c r="P10" s="224" t="s">
        <v>3125</v>
      </c>
      <c r="Q10" s="43"/>
      <c r="R10" s="91"/>
      <c r="S10" s="91"/>
      <c r="T10" s="91"/>
      <c r="U10" s="91"/>
      <c r="V10" s="91"/>
      <c r="W10" s="91"/>
      <c r="X10" s="91"/>
      <c r="Y10" s="91"/>
      <c r="Z10" s="91"/>
      <c r="AA10" s="91"/>
      <c r="AB10" s="91"/>
      <c r="AC10" s="91"/>
      <c r="AD10" s="91"/>
      <c r="AE10" s="91"/>
      <c r="AF10" s="91"/>
      <c r="AG10" s="91"/>
      <c r="AH10" s="91"/>
      <c r="AI10" s="91"/>
    </row>
    <row r="11" spans="1:35">
      <c r="A11" s="224"/>
      <c r="B11" s="156">
        <v>9</v>
      </c>
      <c r="C11" s="156">
        <v>523575</v>
      </c>
      <c r="D11" s="156">
        <v>16002768</v>
      </c>
      <c r="E11" s="156" t="s">
        <v>3126</v>
      </c>
      <c r="F11" s="156">
        <v>57</v>
      </c>
      <c r="G11" s="156" t="s">
        <v>3127</v>
      </c>
      <c r="H11" s="156" t="s">
        <v>461</v>
      </c>
      <c r="I11" s="156" t="s">
        <v>3128</v>
      </c>
      <c r="J11" s="353" t="s">
        <v>162</v>
      </c>
      <c r="K11" s="155">
        <v>46083</v>
      </c>
      <c r="L11" s="156" t="s">
        <v>2183</v>
      </c>
      <c r="M11" s="156" t="s">
        <v>230</v>
      </c>
      <c r="N11" s="255" t="s">
        <v>317</v>
      </c>
      <c r="O11" s="152">
        <v>46086</v>
      </c>
      <c r="P11" s="51" t="s">
        <v>1951</v>
      </c>
      <c r="Q11" s="877" t="s">
        <v>358</v>
      </c>
      <c r="R11" s="837"/>
      <c r="S11" s="837"/>
      <c r="T11" s="837"/>
      <c r="U11" s="837"/>
      <c r="V11" s="837"/>
      <c r="W11" s="837"/>
      <c r="X11" s="837"/>
      <c r="Y11" s="837"/>
      <c r="Z11" s="837"/>
      <c r="AA11" s="837"/>
      <c r="AB11" s="837"/>
      <c r="AC11" s="837"/>
      <c r="AD11" s="837"/>
      <c r="AE11" s="837"/>
      <c r="AF11" s="837"/>
      <c r="AG11" s="837"/>
      <c r="AH11" s="837"/>
      <c r="AI11" s="837"/>
    </row>
    <row r="12" spans="1:35">
      <c r="A12" s="224"/>
      <c r="B12" s="156">
        <v>10</v>
      </c>
      <c r="C12" s="156">
        <v>523573</v>
      </c>
      <c r="D12" s="156">
        <v>15981852</v>
      </c>
      <c r="E12" s="156" t="s">
        <v>3129</v>
      </c>
      <c r="F12" s="156">
        <v>62</v>
      </c>
      <c r="G12" s="156" t="s">
        <v>3127</v>
      </c>
      <c r="H12" s="156" t="s">
        <v>461</v>
      </c>
      <c r="I12" s="156">
        <v>994068238</v>
      </c>
      <c r="J12" s="353" t="s">
        <v>162</v>
      </c>
      <c r="K12" s="155">
        <v>46083</v>
      </c>
      <c r="L12" s="156" t="s">
        <v>2183</v>
      </c>
      <c r="M12" s="156" t="s">
        <v>230</v>
      </c>
      <c r="N12" s="255" t="s">
        <v>317</v>
      </c>
      <c r="O12" s="152">
        <v>46086</v>
      </c>
      <c r="P12" s="51" t="s">
        <v>1951</v>
      </c>
      <c r="Q12" s="875" t="s">
        <v>358</v>
      </c>
      <c r="R12" s="838"/>
      <c r="S12" s="838"/>
      <c r="T12" s="838"/>
      <c r="U12" s="838"/>
      <c r="V12" s="838"/>
      <c r="W12" s="838"/>
      <c r="X12" s="838"/>
      <c r="Y12" s="838"/>
      <c r="Z12" s="838"/>
      <c r="AA12" s="838"/>
      <c r="AB12" s="838"/>
      <c r="AC12" s="838"/>
      <c r="AD12" s="838"/>
      <c r="AE12" s="838"/>
      <c r="AF12" s="838"/>
      <c r="AG12" s="838"/>
      <c r="AH12" s="838"/>
      <c r="AI12" s="838"/>
    </row>
    <row r="13" spans="1:35">
      <c r="A13" s="224"/>
      <c r="B13" s="156">
        <v>11</v>
      </c>
      <c r="C13" s="156">
        <v>347120</v>
      </c>
      <c r="D13" s="156">
        <v>40967598</v>
      </c>
      <c r="E13" s="156" t="s">
        <v>3130</v>
      </c>
      <c r="F13" s="156">
        <v>44</v>
      </c>
      <c r="G13" s="156" t="s">
        <v>3131</v>
      </c>
      <c r="H13" s="156" t="s">
        <v>301</v>
      </c>
      <c r="I13" s="156" t="s">
        <v>3132</v>
      </c>
      <c r="J13" s="353" t="s">
        <v>238</v>
      </c>
      <c r="K13" s="155">
        <v>46083</v>
      </c>
      <c r="L13" s="156" t="s">
        <v>2183</v>
      </c>
      <c r="M13" s="156" t="s">
        <v>230</v>
      </c>
      <c r="N13" s="255" t="s">
        <v>317</v>
      </c>
      <c r="O13" s="152">
        <v>46086</v>
      </c>
      <c r="P13" s="732"/>
      <c r="Q13" s="152"/>
      <c r="R13" s="91"/>
      <c r="S13" s="91"/>
      <c r="T13" s="91"/>
      <c r="U13" s="91"/>
      <c r="V13" s="91"/>
      <c r="W13" s="91"/>
      <c r="X13" s="91"/>
      <c r="Y13" s="91"/>
      <c r="Z13" s="91"/>
      <c r="AA13" s="91"/>
      <c r="AB13" s="91"/>
      <c r="AC13" s="91"/>
      <c r="AD13" s="91"/>
      <c r="AE13" s="91"/>
      <c r="AF13" s="91"/>
      <c r="AG13" s="91"/>
      <c r="AH13" s="91"/>
      <c r="AI13" s="91"/>
    </row>
    <row r="14" spans="1:35" ht="15" customHeight="1">
      <c r="A14" s="224"/>
      <c r="B14" s="156">
        <v>12</v>
      </c>
      <c r="C14" s="156">
        <v>167605</v>
      </c>
      <c r="D14" s="156">
        <v>115740862</v>
      </c>
      <c r="E14" s="156" t="s">
        <v>3133</v>
      </c>
      <c r="F14" s="156">
        <v>55</v>
      </c>
      <c r="G14" s="156" t="s">
        <v>3134</v>
      </c>
      <c r="H14" s="156" t="s">
        <v>222</v>
      </c>
      <c r="I14" s="156">
        <v>979351867</v>
      </c>
      <c r="J14" s="353" t="s">
        <v>707</v>
      </c>
      <c r="K14" s="155">
        <v>46083</v>
      </c>
      <c r="L14" s="156" t="s">
        <v>1713</v>
      </c>
      <c r="M14" s="156" t="s">
        <v>3111</v>
      </c>
      <c r="N14" s="255" t="s">
        <v>3105</v>
      </c>
      <c r="O14" s="152">
        <v>46101</v>
      </c>
      <c r="P14" s="732" t="s">
        <v>3135</v>
      </c>
      <c r="Q14" s="65"/>
      <c r="R14" s="91"/>
      <c r="S14" s="91"/>
      <c r="T14" s="91"/>
      <c r="U14" s="91"/>
      <c r="V14" s="91"/>
      <c r="W14" s="91"/>
      <c r="X14" s="91"/>
      <c r="Y14" s="91"/>
      <c r="Z14" s="91"/>
      <c r="AA14" s="91"/>
      <c r="AB14" s="91"/>
      <c r="AC14" s="91"/>
      <c r="AD14" s="91"/>
      <c r="AE14" s="91"/>
      <c r="AF14" s="91"/>
      <c r="AG14" s="91"/>
      <c r="AH14" s="91"/>
      <c r="AI14" s="91"/>
    </row>
    <row r="15" spans="1:35">
      <c r="A15" s="228"/>
      <c r="B15" s="156">
        <v>13</v>
      </c>
      <c r="C15" s="156">
        <v>191402</v>
      </c>
      <c r="D15" s="62">
        <v>15740884</v>
      </c>
      <c r="E15" s="62" t="s">
        <v>3136</v>
      </c>
      <c r="F15" s="62">
        <v>67</v>
      </c>
      <c r="G15" s="156" t="s">
        <v>3134</v>
      </c>
      <c r="H15" s="156" t="s">
        <v>222</v>
      </c>
      <c r="I15" s="156">
        <v>990160496</v>
      </c>
      <c r="J15" s="353" t="s">
        <v>707</v>
      </c>
      <c r="K15" s="155">
        <v>46083</v>
      </c>
      <c r="L15" s="156" t="s">
        <v>2194</v>
      </c>
      <c r="M15" s="156" t="s">
        <v>3111</v>
      </c>
      <c r="N15" s="255" t="s">
        <v>317</v>
      </c>
      <c r="O15" s="152">
        <v>46101</v>
      </c>
      <c r="P15" s="732" t="s">
        <v>3135</v>
      </c>
      <c r="Q15" s="156"/>
      <c r="R15" s="91"/>
      <c r="S15" s="91"/>
      <c r="T15" s="91"/>
      <c r="U15" s="91"/>
      <c r="V15" s="91"/>
      <c r="W15" s="91"/>
      <c r="X15" s="91"/>
      <c r="Y15" s="91"/>
      <c r="Z15" s="91"/>
      <c r="AA15" s="91"/>
      <c r="AB15" s="91"/>
      <c r="AC15" s="91"/>
      <c r="AD15" s="91"/>
      <c r="AE15" s="91"/>
      <c r="AF15" s="91"/>
      <c r="AG15" s="91"/>
      <c r="AH15" s="91"/>
      <c r="AI15" s="91"/>
    </row>
    <row r="16" spans="1:35">
      <c r="A16" s="224"/>
      <c r="B16" s="156">
        <v>14</v>
      </c>
      <c r="C16" s="156">
        <v>138810</v>
      </c>
      <c r="D16" s="156" t="s">
        <v>3137</v>
      </c>
      <c r="E16" s="156" t="s">
        <v>3138</v>
      </c>
      <c r="F16" s="156">
        <v>59</v>
      </c>
      <c r="G16" s="156" t="s">
        <v>3139</v>
      </c>
      <c r="H16" s="156" t="s">
        <v>222</v>
      </c>
      <c r="I16" s="156">
        <v>913492150</v>
      </c>
      <c r="J16" s="353" t="s">
        <v>283</v>
      </c>
      <c r="K16" s="155">
        <v>46083</v>
      </c>
      <c r="L16" s="156" t="s">
        <v>2183</v>
      </c>
      <c r="M16" s="156" t="s">
        <v>3111</v>
      </c>
      <c r="N16" s="255" t="s">
        <v>317</v>
      </c>
      <c r="O16" s="215">
        <v>46093</v>
      </c>
      <c r="P16" s="248" t="s">
        <v>1962</v>
      </c>
      <c r="Q16" s="215"/>
      <c r="R16" s="91"/>
      <c r="S16" s="91"/>
      <c r="T16" s="91"/>
      <c r="U16" s="91"/>
      <c r="V16" s="91"/>
      <c r="W16" s="91"/>
      <c r="X16" s="91"/>
      <c r="Y16" s="91"/>
      <c r="Z16" s="91"/>
      <c r="AA16" s="91"/>
      <c r="AB16" s="91"/>
      <c r="AC16" s="91"/>
      <c r="AD16" s="91"/>
      <c r="AE16" s="91"/>
      <c r="AF16" s="91"/>
      <c r="AG16" s="91"/>
      <c r="AH16" s="91"/>
      <c r="AI16" s="91"/>
    </row>
    <row r="17" spans="1:35">
      <c r="A17" s="224"/>
      <c r="B17" s="156">
        <v>15</v>
      </c>
      <c r="C17" s="156">
        <v>398682</v>
      </c>
      <c r="D17" s="156">
        <v>15733566</v>
      </c>
      <c r="E17" s="156" t="s">
        <v>3140</v>
      </c>
      <c r="F17" s="156">
        <v>54</v>
      </c>
      <c r="G17" s="156" t="s">
        <v>3141</v>
      </c>
      <c r="H17" s="156" t="s">
        <v>237</v>
      </c>
      <c r="I17" s="156">
        <v>902182934</v>
      </c>
      <c r="J17" s="353" t="s">
        <v>1105</v>
      </c>
      <c r="K17" s="155">
        <v>46083</v>
      </c>
      <c r="L17" s="156" t="s">
        <v>2194</v>
      </c>
      <c r="M17" s="156" t="s">
        <v>3111</v>
      </c>
      <c r="N17" s="255" t="s">
        <v>317</v>
      </c>
      <c r="O17" s="152">
        <v>46098</v>
      </c>
      <c r="P17" s="732" t="s">
        <v>3142</v>
      </c>
      <c r="Q17" s="65"/>
      <c r="R17" s="91"/>
      <c r="S17" s="91"/>
      <c r="T17" s="91"/>
      <c r="U17" s="91"/>
      <c r="V17" s="91"/>
      <c r="W17" s="91"/>
      <c r="X17" s="91"/>
      <c r="Y17" s="91"/>
      <c r="Z17" s="91"/>
      <c r="AA17" s="91"/>
      <c r="AB17" s="91"/>
      <c r="AC17" s="91"/>
      <c r="AD17" s="91"/>
      <c r="AE17" s="91"/>
      <c r="AF17" s="91"/>
      <c r="AG17" s="91"/>
      <c r="AH17" s="91"/>
      <c r="AI17" s="91"/>
    </row>
    <row r="18" spans="1:35" ht="15" customHeight="1">
      <c r="A18" s="224"/>
      <c r="B18" s="156">
        <v>16</v>
      </c>
      <c r="C18" s="156">
        <v>80911</v>
      </c>
      <c r="D18" s="156">
        <v>15763705</v>
      </c>
      <c r="E18" s="156" t="s">
        <v>3143</v>
      </c>
      <c r="F18" s="156">
        <v>47</v>
      </c>
      <c r="G18" s="156" t="s">
        <v>3144</v>
      </c>
      <c r="H18" s="156" t="s">
        <v>237</v>
      </c>
      <c r="I18" s="156">
        <v>931498653</v>
      </c>
      <c r="J18" s="353" t="s">
        <v>289</v>
      </c>
      <c r="K18" s="155">
        <v>46083</v>
      </c>
      <c r="L18" s="156" t="s">
        <v>2216</v>
      </c>
      <c r="M18" s="156" t="s">
        <v>3111</v>
      </c>
      <c r="N18" s="255" t="s">
        <v>3105</v>
      </c>
      <c r="O18" s="155">
        <v>46091</v>
      </c>
      <c r="P18" s="855" t="s">
        <v>3114</v>
      </c>
      <c r="Q18" s="155"/>
      <c r="R18" s="91"/>
      <c r="S18" s="91"/>
      <c r="T18" s="91"/>
      <c r="U18" s="91"/>
      <c r="V18" s="91"/>
      <c r="W18" s="91"/>
      <c r="X18" s="91"/>
      <c r="Y18" s="91"/>
      <c r="Z18" s="91"/>
      <c r="AA18" s="91"/>
      <c r="AB18" s="91"/>
      <c r="AC18" s="91"/>
      <c r="AD18" s="91"/>
      <c r="AE18" s="91"/>
      <c r="AF18" s="91"/>
      <c r="AG18" s="91"/>
      <c r="AH18" s="91"/>
      <c r="AI18" s="91"/>
    </row>
    <row r="19" spans="1:35" ht="15" customHeight="1">
      <c r="A19" s="224"/>
      <c r="B19" s="156">
        <v>17</v>
      </c>
      <c r="C19" s="156">
        <v>156190</v>
      </c>
      <c r="D19" s="156">
        <v>15724752</v>
      </c>
      <c r="E19" s="156" t="s">
        <v>3145</v>
      </c>
      <c r="F19" s="156">
        <v>55</v>
      </c>
      <c r="G19" s="156" t="s">
        <v>3146</v>
      </c>
      <c r="H19" s="156" t="s">
        <v>278</v>
      </c>
      <c r="I19" s="156">
        <v>991414302</v>
      </c>
      <c r="J19" s="353" t="s">
        <v>238</v>
      </c>
      <c r="K19" s="155">
        <v>46083</v>
      </c>
      <c r="L19" s="156" t="s">
        <v>2216</v>
      </c>
      <c r="M19" s="156" t="s">
        <v>230</v>
      </c>
      <c r="N19" s="426" t="s">
        <v>3105</v>
      </c>
      <c r="O19" s="152">
        <v>46086</v>
      </c>
      <c r="P19" s="242"/>
      <c r="Q19" s="878" t="s">
        <v>3147</v>
      </c>
      <c r="R19" s="839"/>
      <c r="S19" s="839"/>
      <c r="T19" s="839"/>
      <c r="U19" s="839"/>
      <c r="V19" s="839"/>
      <c r="W19" s="839"/>
      <c r="X19" s="839"/>
      <c r="Y19" s="839"/>
      <c r="Z19" s="839"/>
      <c r="AA19" s="839"/>
      <c r="AB19" s="839"/>
      <c r="AC19" s="839"/>
      <c r="AD19" s="839"/>
      <c r="AE19" s="839"/>
      <c r="AF19" s="839"/>
      <c r="AG19" s="839"/>
      <c r="AH19" s="839"/>
      <c r="AI19" s="839"/>
    </row>
    <row r="20" spans="1:35" ht="15" customHeight="1">
      <c r="A20" s="225">
        <v>46084</v>
      </c>
      <c r="B20" s="156">
        <v>18</v>
      </c>
      <c r="C20" s="156">
        <v>95866</v>
      </c>
      <c r="D20" s="156">
        <v>15690890</v>
      </c>
      <c r="E20" s="156" t="s">
        <v>3148</v>
      </c>
      <c r="F20" s="156">
        <v>67</v>
      </c>
      <c r="G20" s="156" t="s">
        <v>3149</v>
      </c>
      <c r="H20" s="156" t="s">
        <v>237</v>
      </c>
      <c r="I20" s="156">
        <v>997744368</v>
      </c>
      <c r="J20" s="353" t="s">
        <v>289</v>
      </c>
      <c r="K20" s="155">
        <v>46084</v>
      </c>
      <c r="L20" s="156" t="s">
        <v>2216</v>
      </c>
      <c r="M20" s="156" t="s">
        <v>3111</v>
      </c>
      <c r="N20" s="255" t="s">
        <v>3105</v>
      </c>
      <c r="O20" s="155">
        <v>46091</v>
      </c>
      <c r="P20" s="855" t="s">
        <v>3114</v>
      </c>
      <c r="Q20" s="155"/>
      <c r="R20" s="91"/>
      <c r="S20" s="91"/>
      <c r="T20" s="91"/>
      <c r="U20" s="91"/>
      <c r="V20" s="91"/>
      <c r="W20" s="91"/>
      <c r="X20" s="91"/>
      <c r="Y20" s="91"/>
      <c r="Z20" s="91"/>
      <c r="AA20" s="91"/>
      <c r="AB20" s="91"/>
      <c r="AC20" s="91"/>
      <c r="AD20" s="91"/>
      <c r="AE20" s="91"/>
      <c r="AF20" s="91"/>
      <c r="AG20" s="91"/>
      <c r="AH20" s="91"/>
      <c r="AI20" s="91"/>
    </row>
    <row r="21" spans="1:35">
      <c r="A21" s="224"/>
      <c r="B21" s="156">
        <v>19</v>
      </c>
      <c r="C21" s="156">
        <v>523587</v>
      </c>
      <c r="D21" s="156">
        <v>32042711</v>
      </c>
      <c r="E21" s="156" t="s">
        <v>3150</v>
      </c>
      <c r="F21" s="156">
        <v>57</v>
      </c>
      <c r="G21" s="156" t="s">
        <v>3151</v>
      </c>
      <c r="H21" s="156" t="s">
        <v>271</v>
      </c>
      <c r="I21" s="156">
        <v>910627503</v>
      </c>
      <c r="J21" s="353" t="s">
        <v>164</v>
      </c>
      <c r="K21" s="155">
        <v>46084</v>
      </c>
      <c r="L21" s="156" t="s">
        <v>3152</v>
      </c>
      <c r="M21" s="156" t="s">
        <v>240</v>
      </c>
      <c r="N21" s="255" t="s">
        <v>3153</v>
      </c>
      <c r="O21" s="155">
        <v>46087</v>
      </c>
      <c r="P21" s="137" t="s">
        <v>3154</v>
      </c>
      <c r="Q21" s="879" t="s">
        <v>358</v>
      </c>
      <c r="R21" s="839"/>
      <c r="S21" s="839"/>
      <c r="T21" s="839"/>
      <c r="U21" s="839"/>
      <c r="V21" s="839"/>
      <c r="W21" s="839"/>
      <c r="X21" s="839"/>
      <c r="Y21" s="839"/>
      <c r="Z21" s="839"/>
      <c r="AA21" s="839"/>
      <c r="AB21" s="839"/>
      <c r="AC21" s="839"/>
      <c r="AD21" s="839"/>
      <c r="AE21" s="839"/>
      <c r="AF21" s="839"/>
      <c r="AG21" s="839"/>
      <c r="AH21" s="839"/>
      <c r="AI21" s="839"/>
    </row>
    <row r="22" spans="1:35" ht="15" customHeight="1">
      <c r="A22" s="224"/>
      <c r="B22" s="156">
        <v>20</v>
      </c>
      <c r="C22" s="156">
        <v>391271</v>
      </c>
      <c r="D22" s="156" t="s">
        <v>3155</v>
      </c>
      <c r="E22" s="156" t="s">
        <v>3156</v>
      </c>
      <c r="F22" s="156">
        <v>54</v>
      </c>
      <c r="G22" s="156" t="s">
        <v>3157</v>
      </c>
      <c r="H22" s="156" t="s">
        <v>222</v>
      </c>
      <c r="I22" s="156">
        <v>998410944</v>
      </c>
      <c r="J22" s="353" t="s">
        <v>223</v>
      </c>
      <c r="K22" s="155">
        <v>46084</v>
      </c>
      <c r="L22" s="156" t="s">
        <v>1713</v>
      </c>
      <c r="M22" s="156" t="s">
        <v>3111</v>
      </c>
      <c r="N22" s="255" t="s">
        <v>3105</v>
      </c>
      <c r="O22" s="215">
        <v>46093</v>
      </c>
      <c r="P22" s="765" t="s">
        <v>1498</v>
      </c>
      <c r="Q22" s="215"/>
      <c r="R22" s="91"/>
      <c r="S22" s="91"/>
      <c r="T22" s="91"/>
      <c r="U22" s="91"/>
      <c r="V22" s="91"/>
      <c r="W22" s="91"/>
      <c r="X22" s="91"/>
      <c r="Y22" s="91"/>
      <c r="Z22" s="91"/>
      <c r="AA22" s="91"/>
      <c r="AB22" s="91"/>
      <c r="AC22" s="91"/>
      <c r="AD22" s="91"/>
      <c r="AE22" s="91"/>
      <c r="AF22" s="91"/>
      <c r="AG22" s="91"/>
      <c r="AH22" s="91"/>
      <c r="AI22" s="91"/>
    </row>
    <row r="23" spans="1:35">
      <c r="A23" s="224"/>
      <c r="B23" s="156">
        <v>21</v>
      </c>
      <c r="C23" s="156">
        <v>114325</v>
      </c>
      <c r="D23" s="156">
        <v>15611288</v>
      </c>
      <c r="E23" s="156" t="s">
        <v>3158</v>
      </c>
      <c r="F23" s="156">
        <v>62</v>
      </c>
      <c r="G23" s="156" t="s">
        <v>3159</v>
      </c>
      <c r="H23" s="156" t="s">
        <v>237</v>
      </c>
      <c r="I23" s="156">
        <v>922261891</v>
      </c>
      <c r="J23" s="353" t="s">
        <v>238</v>
      </c>
      <c r="K23" s="155">
        <v>46084</v>
      </c>
      <c r="L23" s="156" t="s">
        <v>2194</v>
      </c>
      <c r="M23" s="156" t="s">
        <v>230</v>
      </c>
      <c r="N23" s="255" t="s">
        <v>317</v>
      </c>
      <c r="O23" s="152">
        <v>46086</v>
      </c>
      <c r="P23" s="732"/>
      <c r="Q23" s="900" t="s">
        <v>3160</v>
      </c>
      <c r="R23" s="91"/>
      <c r="S23" s="91"/>
      <c r="T23" s="91"/>
      <c r="U23" s="91"/>
      <c r="V23" s="91"/>
      <c r="W23" s="91"/>
      <c r="X23" s="91"/>
      <c r="Y23" s="91"/>
      <c r="Z23" s="91"/>
      <c r="AA23" s="91"/>
      <c r="AB23" s="91"/>
      <c r="AC23" s="91"/>
      <c r="AD23" s="91"/>
      <c r="AE23" s="91"/>
      <c r="AF23" s="91"/>
      <c r="AG23" s="91"/>
      <c r="AH23" s="91"/>
      <c r="AI23" s="91"/>
    </row>
    <row r="24" spans="1:35">
      <c r="A24" s="227" t="s">
        <v>513</v>
      </c>
      <c r="B24" s="156">
        <v>22</v>
      </c>
      <c r="C24" s="156">
        <v>48387</v>
      </c>
      <c r="D24" s="156">
        <v>15716221</v>
      </c>
      <c r="E24" s="156" t="s">
        <v>3161</v>
      </c>
      <c r="F24" s="156">
        <v>67</v>
      </c>
      <c r="G24" s="156" t="s">
        <v>3162</v>
      </c>
      <c r="H24" s="156" t="s">
        <v>1489</v>
      </c>
      <c r="I24" s="156">
        <v>972059058</v>
      </c>
      <c r="J24" s="353" t="s">
        <v>328</v>
      </c>
      <c r="K24" s="155">
        <v>46084</v>
      </c>
      <c r="L24" s="156" t="s">
        <v>1965</v>
      </c>
      <c r="M24" s="156" t="s">
        <v>260</v>
      </c>
      <c r="N24" s="255" t="s">
        <v>1244</v>
      </c>
      <c r="O24" s="152">
        <v>46093</v>
      </c>
      <c r="P24" s="856" t="s">
        <v>3010</v>
      </c>
      <c r="Q24" s="65"/>
      <c r="R24" s="91"/>
      <c r="S24" s="91"/>
      <c r="T24" s="91"/>
      <c r="U24" s="91"/>
      <c r="V24" s="91"/>
      <c r="W24" s="91"/>
      <c r="X24" s="91"/>
      <c r="Y24" s="91"/>
      <c r="Z24" s="91"/>
      <c r="AA24" s="91"/>
      <c r="AB24" s="91"/>
      <c r="AC24" s="91"/>
      <c r="AD24" s="91"/>
      <c r="AE24" s="91"/>
      <c r="AF24" s="91"/>
      <c r="AG24" s="91"/>
      <c r="AH24" s="91"/>
      <c r="AI24" s="91"/>
    </row>
    <row r="25" spans="1:35">
      <c r="A25" s="224"/>
      <c r="B25" s="156">
        <v>23</v>
      </c>
      <c r="C25" s="156">
        <v>386551</v>
      </c>
      <c r="D25" s="156">
        <v>32036579</v>
      </c>
      <c r="E25" s="156" t="s">
        <v>3163</v>
      </c>
      <c r="F25" s="156">
        <v>57</v>
      </c>
      <c r="G25" s="156" t="s">
        <v>3164</v>
      </c>
      <c r="H25" s="156" t="s">
        <v>1489</v>
      </c>
      <c r="I25" s="156">
        <v>991445635</v>
      </c>
      <c r="J25" s="353" t="s">
        <v>328</v>
      </c>
      <c r="K25" s="155">
        <v>46084</v>
      </c>
      <c r="L25" s="156" t="s">
        <v>3165</v>
      </c>
      <c r="M25" s="156" t="s">
        <v>312</v>
      </c>
      <c r="N25" s="255" t="s">
        <v>1244</v>
      </c>
      <c r="O25" s="364">
        <v>46093</v>
      </c>
      <c r="P25" s="857" t="s">
        <v>3010</v>
      </c>
      <c r="Q25" s="65"/>
      <c r="R25" s="91"/>
      <c r="S25" s="91"/>
      <c r="T25" s="91"/>
      <c r="U25" s="91"/>
      <c r="V25" s="91"/>
      <c r="W25" s="91"/>
      <c r="X25" s="91"/>
      <c r="Y25" s="91"/>
      <c r="Z25" s="91"/>
      <c r="AA25" s="91"/>
      <c r="AB25" s="91"/>
      <c r="AC25" s="91"/>
      <c r="AD25" s="91"/>
      <c r="AE25" s="91"/>
      <c r="AF25" s="91"/>
      <c r="AG25" s="91"/>
      <c r="AH25" s="91"/>
      <c r="AI25" s="91"/>
    </row>
    <row r="26" spans="1:35">
      <c r="A26" s="224"/>
      <c r="B26" s="156">
        <v>24</v>
      </c>
      <c r="C26" s="156">
        <v>133338</v>
      </c>
      <c r="D26" s="156">
        <v>15640680</v>
      </c>
      <c r="E26" s="156" t="s">
        <v>3166</v>
      </c>
      <c r="F26" s="156">
        <v>57</v>
      </c>
      <c r="G26" s="156" t="s">
        <v>3167</v>
      </c>
      <c r="H26" s="156" t="s">
        <v>3168</v>
      </c>
      <c r="I26" s="156" t="s">
        <v>3169</v>
      </c>
      <c r="J26" s="353" t="s">
        <v>1209</v>
      </c>
      <c r="K26" s="155">
        <v>46084</v>
      </c>
      <c r="L26" s="156" t="s">
        <v>3170</v>
      </c>
      <c r="M26" s="156" t="s">
        <v>260</v>
      </c>
      <c r="N26" s="255" t="s">
        <v>1244</v>
      </c>
      <c r="O26" s="152">
        <v>46099</v>
      </c>
      <c r="P26" s="732" t="s">
        <v>3171</v>
      </c>
      <c r="Q26" s="65"/>
      <c r="R26" s="91"/>
      <c r="S26" s="91"/>
      <c r="T26" s="91"/>
      <c r="U26" s="91"/>
      <c r="V26" s="91"/>
      <c r="W26" s="91"/>
      <c r="X26" s="91"/>
      <c r="Y26" s="91"/>
      <c r="Z26" s="91"/>
      <c r="AA26" s="91"/>
      <c r="AB26" s="91"/>
      <c r="AC26" s="91"/>
      <c r="AD26" s="91"/>
      <c r="AE26" s="91"/>
      <c r="AF26" s="91"/>
      <c r="AG26" s="91"/>
      <c r="AH26" s="91"/>
      <c r="AI26" s="91"/>
    </row>
    <row r="27" spans="1:35">
      <c r="A27" s="224"/>
      <c r="B27" s="156">
        <v>25</v>
      </c>
      <c r="C27" s="156">
        <v>165343</v>
      </c>
      <c r="D27" s="156">
        <v>80283078</v>
      </c>
      <c r="E27" s="156" t="s">
        <v>3172</v>
      </c>
      <c r="F27" s="156">
        <v>55</v>
      </c>
      <c r="G27" s="156" t="s">
        <v>3173</v>
      </c>
      <c r="H27" s="156" t="s">
        <v>3174</v>
      </c>
      <c r="I27" s="156">
        <v>917280179</v>
      </c>
      <c r="J27" s="353" t="s">
        <v>1105</v>
      </c>
      <c r="K27" s="155">
        <v>46084</v>
      </c>
      <c r="L27" s="156" t="s">
        <v>3175</v>
      </c>
      <c r="M27" s="156" t="s">
        <v>260</v>
      </c>
      <c r="N27" s="255" t="s">
        <v>1244</v>
      </c>
      <c r="O27" s="152">
        <v>46098</v>
      </c>
      <c r="P27" s="732" t="s">
        <v>3142</v>
      </c>
      <c r="Q27" s="65"/>
      <c r="R27" s="91"/>
      <c r="S27" s="91"/>
      <c r="T27" s="91"/>
      <c r="U27" s="91"/>
      <c r="V27" s="91"/>
      <c r="W27" s="91"/>
      <c r="X27" s="91"/>
      <c r="Y27" s="91"/>
      <c r="Z27" s="91"/>
      <c r="AA27" s="91"/>
      <c r="AB27" s="91"/>
      <c r="AC27" s="91"/>
      <c r="AD27" s="91"/>
      <c r="AE27" s="91"/>
      <c r="AF27" s="91"/>
      <c r="AG27" s="91"/>
      <c r="AH27" s="91"/>
      <c r="AI27" s="91"/>
    </row>
    <row r="28" spans="1:35">
      <c r="A28" s="225">
        <v>46085</v>
      </c>
      <c r="B28" s="156">
        <v>26</v>
      </c>
      <c r="C28" s="156">
        <v>229267</v>
      </c>
      <c r="D28" s="65">
        <v>40743825</v>
      </c>
      <c r="E28" s="65" t="s">
        <v>3176</v>
      </c>
      <c r="F28" s="156">
        <v>45</v>
      </c>
      <c r="G28" s="156" t="s">
        <v>3177</v>
      </c>
      <c r="H28" s="156" t="s">
        <v>222</v>
      </c>
      <c r="I28" s="156" t="s">
        <v>3178</v>
      </c>
      <c r="J28" s="353" t="s">
        <v>223</v>
      </c>
      <c r="K28" s="155">
        <v>46085</v>
      </c>
      <c r="L28" s="156" t="s">
        <v>584</v>
      </c>
      <c r="M28" s="156" t="s">
        <v>230</v>
      </c>
      <c r="N28" s="255" t="s">
        <v>1244</v>
      </c>
      <c r="O28" s="215">
        <v>46093</v>
      </c>
      <c r="P28" s="765" t="s">
        <v>1498</v>
      </c>
      <c r="Q28" s="215"/>
      <c r="R28" s="91"/>
      <c r="S28" s="91"/>
      <c r="T28" s="91"/>
      <c r="U28" s="91"/>
      <c r="V28" s="91"/>
      <c r="W28" s="91"/>
      <c r="X28" s="91"/>
      <c r="Y28" s="91"/>
      <c r="Z28" s="91"/>
      <c r="AA28" s="91"/>
      <c r="AB28" s="91"/>
      <c r="AC28" s="91"/>
      <c r="AD28" s="91"/>
      <c r="AE28" s="91"/>
      <c r="AF28" s="91"/>
      <c r="AG28" s="91"/>
      <c r="AH28" s="91"/>
      <c r="AI28" s="91"/>
    </row>
    <row r="29" spans="1:35">
      <c r="A29" s="224"/>
      <c r="B29" s="156">
        <v>27</v>
      </c>
      <c r="C29" s="156">
        <v>523614</v>
      </c>
      <c r="D29" s="156">
        <v>41716828</v>
      </c>
      <c r="E29" s="156" t="s">
        <v>3179</v>
      </c>
      <c r="F29" s="156">
        <v>43</v>
      </c>
      <c r="G29" s="156" t="s">
        <v>3180</v>
      </c>
      <c r="H29" s="156" t="s">
        <v>271</v>
      </c>
      <c r="I29" s="156">
        <v>942096692</v>
      </c>
      <c r="J29" s="353" t="s">
        <v>1804</v>
      </c>
      <c r="K29" s="155">
        <v>46085</v>
      </c>
      <c r="L29" s="156" t="s">
        <v>3181</v>
      </c>
      <c r="M29" s="156" t="s">
        <v>260</v>
      </c>
      <c r="N29" s="255" t="s">
        <v>1244</v>
      </c>
      <c r="O29" s="155">
        <v>46087</v>
      </c>
      <c r="P29" s="51" t="s">
        <v>1951</v>
      </c>
      <c r="Q29" s="877" t="s">
        <v>358</v>
      </c>
      <c r="R29" s="837"/>
      <c r="S29" s="837"/>
      <c r="T29" s="837"/>
      <c r="U29" s="837"/>
      <c r="V29" s="837"/>
      <c r="W29" s="837"/>
      <c r="X29" s="837"/>
      <c r="Y29" s="837"/>
      <c r="Z29" s="837"/>
      <c r="AA29" s="837"/>
      <c r="AB29" s="837"/>
      <c r="AC29" s="837"/>
      <c r="AD29" s="837"/>
      <c r="AE29" s="837"/>
      <c r="AF29" s="837"/>
      <c r="AG29" s="837"/>
      <c r="AH29" s="837"/>
      <c r="AI29" s="837"/>
    </row>
    <row r="30" spans="1:35">
      <c r="A30" s="224"/>
      <c r="B30" s="156">
        <v>28</v>
      </c>
      <c r="C30" s="156">
        <v>468137</v>
      </c>
      <c r="D30" s="156">
        <v>22751727</v>
      </c>
      <c r="E30" s="156" t="s">
        <v>3182</v>
      </c>
      <c r="F30" s="156">
        <v>58</v>
      </c>
      <c r="G30" s="156" t="s">
        <v>3183</v>
      </c>
      <c r="H30" s="156" t="s">
        <v>326</v>
      </c>
      <c r="I30" s="156" t="s">
        <v>3184</v>
      </c>
      <c r="J30" s="353" t="s">
        <v>238</v>
      </c>
      <c r="K30" s="155">
        <v>46085</v>
      </c>
      <c r="L30" s="156" t="s">
        <v>584</v>
      </c>
      <c r="M30" s="156" t="s">
        <v>230</v>
      </c>
      <c r="N30" s="255" t="s">
        <v>1244</v>
      </c>
      <c r="O30" s="155">
        <v>46087</v>
      </c>
      <c r="P30" s="242"/>
      <c r="Q30" s="405" t="s">
        <v>3147</v>
      </c>
      <c r="R30" s="838"/>
      <c r="S30" s="838"/>
      <c r="T30" s="838"/>
      <c r="U30" s="838"/>
      <c r="V30" s="838"/>
      <c r="W30" s="838"/>
      <c r="X30" s="838"/>
      <c r="Y30" s="838"/>
      <c r="Z30" s="838"/>
      <c r="AA30" s="838"/>
      <c r="AB30" s="838"/>
      <c r="AC30" s="838"/>
      <c r="AD30" s="838"/>
      <c r="AE30" s="838"/>
      <c r="AF30" s="838"/>
      <c r="AG30" s="838"/>
      <c r="AH30" s="838"/>
      <c r="AI30" s="838"/>
    </row>
    <row r="31" spans="1:35">
      <c r="A31" s="223"/>
      <c r="B31" s="156">
        <v>29</v>
      </c>
      <c r="C31" s="156">
        <v>325911</v>
      </c>
      <c r="D31" s="156">
        <v>43859551</v>
      </c>
      <c r="E31" s="65" t="s">
        <v>3185</v>
      </c>
      <c r="F31" s="156">
        <v>44</v>
      </c>
      <c r="G31" s="156" t="s">
        <v>3186</v>
      </c>
      <c r="H31" s="156" t="s">
        <v>326</v>
      </c>
      <c r="I31" s="156">
        <v>969465185</v>
      </c>
      <c r="J31" s="353" t="s">
        <v>827</v>
      </c>
      <c r="K31" s="155">
        <v>46085</v>
      </c>
      <c r="L31" s="156" t="s">
        <v>1156</v>
      </c>
      <c r="M31" s="156" t="s">
        <v>230</v>
      </c>
      <c r="N31" s="255" t="s">
        <v>241</v>
      </c>
      <c r="O31" s="156" t="s">
        <v>3187</v>
      </c>
      <c r="P31" s="224"/>
      <c r="Q31" s="156"/>
      <c r="R31" s="91"/>
      <c r="S31" s="91"/>
      <c r="T31" s="91"/>
      <c r="U31" s="91"/>
      <c r="V31" s="91"/>
      <c r="W31" s="91"/>
      <c r="X31" s="91"/>
      <c r="Y31" s="91"/>
      <c r="Z31" s="91"/>
      <c r="AA31" s="91"/>
      <c r="AB31" s="91"/>
      <c r="AC31" s="91"/>
      <c r="AD31" s="91"/>
      <c r="AE31" s="91"/>
      <c r="AF31" s="91"/>
      <c r="AG31" s="91"/>
      <c r="AH31" s="91"/>
      <c r="AI31" s="91"/>
    </row>
    <row r="32" spans="1:35">
      <c r="A32" s="224"/>
      <c r="B32" s="156">
        <v>30</v>
      </c>
      <c r="C32" s="156">
        <v>204339</v>
      </c>
      <c r="D32" s="156">
        <v>15992571</v>
      </c>
      <c r="E32" s="156" t="s">
        <v>3188</v>
      </c>
      <c r="F32" s="156">
        <v>50</v>
      </c>
      <c r="G32" s="156" t="s">
        <v>3189</v>
      </c>
      <c r="H32" s="156" t="s">
        <v>278</v>
      </c>
      <c r="I32" s="156" t="s">
        <v>3190</v>
      </c>
      <c r="J32" s="353" t="s">
        <v>238</v>
      </c>
      <c r="K32" s="155">
        <v>46085</v>
      </c>
      <c r="L32" s="156" t="s">
        <v>1156</v>
      </c>
      <c r="M32" s="156" t="s">
        <v>260</v>
      </c>
      <c r="N32" s="255" t="s">
        <v>1244</v>
      </c>
      <c r="O32" s="155">
        <v>46087</v>
      </c>
      <c r="P32" s="242"/>
      <c r="Q32" s="880" t="s">
        <v>3191</v>
      </c>
      <c r="R32" s="837"/>
      <c r="S32" s="837"/>
      <c r="T32" s="837"/>
      <c r="U32" s="837"/>
      <c r="V32" s="837"/>
      <c r="W32" s="837"/>
      <c r="X32" s="837"/>
      <c r="Y32" s="837"/>
      <c r="Z32" s="837"/>
      <c r="AA32" s="837"/>
      <c r="AB32" s="837"/>
      <c r="AC32" s="837"/>
      <c r="AD32" s="837"/>
      <c r="AE32" s="837"/>
      <c r="AF32" s="837"/>
      <c r="AG32" s="837"/>
      <c r="AH32" s="837"/>
      <c r="AI32" s="837"/>
    </row>
    <row r="33" spans="1:35">
      <c r="A33" s="224"/>
      <c r="B33" s="156">
        <v>31</v>
      </c>
      <c r="C33" s="156">
        <v>215904</v>
      </c>
      <c r="D33" s="156">
        <v>15609625</v>
      </c>
      <c r="E33" s="156" t="s">
        <v>3192</v>
      </c>
      <c r="F33" s="156">
        <v>63</v>
      </c>
      <c r="G33" s="156" t="s">
        <v>3193</v>
      </c>
      <c r="H33" s="156" t="s">
        <v>278</v>
      </c>
      <c r="I33" s="156">
        <v>926905357</v>
      </c>
      <c r="J33" s="353" t="s">
        <v>238</v>
      </c>
      <c r="K33" s="155">
        <v>46085</v>
      </c>
      <c r="L33" s="156" t="s">
        <v>3194</v>
      </c>
      <c r="M33" s="156" t="s">
        <v>260</v>
      </c>
      <c r="N33" s="255" t="s">
        <v>1244</v>
      </c>
      <c r="O33" s="155">
        <v>46087</v>
      </c>
      <c r="P33" s="242"/>
      <c r="Q33" s="242" t="s">
        <v>3195</v>
      </c>
      <c r="R33" s="91"/>
      <c r="S33" s="91"/>
      <c r="T33" s="91"/>
      <c r="U33" s="91"/>
      <c r="V33" s="91"/>
      <c r="W33" s="91"/>
      <c r="X33" s="91"/>
      <c r="Y33" s="91"/>
      <c r="Z33" s="91"/>
      <c r="AA33" s="91"/>
      <c r="AB33" s="91"/>
      <c r="AC33" s="91"/>
      <c r="AD33" s="91"/>
      <c r="AE33" s="91"/>
      <c r="AF33" s="91"/>
      <c r="AG33" s="91"/>
      <c r="AH33" s="91"/>
      <c r="AI33" s="91"/>
    </row>
    <row r="34" spans="1:35">
      <c r="A34" s="224"/>
      <c r="B34" s="156">
        <v>32</v>
      </c>
      <c r="C34" s="156">
        <v>122555</v>
      </c>
      <c r="D34" s="156">
        <v>42503905</v>
      </c>
      <c r="E34" s="156" t="s">
        <v>3196</v>
      </c>
      <c r="F34" s="156">
        <v>40</v>
      </c>
      <c r="G34" s="156" t="s">
        <v>3197</v>
      </c>
      <c r="H34" s="156" t="s">
        <v>278</v>
      </c>
      <c r="I34" s="156">
        <v>9856721798</v>
      </c>
      <c r="J34" s="353" t="s">
        <v>238</v>
      </c>
      <c r="K34" s="155">
        <v>46085</v>
      </c>
      <c r="L34" s="156" t="s">
        <v>3198</v>
      </c>
      <c r="M34" s="156" t="s">
        <v>312</v>
      </c>
      <c r="N34" s="255" t="s">
        <v>317</v>
      </c>
      <c r="O34" s="155">
        <v>46087</v>
      </c>
      <c r="P34" s="242"/>
      <c r="Q34" s="405" t="s">
        <v>3199</v>
      </c>
      <c r="R34" s="838"/>
      <c r="S34" s="838"/>
      <c r="T34" s="838"/>
      <c r="U34" s="838"/>
      <c r="V34" s="838"/>
      <c r="W34" s="838"/>
      <c r="X34" s="838"/>
      <c r="Y34" s="838"/>
      <c r="Z34" s="838"/>
      <c r="AA34" s="838"/>
      <c r="AB34" s="838"/>
      <c r="AC34" s="838"/>
      <c r="AD34" s="838"/>
      <c r="AE34" s="838"/>
      <c r="AF34" s="838"/>
      <c r="AG34" s="838"/>
      <c r="AH34" s="838"/>
      <c r="AI34" s="838"/>
    </row>
    <row r="35" spans="1:35">
      <c r="A35" s="224"/>
      <c r="B35" s="156">
        <v>33</v>
      </c>
      <c r="C35" s="156">
        <v>187001</v>
      </c>
      <c r="D35" s="156">
        <v>15735199</v>
      </c>
      <c r="E35" s="156" t="s">
        <v>3200</v>
      </c>
      <c r="F35" s="156">
        <v>60</v>
      </c>
      <c r="G35" s="156" t="s">
        <v>3201</v>
      </c>
      <c r="H35" s="156" t="s">
        <v>246</v>
      </c>
      <c r="I35" s="156">
        <v>940577478</v>
      </c>
      <c r="J35" s="353" t="s">
        <v>3202</v>
      </c>
      <c r="K35" s="155">
        <v>46085</v>
      </c>
      <c r="L35" s="156" t="s">
        <v>1794</v>
      </c>
      <c r="M35" s="156" t="s">
        <v>312</v>
      </c>
      <c r="N35" s="255" t="s">
        <v>317</v>
      </c>
      <c r="O35" s="152">
        <v>46101</v>
      </c>
      <c r="P35" s="732" t="s">
        <v>3203</v>
      </c>
      <c r="Q35" s="242"/>
      <c r="R35" s="91"/>
      <c r="S35" s="91"/>
      <c r="T35" s="91"/>
      <c r="U35" s="91"/>
      <c r="V35" s="91"/>
      <c r="W35" s="91"/>
      <c r="X35" s="91"/>
      <c r="Y35" s="91"/>
      <c r="Z35" s="91"/>
      <c r="AA35" s="91"/>
      <c r="AB35" s="91"/>
      <c r="AC35" s="91"/>
      <c r="AD35" s="91"/>
      <c r="AE35" s="91"/>
      <c r="AF35" s="91"/>
      <c r="AG35" s="91"/>
      <c r="AH35" s="91"/>
      <c r="AI35" s="91"/>
    </row>
    <row r="36" spans="1:35">
      <c r="A36" s="223"/>
      <c r="B36" s="156">
        <v>34</v>
      </c>
      <c r="C36" s="156">
        <v>491540</v>
      </c>
      <c r="D36" s="65">
        <v>32274211</v>
      </c>
      <c r="E36" s="65" t="s">
        <v>3204</v>
      </c>
      <c r="F36" s="156">
        <v>56</v>
      </c>
      <c r="G36" s="156" t="s">
        <v>3205</v>
      </c>
      <c r="H36" s="156" t="s">
        <v>326</v>
      </c>
      <c r="I36" s="156">
        <v>930195351</v>
      </c>
      <c r="J36" s="353" t="s">
        <v>238</v>
      </c>
      <c r="K36" s="155">
        <v>46085</v>
      </c>
      <c r="L36" s="156" t="s">
        <v>747</v>
      </c>
      <c r="M36" s="156" t="s">
        <v>230</v>
      </c>
      <c r="N36" s="255" t="s">
        <v>317</v>
      </c>
      <c r="O36" s="155">
        <v>46087</v>
      </c>
      <c r="P36" s="43"/>
      <c r="Q36" s="849" t="s">
        <v>3147</v>
      </c>
      <c r="R36" s="839"/>
      <c r="S36" s="839"/>
      <c r="T36" s="839"/>
      <c r="U36" s="839"/>
      <c r="V36" s="839"/>
      <c r="W36" s="839"/>
      <c r="X36" s="839"/>
      <c r="Y36" s="839"/>
      <c r="Z36" s="839"/>
      <c r="AA36" s="839"/>
      <c r="AB36" s="839"/>
      <c r="AC36" s="839"/>
      <c r="AD36" s="839"/>
      <c r="AE36" s="839"/>
      <c r="AF36" s="839"/>
      <c r="AG36" s="839"/>
      <c r="AH36" s="839"/>
      <c r="AI36" s="839"/>
    </row>
    <row r="37" spans="1:35">
      <c r="A37" s="224"/>
      <c r="B37" s="156">
        <v>35</v>
      </c>
      <c r="C37" s="156">
        <v>263668</v>
      </c>
      <c r="D37" s="156" t="s">
        <v>3206</v>
      </c>
      <c r="E37" s="156" t="s">
        <v>3207</v>
      </c>
      <c r="F37" s="156">
        <v>60</v>
      </c>
      <c r="G37" s="156" t="s">
        <v>3208</v>
      </c>
      <c r="H37" s="156" t="s">
        <v>326</v>
      </c>
      <c r="I37" s="156">
        <v>928794856</v>
      </c>
      <c r="J37" s="353" t="s">
        <v>238</v>
      </c>
      <c r="K37" s="155">
        <v>46085</v>
      </c>
      <c r="L37" s="156" t="s">
        <v>1947</v>
      </c>
      <c r="M37" s="156" t="s">
        <v>230</v>
      </c>
      <c r="N37" s="255" t="s">
        <v>317</v>
      </c>
      <c r="O37" s="155">
        <v>46087</v>
      </c>
      <c r="P37" s="732"/>
      <c r="Q37" s="155"/>
      <c r="R37" s="91"/>
      <c r="S37" s="91"/>
      <c r="T37" s="91"/>
      <c r="U37" s="91"/>
      <c r="V37" s="91"/>
      <c r="W37" s="91"/>
      <c r="X37" s="91"/>
      <c r="Y37" s="91"/>
      <c r="Z37" s="91"/>
      <c r="AA37" s="91"/>
      <c r="AB37" s="91"/>
      <c r="AC37" s="91"/>
      <c r="AD37" s="91"/>
      <c r="AE37" s="91"/>
      <c r="AF37" s="91"/>
      <c r="AG37" s="91"/>
      <c r="AH37" s="91"/>
      <c r="AI37" s="91"/>
    </row>
    <row r="38" spans="1:35">
      <c r="A38" s="223"/>
      <c r="B38" s="156">
        <v>36</v>
      </c>
      <c r="C38" s="156">
        <v>221245</v>
      </c>
      <c r="D38" s="156">
        <v>42500008</v>
      </c>
      <c r="E38" s="65" t="s">
        <v>3209</v>
      </c>
      <c r="F38" s="156">
        <v>46</v>
      </c>
      <c r="G38" s="156" t="s">
        <v>3210</v>
      </c>
      <c r="H38" s="156" t="s">
        <v>278</v>
      </c>
      <c r="I38" s="156">
        <v>900763022</v>
      </c>
      <c r="J38" s="353" t="s">
        <v>1012</v>
      </c>
      <c r="K38" s="155">
        <v>46085</v>
      </c>
      <c r="L38" s="156" t="s">
        <v>747</v>
      </c>
      <c r="M38" s="156" t="s">
        <v>230</v>
      </c>
      <c r="N38" s="255" t="s">
        <v>317</v>
      </c>
      <c r="O38" s="215">
        <v>46091</v>
      </c>
      <c r="P38" s="248" t="s">
        <v>2954</v>
      </c>
      <c r="Q38" s="215"/>
      <c r="R38" s="91"/>
      <c r="S38" s="91"/>
      <c r="T38" s="91"/>
      <c r="U38" s="91"/>
      <c r="V38" s="91"/>
      <c r="W38" s="91"/>
      <c r="X38" s="91"/>
      <c r="Y38" s="91"/>
      <c r="Z38" s="91"/>
      <c r="AA38" s="91"/>
      <c r="AB38" s="91"/>
      <c r="AC38" s="91"/>
      <c r="AD38" s="91"/>
      <c r="AE38" s="91"/>
      <c r="AF38" s="91"/>
      <c r="AG38" s="91"/>
      <c r="AH38" s="91"/>
      <c r="AI38" s="91"/>
    </row>
    <row r="39" spans="1:35">
      <c r="A39" s="224"/>
      <c r="B39" s="156">
        <v>37</v>
      </c>
      <c r="C39" s="156">
        <v>523626</v>
      </c>
      <c r="D39" s="156">
        <v>40948949</v>
      </c>
      <c r="E39" s="156" t="s">
        <v>3211</v>
      </c>
      <c r="F39" s="156">
        <v>44</v>
      </c>
      <c r="G39" s="156" t="s">
        <v>3212</v>
      </c>
      <c r="H39" s="156" t="s">
        <v>2724</v>
      </c>
      <c r="I39" s="156">
        <v>972294387</v>
      </c>
      <c r="J39" s="353" t="s">
        <v>238</v>
      </c>
      <c r="K39" s="155">
        <v>46085</v>
      </c>
      <c r="L39" s="156" t="s">
        <v>3213</v>
      </c>
      <c r="M39" s="156" t="s">
        <v>260</v>
      </c>
      <c r="N39" s="255" t="s">
        <v>3214</v>
      </c>
      <c r="O39" s="155">
        <v>46087</v>
      </c>
      <c r="P39" s="732"/>
      <c r="Q39" s="155"/>
      <c r="R39" s="91"/>
      <c r="S39" s="91"/>
      <c r="T39" s="91"/>
      <c r="U39" s="91"/>
      <c r="V39" s="91"/>
      <c r="W39" s="91"/>
      <c r="X39" s="91"/>
      <c r="Y39" s="91"/>
      <c r="Z39" s="91"/>
      <c r="AA39" s="91"/>
      <c r="AB39" s="91"/>
      <c r="AC39" s="91"/>
      <c r="AD39" s="91"/>
      <c r="AE39" s="91"/>
      <c r="AF39" s="91"/>
      <c r="AG39" s="91"/>
      <c r="AH39" s="91"/>
      <c r="AI39" s="91"/>
    </row>
    <row r="40" spans="1:35">
      <c r="A40" s="224"/>
      <c r="B40" s="156">
        <v>38</v>
      </c>
      <c r="C40" s="156">
        <v>202576</v>
      </c>
      <c r="D40" s="156" t="s">
        <v>3215</v>
      </c>
      <c r="E40" s="156" t="s">
        <v>3216</v>
      </c>
      <c r="F40" s="156">
        <v>51</v>
      </c>
      <c r="G40" s="156" t="s">
        <v>3217</v>
      </c>
      <c r="H40" s="156" t="s">
        <v>288</v>
      </c>
      <c r="I40" s="156" t="s">
        <v>3218</v>
      </c>
      <c r="J40" s="353" t="s">
        <v>283</v>
      </c>
      <c r="K40" s="155">
        <v>46085</v>
      </c>
      <c r="L40" s="156" t="s">
        <v>845</v>
      </c>
      <c r="M40" s="156" t="s">
        <v>260</v>
      </c>
      <c r="N40" s="255" t="s">
        <v>601</v>
      </c>
      <c r="O40" s="215">
        <v>46093</v>
      </c>
      <c r="P40" s="248" t="s">
        <v>1962</v>
      </c>
      <c r="Q40" s="215"/>
      <c r="R40" s="91"/>
      <c r="S40" s="91"/>
      <c r="T40" s="91"/>
      <c r="U40" s="91"/>
      <c r="V40" s="91"/>
      <c r="W40" s="91"/>
      <c r="X40" s="91"/>
      <c r="Y40" s="91"/>
      <c r="Z40" s="91"/>
      <c r="AA40" s="91"/>
      <c r="AB40" s="91"/>
      <c r="AC40" s="91"/>
      <c r="AD40" s="91"/>
      <c r="AE40" s="91"/>
      <c r="AF40" s="91"/>
      <c r="AG40" s="91"/>
      <c r="AH40" s="91"/>
      <c r="AI40" s="91"/>
    </row>
    <row r="41" spans="1:35">
      <c r="A41" s="223"/>
      <c r="B41" s="156">
        <v>39</v>
      </c>
      <c r="C41" s="156">
        <v>157656</v>
      </c>
      <c r="D41" s="65">
        <v>42092051</v>
      </c>
      <c r="E41" s="65" t="s">
        <v>3219</v>
      </c>
      <c r="F41" s="156">
        <v>42</v>
      </c>
      <c r="G41" s="156" t="s">
        <v>3220</v>
      </c>
      <c r="H41" s="156" t="s">
        <v>222</v>
      </c>
      <c r="I41" s="156">
        <v>982246009</v>
      </c>
      <c r="J41" s="353" t="s">
        <v>588</v>
      </c>
      <c r="K41" s="155">
        <v>46085</v>
      </c>
      <c r="L41" s="156" t="s">
        <v>1098</v>
      </c>
      <c r="M41" s="156" t="s">
        <v>230</v>
      </c>
      <c r="N41" s="255" t="s">
        <v>601</v>
      </c>
      <c r="O41" s="155">
        <v>46101</v>
      </c>
      <c r="P41" s="224" t="s">
        <v>3221</v>
      </c>
      <c r="Q41" s="156"/>
      <c r="R41" s="91"/>
      <c r="S41" s="91"/>
      <c r="T41" s="91"/>
      <c r="U41" s="91"/>
      <c r="V41" s="91"/>
      <c r="W41" s="91"/>
      <c r="X41" s="91"/>
      <c r="Y41" s="91"/>
      <c r="Z41" s="91"/>
      <c r="AA41" s="91"/>
      <c r="AB41" s="91"/>
      <c r="AC41" s="91"/>
      <c r="AD41" s="91"/>
      <c r="AE41" s="91"/>
      <c r="AF41" s="91"/>
      <c r="AG41" s="91"/>
      <c r="AH41" s="91"/>
      <c r="AI41" s="91"/>
    </row>
    <row r="42" spans="1:35">
      <c r="A42" s="224"/>
      <c r="B42" s="156">
        <v>40</v>
      </c>
      <c r="C42" s="156">
        <v>523629</v>
      </c>
      <c r="D42" s="65">
        <v>15980000</v>
      </c>
      <c r="E42" s="65" t="s">
        <v>3222</v>
      </c>
      <c r="F42" s="65">
        <v>63</v>
      </c>
      <c r="G42" s="65" t="s">
        <v>3223</v>
      </c>
      <c r="H42" s="65" t="s">
        <v>271</v>
      </c>
      <c r="I42" s="65">
        <v>940834947</v>
      </c>
      <c r="J42" s="353" t="s">
        <v>164</v>
      </c>
      <c r="K42" s="155">
        <v>46085</v>
      </c>
      <c r="L42" s="156" t="s">
        <v>1098</v>
      </c>
      <c r="M42" s="156" t="s">
        <v>230</v>
      </c>
      <c r="N42" s="255" t="s">
        <v>3214</v>
      </c>
      <c r="O42" s="155">
        <v>46087</v>
      </c>
      <c r="P42" s="51" t="s">
        <v>1951</v>
      </c>
      <c r="Q42" s="877" t="s">
        <v>358</v>
      </c>
      <c r="R42" s="837"/>
      <c r="S42" s="837"/>
      <c r="T42" s="837"/>
      <c r="U42" s="837"/>
      <c r="V42" s="837"/>
      <c r="W42" s="837"/>
      <c r="X42" s="837"/>
      <c r="Y42" s="837"/>
      <c r="Z42" s="837"/>
      <c r="AA42" s="837"/>
      <c r="AB42" s="837"/>
      <c r="AC42" s="837"/>
      <c r="AD42" s="837"/>
      <c r="AE42" s="837"/>
      <c r="AF42" s="837"/>
      <c r="AG42" s="837"/>
      <c r="AH42" s="837"/>
      <c r="AI42" s="837"/>
    </row>
    <row r="43" spans="1:35">
      <c r="A43" s="227" t="s">
        <v>513</v>
      </c>
      <c r="B43" s="156">
        <v>41</v>
      </c>
      <c r="C43" s="156">
        <v>413281</v>
      </c>
      <c r="D43" s="156" t="s">
        <v>3224</v>
      </c>
      <c r="E43" s="156" t="s">
        <v>3225</v>
      </c>
      <c r="F43" s="156">
        <v>53</v>
      </c>
      <c r="G43" s="156" t="s">
        <v>3226</v>
      </c>
      <c r="H43" s="156" t="s">
        <v>3227</v>
      </c>
      <c r="I43" s="156">
        <v>997333728</v>
      </c>
      <c r="J43" s="353" t="s">
        <v>238</v>
      </c>
      <c r="K43" s="155">
        <v>46085</v>
      </c>
      <c r="L43" s="156" t="s">
        <v>1098</v>
      </c>
      <c r="M43" s="156" t="s">
        <v>230</v>
      </c>
      <c r="N43" s="255" t="s">
        <v>3214</v>
      </c>
      <c r="O43" s="155">
        <v>46087</v>
      </c>
      <c r="P43" s="242"/>
      <c r="Q43" s="242" t="s">
        <v>3147</v>
      </c>
      <c r="R43" s="91"/>
      <c r="S43" s="91"/>
      <c r="T43" s="91"/>
      <c r="U43" s="91"/>
      <c r="V43" s="91"/>
      <c r="W43" s="91"/>
      <c r="X43" s="91"/>
      <c r="Y43" s="91"/>
      <c r="Z43" s="91"/>
      <c r="AA43" s="91"/>
      <c r="AB43" s="91"/>
      <c r="AC43" s="91"/>
      <c r="AD43" s="91"/>
      <c r="AE43" s="91"/>
      <c r="AF43" s="91"/>
      <c r="AG43" s="91"/>
      <c r="AH43" s="91"/>
      <c r="AI43" s="91"/>
    </row>
    <row r="44" spans="1:35">
      <c r="A44" s="224"/>
      <c r="B44" s="156">
        <v>42</v>
      </c>
      <c r="C44" s="156">
        <v>523631</v>
      </c>
      <c r="D44" s="156">
        <v>15752825</v>
      </c>
      <c r="E44" s="156" t="s">
        <v>3228</v>
      </c>
      <c r="F44" s="156">
        <v>60</v>
      </c>
      <c r="G44" s="156" t="s">
        <v>3229</v>
      </c>
      <c r="H44" s="156" t="s">
        <v>461</v>
      </c>
      <c r="I44" s="156" t="s">
        <v>3230</v>
      </c>
      <c r="J44" s="353" t="s">
        <v>162</v>
      </c>
      <c r="K44" s="155">
        <v>46085</v>
      </c>
      <c r="L44" s="156" t="s">
        <v>683</v>
      </c>
      <c r="M44" s="156" t="s">
        <v>312</v>
      </c>
      <c r="N44" s="255" t="s">
        <v>3214</v>
      </c>
      <c r="O44" s="155">
        <v>46087</v>
      </c>
      <c r="P44" s="51" t="s">
        <v>1951</v>
      </c>
      <c r="Q44" s="471" t="s">
        <v>358</v>
      </c>
      <c r="R44" s="91"/>
      <c r="S44" s="91"/>
      <c r="T44" s="91"/>
      <c r="U44" s="91"/>
      <c r="V44" s="91"/>
      <c r="W44" s="91"/>
      <c r="X44" s="91"/>
      <c r="Y44" s="91"/>
      <c r="Z44" s="91"/>
      <c r="AA44" s="91"/>
      <c r="AB44" s="91"/>
      <c r="AC44" s="91"/>
      <c r="AD44" s="91"/>
      <c r="AE44" s="91"/>
      <c r="AF44" s="91"/>
      <c r="AG44" s="91"/>
      <c r="AH44" s="91"/>
      <c r="AI44" s="91"/>
    </row>
    <row r="45" spans="1:35">
      <c r="A45" s="224"/>
      <c r="B45" s="156">
        <v>43</v>
      </c>
      <c r="C45" s="156">
        <v>331163</v>
      </c>
      <c r="D45" s="156">
        <v>23093849</v>
      </c>
      <c r="E45" s="156" t="s">
        <v>3231</v>
      </c>
      <c r="F45" s="156">
        <v>51</v>
      </c>
      <c r="G45" s="156" t="s">
        <v>3232</v>
      </c>
      <c r="H45" s="156" t="s">
        <v>3233</v>
      </c>
      <c r="I45" s="156">
        <v>900617758</v>
      </c>
      <c r="J45" s="353" t="s">
        <v>429</v>
      </c>
      <c r="K45" s="155">
        <v>46085</v>
      </c>
      <c r="L45" s="156" t="s">
        <v>3234</v>
      </c>
      <c r="M45" s="156" t="s">
        <v>323</v>
      </c>
      <c r="N45" s="255" t="s">
        <v>601</v>
      </c>
      <c r="O45" s="215">
        <v>46101</v>
      </c>
      <c r="P45" s="50" t="s">
        <v>2227</v>
      </c>
      <c r="Q45" s="471" t="s">
        <v>358</v>
      </c>
      <c r="R45" s="91"/>
      <c r="S45" s="91"/>
      <c r="T45" s="91"/>
      <c r="U45" s="91"/>
      <c r="V45" s="91"/>
      <c r="W45" s="91"/>
      <c r="X45" s="91"/>
      <c r="Y45" s="91"/>
      <c r="Z45" s="91"/>
      <c r="AA45" s="91"/>
      <c r="AB45" s="91"/>
      <c r="AC45" s="91"/>
      <c r="AD45" s="91"/>
      <c r="AE45" s="91"/>
      <c r="AF45" s="91"/>
      <c r="AG45" s="91"/>
      <c r="AH45" s="91"/>
      <c r="AI45" s="91"/>
    </row>
    <row r="46" spans="1:35">
      <c r="A46" s="224"/>
      <c r="B46" s="156">
        <v>44</v>
      </c>
      <c r="C46" s="156">
        <v>225633</v>
      </c>
      <c r="D46" s="156">
        <v>16687510</v>
      </c>
      <c r="E46" s="156" t="s">
        <v>3235</v>
      </c>
      <c r="F46" s="156">
        <v>56</v>
      </c>
      <c r="G46" s="156" t="s">
        <v>3236</v>
      </c>
      <c r="H46" s="156" t="s">
        <v>278</v>
      </c>
      <c r="I46" s="156">
        <v>912752656</v>
      </c>
      <c r="J46" s="353" t="s">
        <v>238</v>
      </c>
      <c r="K46" s="155">
        <v>46085</v>
      </c>
      <c r="L46" s="156" t="s">
        <v>3237</v>
      </c>
      <c r="M46" s="156" t="s">
        <v>312</v>
      </c>
      <c r="N46" s="255" t="s">
        <v>3214</v>
      </c>
      <c r="O46" s="155">
        <v>46087</v>
      </c>
      <c r="P46" s="242"/>
      <c r="Q46" s="405" t="s">
        <v>3199</v>
      </c>
      <c r="R46" s="838"/>
      <c r="S46" s="838"/>
      <c r="T46" s="838"/>
      <c r="U46" s="838"/>
      <c r="V46" s="838"/>
      <c r="W46" s="838"/>
      <c r="X46" s="838"/>
      <c r="Y46" s="838"/>
      <c r="Z46" s="838"/>
      <c r="AA46" s="838"/>
      <c r="AB46" s="838"/>
      <c r="AC46" s="838"/>
      <c r="AD46" s="838"/>
      <c r="AE46" s="838"/>
      <c r="AF46" s="838"/>
      <c r="AG46" s="838"/>
      <c r="AH46" s="838"/>
      <c r="AI46" s="838"/>
    </row>
    <row r="47" spans="1:35">
      <c r="A47" s="224"/>
      <c r="B47" s="156">
        <v>45</v>
      </c>
      <c r="C47" s="156">
        <v>230347</v>
      </c>
      <c r="D47" s="156">
        <v>41390435</v>
      </c>
      <c r="E47" s="156" t="s">
        <v>3238</v>
      </c>
      <c r="F47" s="156">
        <v>44</v>
      </c>
      <c r="G47" s="156" t="s">
        <v>3239</v>
      </c>
      <c r="H47" s="156" t="s">
        <v>222</v>
      </c>
      <c r="I47" s="156"/>
      <c r="J47" s="353" t="s">
        <v>223</v>
      </c>
      <c r="K47" s="155">
        <v>46085</v>
      </c>
      <c r="L47" s="156" t="s">
        <v>3240</v>
      </c>
      <c r="M47" s="156" t="s">
        <v>260</v>
      </c>
      <c r="N47" s="255" t="s">
        <v>601</v>
      </c>
      <c r="O47" s="215">
        <v>46093</v>
      </c>
      <c r="P47" s="765" t="s">
        <v>1498</v>
      </c>
      <c r="Q47" s="215"/>
      <c r="R47" s="91"/>
      <c r="S47" s="91"/>
      <c r="T47" s="91"/>
      <c r="U47" s="91"/>
      <c r="V47" s="91"/>
      <c r="W47" s="91"/>
      <c r="X47" s="91"/>
      <c r="Y47" s="91"/>
      <c r="Z47" s="91"/>
      <c r="AA47" s="91"/>
      <c r="AB47" s="91"/>
      <c r="AC47" s="91"/>
      <c r="AD47" s="91"/>
      <c r="AE47" s="91"/>
      <c r="AF47" s="91"/>
      <c r="AG47" s="91"/>
      <c r="AH47" s="91"/>
      <c r="AI47" s="91"/>
    </row>
    <row r="48" spans="1:35">
      <c r="A48" s="224"/>
      <c r="B48" s="156">
        <v>46</v>
      </c>
      <c r="C48" s="156">
        <v>523645</v>
      </c>
      <c r="D48" s="156">
        <v>42165002</v>
      </c>
      <c r="E48" s="156" t="s">
        <v>3241</v>
      </c>
      <c r="F48" s="156">
        <v>42</v>
      </c>
      <c r="G48" s="62" t="s">
        <v>3242</v>
      </c>
      <c r="H48" s="156" t="s">
        <v>271</v>
      </c>
      <c r="I48" s="62">
        <v>962353654</v>
      </c>
      <c r="J48" s="353" t="s">
        <v>164</v>
      </c>
      <c r="K48" s="155">
        <v>46085</v>
      </c>
      <c r="L48" s="156" t="s">
        <v>458</v>
      </c>
      <c r="M48" s="156" t="s">
        <v>260</v>
      </c>
      <c r="N48" s="255" t="s">
        <v>3214</v>
      </c>
      <c r="O48" s="155">
        <v>46087</v>
      </c>
      <c r="P48" s="51" t="s">
        <v>1951</v>
      </c>
      <c r="Q48" s="879" t="s">
        <v>358</v>
      </c>
      <c r="R48" s="839"/>
      <c r="S48" s="839"/>
      <c r="T48" s="839"/>
      <c r="U48" s="839"/>
      <c r="V48" s="839"/>
      <c r="W48" s="839"/>
      <c r="X48" s="839"/>
      <c r="Y48" s="839"/>
      <c r="Z48" s="839"/>
      <c r="AA48" s="839"/>
      <c r="AB48" s="839"/>
      <c r="AC48" s="839"/>
      <c r="AD48" s="839"/>
      <c r="AE48" s="839"/>
      <c r="AF48" s="839"/>
      <c r="AG48" s="839"/>
      <c r="AH48" s="839"/>
      <c r="AI48" s="839"/>
    </row>
    <row r="49" spans="1:35">
      <c r="A49" s="224"/>
      <c r="B49" s="156">
        <v>47</v>
      </c>
      <c r="C49" s="156">
        <v>259514</v>
      </c>
      <c r="D49" s="156">
        <v>41794080</v>
      </c>
      <c r="E49" s="156" t="s">
        <v>3243</v>
      </c>
      <c r="F49" s="156">
        <v>43</v>
      </c>
      <c r="G49" s="156" t="s">
        <v>3244</v>
      </c>
      <c r="H49" s="156" t="s">
        <v>278</v>
      </c>
      <c r="I49" s="156" t="s">
        <v>3245</v>
      </c>
      <c r="J49" s="353" t="s">
        <v>238</v>
      </c>
      <c r="K49" s="155">
        <v>46085</v>
      </c>
      <c r="L49" s="156" t="s">
        <v>3246</v>
      </c>
      <c r="M49" s="156" t="s">
        <v>260</v>
      </c>
      <c r="N49" s="255" t="s">
        <v>3247</v>
      </c>
      <c r="O49" s="152">
        <v>46090</v>
      </c>
      <c r="P49" s="732"/>
      <c r="Q49" s="152"/>
      <c r="R49" s="91"/>
      <c r="S49" s="91"/>
      <c r="T49" s="91"/>
      <c r="U49" s="91"/>
      <c r="V49" s="91"/>
      <c r="W49" s="91"/>
      <c r="X49" s="91"/>
      <c r="Y49" s="91"/>
      <c r="Z49" s="91"/>
      <c r="AA49" s="91"/>
      <c r="AB49" s="91"/>
      <c r="AC49" s="91"/>
      <c r="AD49" s="91"/>
      <c r="AE49" s="91"/>
      <c r="AF49" s="91"/>
      <c r="AG49" s="91"/>
      <c r="AH49" s="91"/>
      <c r="AI49" s="91"/>
    </row>
    <row r="50" spans="1:35">
      <c r="A50" s="225">
        <v>46086</v>
      </c>
      <c r="B50" s="156">
        <v>48</v>
      </c>
      <c r="C50" s="156">
        <v>523666</v>
      </c>
      <c r="D50" s="156">
        <v>15963789</v>
      </c>
      <c r="E50" s="156" t="s">
        <v>3248</v>
      </c>
      <c r="F50" s="156">
        <v>66</v>
      </c>
      <c r="G50" s="156" t="s">
        <v>3249</v>
      </c>
      <c r="H50" s="156" t="s">
        <v>2505</v>
      </c>
      <c r="I50" s="156" t="s">
        <v>3250</v>
      </c>
      <c r="J50" s="353" t="s">
        <v>162</v>
      </c>
      <c r="K50" s="155">
        <v>46086</v>
      </c>
      <c r="L50" s="156" t="s">
        <v>1794</v>
      </c>
      <c r="M50" s="156" t="s">
        <v>312</v>
      </c>
      <c r="N50" s="255" t="s">
        <v>317</v>
      </c>
      <c r="O50" s="152">
        <v>46090</v>
      </c>
      <c r="P50" s="51" t="s">
        <v>1951</v>
      </c>
      <c r="Q50" s="877" t="s">
        <v>358</v>
      </c>
      <c r="R50" s="837"/>
      <c r="S50" s="837"/>
      <c r="T50" s="837"/>
      <c r="U50" s="837"/>
      <c r="V50" s="837"/>
      <c r="W50" s="837"/>
      <c r="X50" s="837"/>
      <c r="Y50" s="837"/>
      <c r="Z50" s="837"/>
      <c r="AA50" s="837"/>
      <c r="AB50" s="837"/>
      <c r="AC50" s="837"/>
      <c r="AD50" s="837"/>
      <c r="AE50" s="837"/>
      <c r="AF50" s="837"/>
      <c r="AG50" s="837"/>
      <c r="AH50" s="837"/>
      <c r="AI50" s="837"/>
    </row>
    <row r="51" spans="1:35">
      <c r="A51" s="224"/>
      <c r="B51" s="156">
        <v>49</v>
      </c>
      <c r="C51" s="156">
        <v>523670</v>
      </c>
      <c r="D51" s="156">
        <v>42385570</v>
      </c>
      <c r="E51" s="156" t="s">
        <v>3251</v>
      </c>
      <c r="F51" s="156">
        <v>41</v>
      </c>
      <c r="G51" s="156" t="s">
        <v>3252</v>
      </c>
      <c r="H51" s="156" t="s">
        <v>461</v>
      </c>
      <c r="I51" s="156">
        <v>920483093</v>
      </c>
      <c r="J51" s="353" t="s">
        <v>162</v>
      </c>
      <c r="K51" s="155">
        <v>46086</v>
      </c>
      <c r="L51" s="156" t="s">
        <v>584</v>
      </c>
      <c r="M51" s="156" t="s">
        <v>260</v>
      </c>
      <c r="N51" s="255" t="s">
        <v>3253</v>
      </c>
      <c r="O51" s="152">
        <v>46094</v>
      </c>
      <c r="P51" s="51" t="s">
        <v>3254</v>
      </c>
      <c r="Q51" s="875" t="s">
        <v>358</v>
      </c>
      <c r="R51" s="838"/>
      <c r="S51" s="838"/>
      <c r="T51" s="838"/>
      <c r="U51" s="838"/>
      <c r="V51" s="838"/>
      <c r="W51" s="838"/>
      <c r="X51" s="838"/>
      <c r="Y51" s="838"/>
      <c r="Z51" s="838"/>
      <c r="AA51" s="838"/>
      <c r="AB51" s="838"/>
      <c r="AC51" s="838"/>
      <c r="AD51" s="838"/>
      <c r="AE51" s="838"/>
      <c r="AF51" s="838"/>
      <c r="AG51" s="838"/>
      <c r="AH51" s="838"/>
      <c r="AI51" s="838"/>
    </row>
    <row r="52" spans="1:35">
      <c r="A52" s="224"/>
      <c r="B52" s="156">
        <v>50</v>
      </c>
      <c r="C52" s="156">
        <v>302838</v>
      </c>
      <c r="D52" s="156">
        <v>15611084</v>
      </c>
      <c r="E52" s="156" t="s">
        <v>3255</v>
      </c>
      <c r="F52" s="156">
        <v>61</v>
      </c>
      <c r="G52" s="156" t="s">
        <v>3256</v>
      </c>
      <c r="H52" s="156" t="s">
        <v>278</v>
      </c>
      <c r="I52" s="156">
        <v>954483497</v>
      </c>
      <c r="J52" s="353" t="s">
        <v>238</v>
      </c>
      <c r="K52" s="155">
        <v>46086</v>
      </c>
      <c r="L52" s="156" t="s">
        <v>1156</v>
      </c>
      <c r="M52" s="156" t="s">
        <v>230</v>
      </c>
      <c r="N52" s="255" t="s">
        <v>3247</v>
      </c>
      <c r="O52" s="152">
        <v>46090</v>
      </c>
      <c r="P52" s="732"/>
      <c r="Q52" s="152"/>
      <c r="R52" s="91"/>
      <c r="S52" s="91"/>
      <c r="T52" s="91"/>
      <c r="U52" s="91"/>
      <c r="V52" s="91"/>
      <c r="W52" s="91"/>
      <c r="X52" s="91"/>
      <c r="Y52" s="91"/>
      <c r="Z52" s="91"/>
      <c r="AA52" s="91"/>
      <c r="AB52" s="91"/>
      <c r="AC52" s="91"/>
      <c r="AD52" s="91"/>
      <c r="AE52" s="91"/>
      <c r="AF52" s="91"/>
      <c r="AG52" s="91"/>
      <c r="AH52" s="91"/>
      <c r="AI52" s="91"/>
    </row>
    <row r="53" spans="1:35">
      <c r="A53" s="227" t="s">
        <v>513</v>
      </c>
      <c r="B53" s="156">
        <v>51</v>
      </c>
      <c r="C53" s="156">
        <v>176338</v>
      </c>
      <c r="D53" s="156">
        <v>15648479</v>
      </c>
      <c r="E53" s="156" t="s">
        <v>3257</v>
      </c>
      <c r="F53" s="156">
        <v>55</v>
      </c>
      <c r="G53" s="156" t="s">
        <v>3258</v>
      </c>
      <c r="H53" s="156" t="s">
        <v>222</v>
      </c>
      <c r="I53" s="156">
        <v>987873590</v>
      </c>
      <c r="J53" s="353" t="s">
        <v>588</v>
      </c>
      <c r="K53" s="155">
        <v>46086</v>
      </c>
      <c r="L53" s="156" t="s">
        <v>1794</v>
      </c>
      <c r="M53" s="156" t="s">
        <v>230</v>
      </c>
      <c r="N53" s="255" t="s">
        <v>317</v>
      </c>
      <c r="O53" s="152">
        <v>46101</v>
      </c>
      <c r="P53" s="732" t="s">
        <v>3259</v>
      </c>
      <c r="Q53" s="65"/>
      <c r="R53" s="91"/>
      <c r="S53" s="91"/>
      <c r="T53" s="91"/>
      <c r="U53" s="91"/>
      <c r="V53" s="91"/>
      <c r="W53" s="91"/>
      <c r="X53" s="91"/>
      <c r="Y53" s="91"/>
      <c r="Z53" s="91"/>
      <c r="AA53" s="91"/>
      <c r="AB53" s="91"/>
      <c r="AC53" s="91"/>
      <c r="AD53" s="91"/>
      <c r="AE53" s="91"/>
      <c r="AF53" s="91"/>
      <c r="AG53" s="91"/>
      <c r="AH53" s="91"/>
      <c r="AI53" s="91"/>
    </row>
    <row r="54" spans="1:35">
      <c r="A54" s="224"/>
      <c r="B54" s="156">
        <v>52</v>
      </c>
      <c r="C54" s="156">
        <v>123135</v>
      </c>
      <c r="D54" s="156">
        <v>42499972</v>
      </c>
      <c r="E54" s="156" t="s">
        <v>3260</v>
      </c>
      <c r="F54" s="156">
        <v>41</v>
      </c>
      <c r="G54" s="156" t="s">
        <v>3261</v>
      </c>
      <c r="H54" s="156" t="s">
        <v>2505</v>
      </c>
      <c r="I54" s="156">
        <v>976937418</v>
      </c>
      <c r="J54" s="353" t="s">
        <v>302</v>
      </c>
      <c r="K54" s="155">
        <v>46086</v>
      </c>
      <c r="L54" s="156" t="s">
        <v>2865</v>
      </c>
      <c r="M54" s="156" t="s">
        <v>260</v>
      </c>
      <c r="N54" s="255" t="s">
        <v>1676</v>
      </c>
      <c r="O54" s="152" t="s">
        <v>2958</v>
      </c>
      <c r="P54" s="732" t="s">
        <v>2959</v>
      </c>
      <c r="Q54" s="152"/>
      <c r="R54" s="91"/>
      <c r="S54" s="91"/>
      <c r="T54" s="91"/>
      <c r="U54" s="91"/>
      <c r="V54" s="91"/>
      <c r="W54" s="91"/>
      <c r="X54" s="91"/>
      <c r="Y54" s="91"/>
      <c r="Z54" s="91"/>
      <c r="AA54" s="91"/>
      <c r="AB54" s="91"/>
      <c r="AC54" s="91"/>
      <c r="AD54" s="91"/>
      <c r="AE54" s="91"/>
      <c r="AF54" s="91"/>
      <c r="AG54" s="91"/>
      <c r="AH54" s="91"/>
      <c r="AI54" s="91"/>
    </row>
    <row r="55" spans="1:35">
      <c r="A55" s="224"/>
      <c r="B55" s="156">
        <v>53</v>
      </c>
      <c r="C55" s="156">
        <v>16</v>
      </c>
      <c r="D55" s="156">
        <v>15647725</v>
      </c>
      <c r="E55" s="156" t="s">
        <v>3262</v>
      </c>
      <c r="F55" s="156">
        <v>55</v>
      </c>
      <c r="G55" s="156" t="s">
        <v>3263</v>
      </c>
      <c r="H55" s="156" t="s">
        <v>222</v>
      </c>
      <c r="I55" s="156">
        <v>972780445</v>
      </c>
      <c r="J55" s="353" t="s">
        <v>707</v>
      </c>
      <c r="K55" s="155">
        <v>46086</v>
      </c>
      <c r="L55" s="156" t="s">
        <v>584</v>
      </c>
      <c r="M55" s="156" t="s">
        <v>260</v>
      </c>
      <c r="N55" s="255" t="s">
        <v>1676</v>
      </c>
      <c r="O55" s="152">
        <v>46101</v>
      </c>
      <c r="P55" s="732" t="s">
        <v>3264</v>
      </c>
      <c r="Q55" s="65"/>
      <c r="R55" s="91"/>
      <c r="S55" s="91"/>
      <c r="T55" s="91"/>
      <c r="U55" s="91"/>
      <c r="V55" s="91"/>
      <c r="W55" s="91"/>
      <c r="X55" s="91"/>
      <c r="Y55" s="91"/>
      <c r="Z55" s="91"/>
      <c r="AA55" s="91"/>
      <c r="AB55" s="91"/>
      <c r="AC55" s="91"/>
      <c r="AD55" s="91"/>
      <c r="AE55" s="91"/>
      <c r="AF55" s="91"/>
      <c r="AG55" s="91"/>
      <c r="AH55" s="91"/>
      <c r="AI55" s="91"/>
    </row>
    <row r="56" spans="1:35">
      <c r="A56" s="224"/>
      <c r="B56" s="156">
        <v>54</v>
      </c>
      <c r="C56" s="156">
        <v>260857</v>
      </c>
      <c r="D56" s="156">
        <v>40465950</v>
      </c>
      <c r="E56" s="156" t="s">
        <v>3265</v>
      </c>
      <c r="F56" s="156">
        <v>46</v>
      </c>
      <c r="G56" s="156" t="s">
        <v>3266</v>
      </c>
      <c r="H56" s="156" t="s">
        <v>288</v>
      </c>
      <c r="I56" s="156">
        <v>928229039</v>
      </c>
      <c r="J56" s="353" t="s">
        <v>289</v>
      </c>
      <c r="K56" s="155">
        <v>46086</v>
      </c>
      <c r="L56" s="156" t="s">
        <v>584</v>
      </c>
      <c r="M56" s="156" t="s">
        <v>260</v>
      </c>
      <c r="N56" s="255" t="s">
        <v>1676</v>
      </c>
      <c r="O56" s="155">
        <v>46091</v>
      </c>
      <c r="P56" s="855" t="s">
        <v>3114</v>
      </c>
      <c r="Q56" s="155"/>
      <c r="R56" s="91"/>
      <c r="S56" s="91"/>
      <c r="T56" s="91"/>
      <c r="U56" s="91"/>
      <c r="V56" s="91"/>
      <c r="W56" s="91"/>
      <c r="X56" s="91"/>
      <c r="Y56" s="91"/>
      <c r="Z56" s="91"/>
      <c r="AA56" s="91"/>
      <c r="AB56" s="91"/>
      <c r="AC56" s="91"/>
      <c r="AD56" s="91"/>
      <c r="AE56" s="91"/>
      <c r="AF56" s="91"/>
      <c r="AG56" s="91"/>
      <c r="AH56" s="91"/>
      <c r="AI56" s="91"/>
    </row>
    <row r="57" spans="1:35">
      <c r="A57" s="224"/>
      <c r="B57" s="156">
        <v>55</v>
      </c>
      <c r="C57" s="156">
        <v>459464</v>
      </c>
      <c r="D57" s="156">
        <v>42045019</v>
      </c>
      <c r="E57" s="156" t="s">
        <v>3267</v>
      </c>
      <c r="F57" s="156">
        <v>43</v>
      </c>
      <c r="G57" s="156" t="s">
        <v>3268</v>
      </c>
      <c r="H57" s="156" t="s">
        <v>1420</v>
      </c>
      <c r="I57" s="156">
        <v>964397725</v>
      </c>
      <c r="J57" s="353" t="s">
        <v>746</v>
      </c>
      <c r="K57" s="155">
        <v>46086</v>
      </c>
      <c r="L57" s="156" t="s">
        <v>3269</v>
      </c>
      <c r="M57" s="156" t="s">
        <v>266</v>
      </c>
      <c r="N57" s="255" t="s">
        <v>3270</v>
      </c>
      <c r="O57" s="152">
        <v>46090</v>
      </c>
      <c r="P57" s="150" t="s">
        <v>3271</v>
      </c>
      <c r="Q57" s="65"/>
      <c r="R57" s="91"/>
      <c r="S57" s="91"/>
      <c r="T57" s="91"/>
      <c r="U57" s="91"/>
      <c r="V57" s="91"/>
      <c r="W57" s="91"/>
      <c r="X57" s="91"/>
      <c r="Y57" s="91"/>
      <c r="Z57" s="91"/>
      <c r="AA57" s="91"/>
      <c r="AB57" s="91"/>
      <c r="AC57" s="91"/>
      <c r="AD57" s="91"/>
      <c r="AE57" s="91"/>
      <c r="AF57" s="91"/>
      <c r="AG57" s="91"/>
      <c r="AH57" s="91"/>
      <c r="AI57" s="91"/>
    </row>
    <row r="58" spans="1:35">
      <c r="A58" s="225">
        <v>46087</v>
      </c>
      <c r="B58" s="156">
        <v>56</v>
      </c>
      <c r="C58" s="156">
        <v>60123</v>
      </c>
      <c r="D58" s="62">
        <v>15730997</v>
      </c>
      <c r="E58" s="62" t="s">
        <v>3272</v>
      </c>
      <c r="F58" s="62">
        <v>56</v>
      </c>
      <c r="G58" s="156" t="s">
        <v>3273</v>
      </c>
      <c r="H58" s="62" t="s">
        <v>3274</v>
      </c>
      <c r="I58" s="62">
        <v>904336106</v>
      </c>
      <c r="J58" s="353" t="s">
        <v>302</v>
      </c>
      <c r="K58" s="155">
        <v>46087</v>
      </c>
      <c r="L58" s="156" t="s">
        <v>679</v>
      </c>
      <c r="M58" s="156" t="s">
        <v>230</v>
      </c>
      <c r="N58" s="255" t="s">
        <v>601</v>
      </c>
      <c r="O58" s="152">
        <v>46090</v>
      </c>
      <c r="P58" s="224" t="s">
        <v>3271</v>
      </c>
      <c r="Q58" s="152"/>
      <c r="R58" s="91"/>
      <c r="S58" s="91"/>
      <c r="T58" s="91"/>
      <c r="U58" s="91"/>
      <c r="V58" s="91"/>
      <c r="W58" s="91"/>
      <c r="X58" s="91"/>
      <c r="Y58" s="91"/>
      <c r="Z58" s="91"/>
      <c r="AA58" s="91"/>
      <c r="AB58" s="91"/>
      <c r="AC58" s="91"/>
      <c r="AD58" s="91"/>
      <c r="AE58" s="91"/>
      <c r="AF58" s="91"/>
      <c r="AG58" s="91"/>
      <c r="AH58" s="91"/>
      <c r="AI58" s="91"/>
    </row>
    <row r="59" spans="1:35" ht="24.75">
      <c r="A59" s="224"/>
      <c r="B59" s="156">
        <v>57</v>
      </c>
      <c r="C59" s="156">
        <v>224385</v>
      </c>
      <c r="D59" s="62">
        <v>42068697</v>
      </c>
      <c r="E59" s="62" t="s">
        <v>3275</v>
      </c>
      <c r="F59" s="62">
        <v>42</v>
      </c>
      <c r="G59" s="156" t="s">
        <v>3276</v>
      </c>
      <c r="H59" s="62" t="s">
        <v>222</v>
      </c>
      <c r="I59" s="62" t="s">
        <v>3277</v>
      </c>
      <c r="J59" s="353" t="s">
        <v>223</v>
      </c>
      <c r="K59" s="155">
        <v>46087</v>
      </c>
      <c r="L59" s="156" t="s">
        <v>679</v>
      </c>
      <c r="M59" s="156" t="s">
        <v>230</v>
      </c>
      <c r="N59" s="255" t="s">
        <v>807</v>
      </c>
      <c r="O59" s="215">
        <v>46093</v>
      </c>
      <c r="P59" s="765" t="s">
        <v>1498</v>
      </c>
      <c r="Q59" s="215"/>
      <c r="R59" s="91"/>
      <c r="S59" s="91"/>
      <c r="T59" s="91"/>
      <c r="U59" s="91"/>
      <c r="V59" s="91"/>
      <c r="W59" s="91"/>
      <c r="X59" s="91"/>
      <c r="Y59" s="91"/>
      <c r="Z59" s="91"/>
      <c r="AA59" s="91"/>
      <c r="AB59" s="91"/>
      <c r="AC59" s="91"/>
      <c r="AD59" s="91"/>
      <c r="AE59" s="91"/>
      <c r="AF59" s="91"/>
      <c r="AG59" s="91"/>
      <c r="AH59" s="91"/>
      <c r="AI59" s="91"/>
    </row>
    <row r="60" spans="1:35">
      <c r="A60" s="224"/>
      <c r="B60" s="156">
        <v>58</v>
      </c>
      <c r="C60" s="156">
        <v>95531</v>
      </c>
      <c r="D60" s="62">
        <v>15730765</v>
      </c>
      <c r="E60" s="62" t="s">
        <v>3278</v>
      </c>
      <c r="F60" s="62">
        <v>66</v>
      </c>
      <c r="G60" s="156" t="s">
        <v>3279</v>
      </c>
      <c r="H60" s="62" t="s">
        <v>301</v>
      </c>
      <c r="I60" s="62">
        <v>931592171</v>
      </c>
      <c r="J60" s="353" t="s">
        <v>302</v>
      </c>
      <c r="K60" s="155">
        <v>46087</v>
      </c>
      <c r="L60" s="156" t="s">
        <v>683</v>
      </c>
      <c r="M60" s="156" t="s">
        <v>312</v>
      </c>
      <c r="N60" s="255" t="s">
        <v>601</v>
      </c>
      <c r="O60" s="152" t="s">
        <v>2958</v>
      </c>
      <c r="P60" s="732" t="s">
        <v>2959</v>
      </c>
      <c r="Q60" s="152"/>
      <c r="R60" s="91"/>
      <c r="S60" s="91"/>
      <c r="T60" s="91"/>
      <c r="U60" s="91"/>
      <c r="V60" s="91"/>
      <c r="W60" s="91"/>
      <c r="X60" s="91"/>
      <c r="Y60" s="91"/>
      <c r="Z60" s="91"/>
      <c r="AA60" s="91"/>
      <c r="AB60" s="91"/>
      <c r="AC60" s="91"/>
      <c r="AD60" s="91"/>
      <c r="AE60" s="91"/>
      <c r="AF60" s="91"/>
      <c r="AG60" s="91"/>
      <c r="AH60" s="91"/>
      <c r="AI60" s="91"/>
    </row>
    <row r="61" spans="1:35">
      <c r="A61" s="229"/>
      <c r="B61" s="156">
        <v>59</v>
      </c>
      <c r="C61" s="156">
        <v>77743</v>
      </c>
      <c r="D61" s="156">
        <v>16022221</v>
      </c>
      <c r="E61" s="156" t="s">
        <v>3280</v>
      </c>
      <c r="F61" s="156">
        <v>48</v>
      </c>
      <c r="G61" s="156" t="s">
        <v>3281</v>
      </c>
      <c r="H61" s="156" t="s">
        <v>461</v>
      </c>
      <c r="I61" s="156">
        <v>991360520</v>
      </c>
      <c r="J61" s="353" t="s">
        <v>162</v>
      </c>
      <c r="K61" s="155">
        <v>46087</v>
      </c>
      <c r="L61" s="156" t="s">
        <v>679</v>
      </c>
      <c r="M61" s="156" t="s">
        <v>230</v>
      </c>
      <c r="N61" s="255" t="s">
        <v>317</v>
      </c>
      <c r="O61" s="152">
        <v>46090</v>
      </c>
      <c r="P61" s="51" t="s">
        <v>1951</v>
      </c>
      <c r="Q61" s="879" t="s">
        <v>358</v>
      </c>
      <c r="R61" s="839"/>
      <c r="S61" s="839"/>
      <c r="T61" s="839"/>
      <c r="U61" s="839"/>
      <c r="V61" s="839"/>
      <c r="W61" s="839"/>
      <c r="X61" s="839"/>
      <c r="Y61" s="839"/>
      <c r="Z61" s="839"/>
      <c r="AA61" s="839"/>
      <c r="AB61" s="839"/>
      <c r="AC61" s="839"/>
      <c r="AD61" s="839"/>
      <c r="AE61" s="839"/>
      <c r="AF61" s="839"/>
      <c r="AG61" s="839"/>
      <c r="AH61" s="839"/>
      <c r="AI61" s="839"/>
    </row>
    <row r="62" spans="1:35">
      <c r="A62" s="229"/>
      <c r="B62" s="156">
        <v>60</v>
      </c>
      <c r="C62" s="156">
        <v>152338</v>
      </c>
      <c r="D62" s="156">
        <v>15647987</v>
      </c>
      <c r="E62" s="156" t="s">
        <v>3282</v>
      </c>
      <c r="F62" s="156">
        <v>56</v>
      </c>
      <c r="G62" s="156" t="s">
        <v>3283</v>
      </c>
      <c r="H62" s="156" t="s">
        <v>1420</v>
      </c>
      <c r="I62" s="156">
        <v>913280353</v>
      </c>
      <c r="J62" s="353" t="s">
        <v>746</v>
      </c>
      <c r="K62" s="155">
        <v>46087</v>
      </c>
      <c r="L62" s="156" t="s">
        <v>3284</v>
      </c>
      <c r="M62" s="156" t="s">
        <v>312</v>
      </c>
      <c r="N62" s="255" t="s">
        <v>601</v>
      </c>
      <c r="O62" s="152">
        <v>46090</v>
      </c>
      <c r="P62" s="224" t="s">
        <v>3271</v>
      </c>
      <c r="Q62" s="65"/>
      <c r="R62" s="91"/>
      <c r="S62" s="91"/>
      <c r="T62" s="91"/>
      <c r="U62" s="91"/>
      <c r="V62" s="91"/>
      <c r="W62" s="91"/>
      <c r="X62" s="91"/>
      <c r="Y62" s="91"/>
      <c r="Z62" s="91"/>
      <c r="AA62" s="91"/>
      <c r="AB62" s="91"/>
      <c r="AC62" s="91"/>
      <c r="AD62" s="91"/>
      <c r="AE62" s="91"/>
      <c r="AF62" s="91"/>
      <c r="AG62" s="91"/>
      <c r="AH62" s="91"/>
      <c r="AI62" s="91"/>
    </row>
    <row r="63" spans="1:35">
      <c r="A63" s="229"/>
      <c r="B63" s="156">
        <v>61</v>
      </c>
      <c r="C63" s="156">
        <v>250659</v>
      </c>
      <c r="D63" s="156">
        <v>15656015</v>
      </c>
      <c r="E63" s="156" t="s">
        <v>3285</v>
      </c>
      <c r="F63" s="156">
        <v>64</v>
      </c>
      <c r="G63" s="156" t="s">
        <v>3286</v>
      </c>
      <c r="H63" s="156" t="s">
        <v>2505</v>
      </c>
      <c r="I63" s="65">
        <v>958230132</v>
      </c>
      <c r="J63" s="353" t="s">
        <v>1483</v>
      </c>
      <c r="K63" s="155">
        <v>46087</v>
      </c>
      <c r="L63" s="156" t="s">
        <v>3287</v>
      </c>
      <c r="M63" s="156" t="s">
        <v>260</v>
      </c>
      <c r="N63" s="255" t="s">
        <v>601</v>
      </c>
      <c r="O63" s="152">
        <v>46090</v>
      </c>
      <c r="P63" s="732" t="s">
        <v>3288</v>
      </c>
      <c r="Q63" s="152"/>
      <c r="R63" s="91"/>
      <c r="S63" s="91"/>
      <c r="T63" s="91"/>
      <c r="U63" s="91"/>
      <c r="V63" s="91"/>
      <c r="W63" s="91"/>
      <c r="X63" s="91"/>
      <c r="Y63" s="91"/>
      <c r="Z63" s="91"/>
      <c r="AA63" s="91"/>
      <c r="AB63" s="91"/>
      <c r="AC63" s="91"/>
      <c r="AD63" s="91"/>
      <c r="AE63" s="91"/>
      <c r="AF63" s="91"/>
      <c r="AG63" s="91"/>
      <c r="AH63" s="91"/>
      <c r="AI63" s="91"/>
    </row>
    <row r="64" spans="1:35">
      <c r="A64" s="229"/>
      <c r="B64" s="156">
        <v>62</v>
      </c>
      <c r="C64" s="156">
        <v>523708</v>
      </c>
      <c r="D64" s="156">
        <v>16018794</v>
      </c>
      <c r="E64" s="156" t="s">
        <v>3289</v>
      </c>
      <c r="F64" s="156">
        <v>49</v>
      </c>
      <c r="G64" s="156" t="s">
        <v>3290</v>
      </c>
      <c r="H64" s="156" t="s">
        <v>461</v>
      </c>
      <c r="I64" s="156">
        <v>932611542</v>
      </c>
      <c r="J64" s="353" t="s">
        <v>162</v>
      </c>
      <c r="K64" s="155">
        <v>46087</v>
      </c>
      <c r="L64" s="156" t="s">
        <v>3291</v>
      </c>
      <c r="M64" s="156" t="s">
        <v>260</v>
      </c>
      <c r="N64" s="255" t="s">
        <v>3214</v>
      </c>
      <c r="O64" s="152">
        <v>46090</v>
      </c>
      <c r="P64" s="51" t="s">
        <v>1951</v>
      </c>
      <c r="Q64" s="877" t="s">
        <v>358</v>
      </c>
      <c r="R64" s="837"/>
      <c r="S64" s="837"/>
      <c r="T64" s="837"/>
      <c r="U64" s="837"/>
      <c r="V64" s="837"/>
      <c r="W64" s="837"/>
      <c r="X64" s="837"/>
      <c r="Y64" s="837"/>
      <c r="Z64" s="837"/>
      <c r="AA64" s="837"/>
      <c r="AB64" s="837"/>
      <c r="AC64" s="837"/>
      <c r="AD64" s="837"/>
      <c r="AE64" s="837"/>
      <c r="AF64" s="837"/>
      <c r="AG64" s="837"/>
      <c r="AH64" s="837"/>
      <c r="AI64" s="837"/>
    </row>
    <row r="65" spans="1:35">
      <c r="A65" s="229"/>
      <c r="B65" s="156">
        <v>63</v>
      </c>
      <c r="C65" s="156">
        <v>150027</v>
      </c>
      <c r="D65" s="156">
        <v>15646618</v>
      </c>
      <c r="E65" s="156" t="s">
        <v>3292</v>
      </c>
      <c r="F65" s="156">
        <v>59</v>
      </c>
      <c r="G65" s="156" t="s">
        <v>3293</v>
      </c>
      <c r="H65" s="156" t="s">
        <v>222</v>
      </c>
      <c r="I65" s="156">
        <v>993655184</v>
      </c>
      <c r="J65" s="353" t="s">
        <v>238</v>
      </c>
      <c r="K65" s="155">
        <v>46087</v>
      </c>
      <c r="L65" s="156" t="s">
        <v>3294</v>
      </c>
      <c r="M65" s="156" t="s">
        <v>260</v>
      </c>
      <c r="N65" s="255" t="s">
        <v>3247</v>
      </c>
      <c r="O65" s="152">
        <v>46090</v>
      </c>
      <c r="P65" s="242"/>
      <c r="Q65" s="242" t="s">
        <v>3295</v>
      </c>
      <c r="R65" s="91"/>
      <c r="S65" s="91"/>
      <c r="T65" s="91"/>
      <c r="U65" s="91"/>
      <c r="V65" s="91"/>
      <c r="W65" s="91"/>
      <c r="X65" s="91"/>
      <c r="Y65" s="91"/>
      <c r="Z65" s="91"/>
      <c r="AA65" s="91"/>
      <c r="AB65" s="91"/>
      <c r="AC65" s="91"/>
      <c r="AD65" s="91"/>
      <c r="AE65" s="91"/>
      <c r="AF65" s="91"/>
      <c r="AG65" s="91"/>
      <c r="AH65" s="91"/>
      <c r="AI65" s="91"/>
    </row>
    <row r="66" spans="1:35">
      <c r="A66" s="229"/>
      <c r="B66" s="156">
        <v>64</v>
      </c>
      <c r="C66" s="156">
        <v>523716</v>
      </c>
      <c r="D66" s="156">
        <v>10187926</v>
      </c>
      <c r="E66" s="156" t="s">
        <v>3296</v>
      </c>
      <c r="F66" s="156">
        <v>59</v>
      </c>
      <c r="G66" s="156" t="s">
        <v>3297</v>
      </c>
      <c r="H66" s="156" t="s">
        <v>911</v>
      </c>
      <c r="I66" s="156">
        <v>935773697</v>
      </c>
      <c r="J66" s="353" t="s">
        <v>421</v>
      </c>
      <c r="K66" s="155">
        <v>46087</v>
      </c>
      <c r="L66" s="156" t="s">
        <v>2058</v>
      </c>
      <c r="M66" s="156" t="s">
        <v>260</v>
      </c>
      <c r="N66" s="255" t="s">
        <v>3247</v>
      </c>
      <c r="O66" s="152">
        <v>46090</v>
      </c>
      <c r="P66" s="51" t="s">
        <v>1951</v>
      </c>
      <c r="Q66" s="471" t="s">
        <v>358</v>
      </c>
      <c r="R66" s="91"/>
      <c r="S66" s="91"/>
      <c r="T66" s="91"/>
      <c r="U66" s="91"/>
      <c r="V66" s="91"/>
      <c r="W66" s="91"/>
      <c r="X66" s="91"/>
      <c r="Y66" s="91"/>
      <c r="Z66" s="91"/>
      <c r="AA66" s="91"/>
      <c r="AB66" s="91"/>
      <c r="AC66" s="91"/>
      <c r="AD66" s="91"/>
      <c r="AE66" s="91"/>
      <c r="AF66" s="91"/>
      <c r="AG66" s="91"/>
      <c r="AH66" s="91"/>
      <c r="AI66" s="91"/>
    </row>
    <row r="67" spans="1:35">
      <c r="A67" s="229"/>
      <c r="B67" s="156">
        <v>65</v>
      </c>
      <c r="C67" s="156">
        <v>156644</v>
      </c>
      <c r="D67" s="156">
        <v>80276063</v>
      </c>
      <c r="E67" s="156" t="s">
        <v>3298</v>
      </c>
      <c r="F67" s="156">
        <v>54</v>
      </c>
      <c r="G67" s="156" t="s">
        <v>3299</v>
      </c>
      <c r="H67" s="156" t="s">
        <v>911</v>
      </c>
      <c r="I67" s="156">
        <v>967933358</v>
      </c>
      <c r="J67" s="353" t="s">
        <v>421</v>
      </c>
      <c r="K67" s="155">
        <v>46087</v>
      </c>
      <c r="L67" s="156" t="s">
        <v>1098</v>
      </c>
      <c r="M67" s="156" t="s">
        <v>230</v>
      </c>
      <c r="N67" s="255" t="s">
        <v>3214</v>
      </c>
      <c r="O67" s="152">
        <v>46090</v>
      </c>
      <c r="P67" s="51" t="s">
        <v>1951</v>
      </c>
      <c r="Q67" s="471" t="s">
        <v>358</v>
      </c>
      <c r="R67" s="91"/>
      <c r="S67" s="91"/>
      <c r="T67" s="91"/>
      <c r="U67" s="91"/>
      <c r="V67" s="91"/>
      <c r="W67" s="91"/>
      <c r="X67" s="91"/>
      <c r="Y67" s="91"/>
      <c r="Z67" s="91"/>
      <c r="AA67" s="91"/>
      <c r="AB67" s="91"/>
      <c r="AC67" s="91"/>
      <c r="AD67" s="91"/>
      <c r="AE67" s="91"/>
      <c r="AF67" s="91"/>
      <c r="AG67" s="91"/>
      <c r="AH67" s="91"/>
      <c r="AI67" s="91"/>
    </row>
    <row r="68" spans="1:35">
      <c r="A68" s="229"/>
      <c r="B68" s="156">
        <v>66</v>
      </c>
      <c r="C68" s="156">
        <v>523715</v>
      </c>
      <c r="D68" s="156">
        <v>16015904</v>
      </c>
      <c r="E68" s="156" t="s">
        <v>3300</v>
      </c>
      <c r="F68" s="156">
        <v>59</v>
      </c>
      <c r="G68" s="156" t="s">
        <v>3301</v>
      </c>
      <c r="H68" s="156" t="s">
        <v>911</v>
      </c>
      <c r="I68" s="156" t="s">
        <v>3302</v>
      </c>
      <c r="J68" s="353" t="s">
        <v>421</v>
      </c>
      <c r="K68" s="155">
        <v>46087</v>
      </c>
      <c r="L68" s="156" t="s">
        <v>679</v>
      </c>
      <c r="M68" s="156" t="s">
        <v>230</v>
      </c>
      <c r="N68" s="255" t="s">
        <v>3214</v>
      </c>
      <c r="O68" s="152">
        <v>46090</v>
      </c>
      <c r="P68" s="51" t="s">
        <v>1951</v>
      </c>
      <c r="Q68" s="471" t="s">
        <v>358</v>
      </c>
      <c r="R68" s="91"/>
      <c r="S68" s="91"/>
      <c r="T68" s="91"/>
      <c r="U68" s="91"/>
      <c r="V68" s="91"/>
      <c r="W68" s="91"/>
      <c r="X68" s="91"/>
      <c r="Y68" s="91"/>
      <c r="Z68" s="91"/>
      <c r="AA68" s="91"/>
      <c r="AB68" s="91"/>
      <c r="AC68" s="91"/>
      <c r="AD68" s="91"/>
      <c r="AE68" s="91"/>
      <c r="AF68" s="91"/>
      <c r="AG68" s="91"/>
      <c r="AH68" s="91"/>
      <c r="AI68" s="91"/>
    </row>
    <row r="69" spans="1:35">
      <c r="A69" s="227" t="s">
        <v>513</v>
      </c>
      <c r="B69" s="156">
        <v>67</v>
      </c>
      <c r="C69" s="156">
        <v>164994</v>
      </c>
      <c r="D69" s="62">
        <v>48652828</v>
      </c>
      <c r="E69" s="62" t="s">
        <v>3303</v>
      </c>
      <c r="F69" s="156">
        <v>42</v>
      </c>
      <c r="G69" s="156" t="s">
        <v>3304</v>
      </c>
      <c r="H69" s="156" t="s">
        <v>271</v>
      </c>
      <c r="I69" s="62">
        <v>955152998</v>
      </c>
      <c r="J69" s="353" t="s">
        <v>164</v>
      </c>
      <c r="K69" s="155">
        <v>46087</v>
      </c>
      <c r="L69" s="156" t="s">
        <v>3305</v>
      </c>
      <c r="M69" s="156" t="s">
        <v>323</v>
      </c>
      <c r="N69" s="255" t="s">
        <v>3214</v>
      </c>
      <c r="O69" s="157">
        <v>46090</v>
      </c>
      <c r="P69" s="252" t="s">
        <v>1951</v>
      </c>
      <c r="Q69" s="875" t="s">
        <v>358</v>
      </c>
      <c r="R69" s="838"/>
      <c r="S69" s="838"/>
      <c r="T69" s="838"/>
      <c r="U69" s="838"/>
      <c r="V69" s="838"/>
      <c r="W69" s="838"/>
      <c r="X69" s="838"/>
      <c r="Y69" s="838"/>
      <c r="Z69" s="838"/>
      <c r="AA69" s="838"/>
      <c r="AB69" s="838"/>
      <c r="AC69" s="838"/>
      <c r="AD69" s="838"/>
      <c r="AE69" s="838"/>
      <c r="AF69" s="838"/>
      <c r="AG69" s="838"/>
      <c r="AH69" s="838"/>
      <c r="AI69" s="838"/>
    </row>
    <row r="70" spans="1:35">
      <c r="A70" s="229"/>
      <c r="B70" s="156">
        <v>68</v>
      </c>
      <c r="C70" s="156">
        <v>40693</v>
      </c>
      <c r="D70" s="156">
        <v>15724129</v>
      </c>
      <c r="E70" s="156" t="s">
        <v>3306</v>
      </c>
      <c r="F70" s="156">
        <v>57</v>
      </c>
      <c r="G70" s="156" t="s">
        <v>3307</v>
      </c>
      <c r="H70" s="156" t="s">
        <v>2330</v>
      </c>
      <c r="I70" s="156" t="s">
        <v>3308</v>
      </c>
      <c r="J70" s="353" t="s">
        <v>742</v>
      </c>
      <c r="K70" s="155">
        <v>46087</v>
      </c>
      <c r="L70" s="156" t="s">
        <v>3309</v>
      </c>
      <c r="M70" s="156" t="s">
        <v>323</v>
      </c>
      <c r="N70" s="255" t="s">
        <v>1676</v>
      </c>
      <c r="O70" s="217">
        <v>46094</v>
      </c>
      <c r="P70" s="858" t="s">
        <v>2165</v>
      </c>
      <c r="Q70" s="215"/>
      <c r="R70" s="91"/>
      <c r="S70" s="91"/>
      <c r="T70" s="91"/>
      <c r="U70" s="91"/>
      <c r="V70" s="91"/>
      <c r="W70" s="91"/>
      <c r="X70" s="91"/>
      <c r="Y70" s="91"/>
      <c r="Z70" s="91"/>
      <c r="AA70" s="91"/>
      <c r="AB70" s="91"/>
      <c r="AC70" s="91"/>
      <c r="AD70" s="91"/>
      <c r="AE70" s="91"/>
      <c r="AF70" s="91"/>
      <c r="AG70" s="91"/>
      <c r="AH70" s="91"/>
      <c r="AI70" s="91"/>
    </row>
    <row r="71" spans="1:35">
      <c r="A71" s="229"/>
      <c r="B71" s="156">
        <v>69</v>
      </c>
      <c r="C71" s="156">
        <v>277379</v>
      </c>
      <c r="D71" s="156">
        <v>42230673</v>
      </c>
      <c r="E71" s="156" t="s">
        <v>3310</v>
      </c>
      <c r="F71" s="156">
        <v>41</v>
      </c>
      <c r="G71" s="156" t="s">
        <v>3311</v>
      </c>
      <c r="H71" s="156" t="s">
        <v>1581</v>
      </c>
      <c r="I71" s="156">
        <v>907583594</v>
      </c>
      <c r="J71" s="353" t="s">
        <v>384</v>
      </c>
      <c r="K71" s="155">
        <v>46087</v>
      </c>
      <c r="L71" s="156" t="s">
        <v>458</v>
      </c>
      <c r="M71" s="156" t="s">
        <v>260</v>
      </c>
      <c r="N71" s="255" t="s">
        <v>601</v>
      </c>
      <c r="O71" s="424">
        <v>46101</v>
      </c>
      <c r="P71" s="224" t="s">
        <v>3125</v>
      </c>
      <c r="Q71" s="65"/>
      <c r="R71" s="91"/>
      <c r="S71" s="91"/>
      <c r="T71" s="91"/>
      <c r="U71" s="91"/>
      <c r="V71" s="91"/>
      <c r="W71" s="91"/>
      <c r="X71" s="91"/>
      <c r="Y71" s="91"/>
      <c r="Z71" s="91"/>
      <c r="AA71" s="91"/>
      <c r="AB71" s="91"/>
      <c r="AC71" s="91"/>
      <c r="AD71" s="91"/>
      <c r="AE71" s="91"/>
      <c r="AF71" s="91"/>
      <c r="AG71" s="91"/>
      <c r="AH71" s="91"/>
      <c r="AI71" s="91"/>
    </row>
    <row r="72" spans="1:35">
      <c r="A72" s="229"/>
      <c r="B72" s="156">
        <v>70</v>
      </c>
      <c r="C72" s="156">
        <v>123914</v>
      </c>
      <c r="D72" s="156">
        <v>15580564</v>
      </c>
      <c r="E72" s="156" t="s">
        <v>3312</v>
      </c>
      <c r="F72" s="156">
        <v>63</v>
      </c>
      <c r="G72" s="156" t="s">
        <v>3313</v>
      </c>
      <c r="H72" s="156" t="s">
        <v>1581</v>
      </c>
      <c r="I72" s="156">
        <v>984124565</v>
      </c>
      <c r="J72" s="353" t="s">
        <v>384</v>
      </c>
      <c r="K72" s="155">
        <v>46087</v>
      </c>
      <c r="L72" s="156" t="s">
        <v>1098</v>
      </c>
      <c r="M72" s="156" t="s">
        <v>230</v>
      </c>
      <c r="N72" s="255" t="s">
        <v>601</v>
      </c>
      <c r="O72" s="424">
        <v>46101</v>
      </c>
      <c r="P72" s="224" t="s">
        <v>3125</v>
      </c>
      <c r="Q72" s="65"/>
      <c r="R72" s="91"/>
      <c r="S72" s="91"/>
      <c r="T72" s="91"/>
      <c r="U72" s="91"/>
      <c r="V72" s="91"/>
      <c r="W72" s="91"/>
      <c r="X72" s="91"/>
      <c r="Y72" s="91"/>
      <c r="Z72" s="91"/>
      <c r="AA72" s="91"/>
      <c r="AB72" s="91"/>
      <c r="AC72" s="91"/>
      <c r="AD72" s="91"/>
      <c r="AE72" s="91"/>
      <c r="AF72" s="91"/>
      <c r="AG72" s="91"/>
      <c r="AH72" s="91"/>
      <c r="AI72" s="91"/>
    </row>
    <row r="73" spans="1:35">
      <c r="A73" s="229"/>
      <c r="B73" s="156">
        <v>71</v>
      </c>
      <c r="C73" s="156">
        <v>291347</v>
      </c>
      <c r="D73" s="156">
        <v>80673197</v>
      </c>
      <c r="E73" s="156" t="s">
        <v>3314</v>
      </c>
      <c r="F73" s="156">
        <v>45</v>
      </c>
      <c r="G73" s="156" t="s">
        <v>3315</v>
      </c>
      <c r="H73" s="156" t="s">
        <v>3316</v>
      </c>
      <c r="I73" s="156" t="s">
        <v>3317</v>
      </c>
      <c r="J73" s="353" t="s">
        <v>384</v>
      </c>
      <c r="K73" s="155">
        <v>46087</v>
      </c>
      <c r="L73" s="156" t="s">
        <v>3318</v>
      </c>
      <c r="M73" s="156" t="s">
        <v>260</v>
      </c>
      <c r="N73" s="255" t="s">
        <v>601</v>
      </c>
      <c r="O73" s="424">
        <v>46101</v>
      </c>
      <c r="P73" s="224" t="s">
        <v>3125</v>
      </c>
      <c r="Q73" s="65"/>
      <c r="R73" s="91"/>
      <c r="S73" s="91"/>
      <c r="T73" s="91"/>
      <c r="U73" s="91"/>
      <c r="V73" s="91"/>
      <c r="W73" s="91"/>
      <c r="X73" s="91"/>
      <c r="Y73" s="91"/>
      <c r="Z73" s="91"/>
      <c r="AA73" s="91"/>
      <c r="AB73" s="91"/>
      <c r="AC73" s="91"/>
      <c r="AD73" s="91"/>
      <c r="AE73" s="91"/>
      <c r="AF73" s="91"/>
      <c r="AG73" s="91"/>
      <c r="AH73" s="91"/>
      <c r="AI73" s="91"/>
    </row>
    <row r="74" spans="1:35">
      <c r="A74" s="229"/>
      <c r="B74" s="156">
        <v>72</v>
      </c>
      <c r="C74" s="156">
        <v>53863</v>
      </c>
      <c r="D74" s="156">
        <v>32046392</v>
      </c>
      <c r="E74" s="156" t="s">
        <v>3319</v>
      </c>
      <c r="F74" s="156">
        <v>50</v>
      </c>
      <c r="G74" s="156" t="s">
        <v>3320</v>
      </c>
      <c r="H74" s="156" t="s">
        <v>1764</v>
      </c>
      <c r="I74" s="156">
        <v>958069256</v>
      </c>
      <c r="J74" s="353" t="s">
        <v>1527</v>
      </c>
      <c r="K74" s="155">
        <v>46087</v>
      </c>
      <c r="L74" s="156" t="s">
        <v>679</v>
      </c>
      <c r="M74" s="156" t="s">
        <v>230</v>
      </c>
      <c r="N74" s="255" t="s">
        <v>601</v>
      </c>
      <c r="O74" s="215">
        <v>46094</v>
      </c>
      <c r="P74" s="247" t="s">
        <v>1529</v>
      </c>
      <c r="Q74" s="215"/>
      <c r="R74" s="91"/>
      <c r="S74" s="91"/>
      <c r="T74" s="91"/>
      <c r="U74" s="91"/>
      <c r="V74" s="91"/>
      <c r="W74" s="91"/>
      <c r="X74" s="91"/>
      <c r="Y74" s="91"/>
      <c r="Z74" s="91"/>
      <c r="AA74" s="91"/>
      <c r="AB74" s="91"/>
      <c r="AC74" s="91"/>
      <c r="AD74" s="91"/>
      <c r="AE74" s="91"/>
      <c r="AF74" s="91"/>
      <c r="AG74" s="91"/>
      <c r="AH74" s="91"/>
      <c r="AI74" s="91"/>
    </row>
    <row r="75" spans="1:35">
      <c r="A75" s="229"/>
      <c r="B75" s="156">
        <v>73</v>
      </c>
      <c r="C75" s="156">
        <v>77725</v>
      </c>
      <c r="D75" s="156">
        <v>15731211</v>
      </c>
      <c r="E75" s="156" t="s">
        <v>3321</v>
      </c>
      <c r="F75" s="156">
        <v>55</v>
      </c>
      <c r="G75" s="156" t="s">
        <v>3322</v>
      </c>
      <c r="H75" s="156" t="s">
        <v>301</v>
      </c>
      <c r="I75" s="156">
        <v>933854076</v>
      </c>
      <c r="J75" s="353" t="s">
        <v>380</v>
      </c>
      <c r="K75" s="155">
        <v>46087</v>
      </c>
      <c r="L75" s="156" t="s">
        <v>1098</v>
      </c>
      <c r="M75" s="156" t="s">
        <v>230</v>
      </c>
      <c r="N75" s="255" t="s">
        <v>601</v>
      </c>
      <c r="O75" s="215">
        <v>46093</v>
      </c>
      <c r="P75" s="765" t="s">
        <v>1873</v>
      </c>
      <c r="Q75" s="215"/>
      <c r="R75" s="91"/>
      <c r="S75" s="91"/>
      <c r="T75" s="91"/>
      <c r="U75" s="91"/>
      <c r="V75" s="91"/>
      <c r="W75" s="91"/>
      <c r="X75" s="91"/>
      <c r="Y75" s="91"/>
      <c r="Z75" s="91"/>
      <c r="AA75" s="91"/>
      <c r="AB75" s="91"/>
      <c r="AC75" s="91"/>
      <c r="AD75" s="91"/>
      <c r="AE75" s="91"/>
      <c r="AF75" s="91"/>
      <c r="AG75" s="91"/>
      <c r="AH75" s="91"/>
      <c r="AI75" s="91"/>
    </row>
    <row r="76" spans="1:35">
      <c r="A76" s="229"/>
      <c r="B76" s="156">
        <v>74</v>
      </c>
      <c r="C76" s="156">
        <v>296322</v>
      </c>
      <c r="D76" s="156">
        <v>42076555</v>
      </c>
      <c r="E76" s="156" t="s">
        <v>3323</v>
      </c>
      <c r="F76" s="156">
        <v>42</v>
      </c>
      <c r="G76" s="156" t="s">
        <v>3324</v>
      </c>
      <c r="H76" s="156" t="s">
        <v>237</v>
      </c>
      <c r="I76" s="156">
        <v>944358443</v>
      </c>
      <c r="J76" s="353" t="s">
        <v>1105</v>
      </c>
      <c r="K76" s="155">
        <v>46087</v>
      </c>
      <c r="L76" s="156" t="s">
        <v>458</v>
      </c>
      <c r="M76" s="156" t="s">
        <v>260</v>
      </c>
      <c r="N76" s="255" t="s">
        <v>601</v>
      </c>
      <c r="O76" s="152">
        <v>46098</v>
      </c>
      <c r="P76" s="732" t="s">
        <v>3142</v>
      </c>
      <c r="Q76" s="65"/>
      <c r="R76" s="91"/>
      <c r="S76" s="91"/>
      <c r="T76" s="91"/>
      <c r="U76" s="91"/>
      <c r="V76" s="91"/>
      <c r="W76" s="91"/>
      <c r="X76" s="91"/>
      <c r="Y76" s="91"/>
      <c r="Z76" s="91"/>
      <c r="AA76" s="91"/>
      <c r="AB76" s="91"/>
      <c r="AC76" s="91"/>
      <c r="AD76" s="91"/>
      <c r="AE76" s="91"/>
      <c r="AF76" s="91"/>
      <c r="AG76" s="91"/>
      <c r="AH76" s="91"/>
      <c r="AI76" s="91"/>
    </row>
    <row r="77" spans="1:35">
      <c r="A77" s="229"/>
      <c r="B77" s="156">
        <v>75</v>
      </c>
      <c r="C77" s="156">
        <v>523723</v>
      </c>
      <c r="D77" s="156">
        <v>44105057</v>
      </c>
      <c r="E77" s="156" t="s">
        <v>3325</v>
      </c>
      <c r="F77" s="156">
        <v>40</v>
      </c>
      <c r="G77" s="156" t="s">
        <v>3326</v>
      </c>
      <c r="H77" s="156" t="s">
        <v>461</v>
      </c>
      <c r="I77" s="156">
        <v>904068392</v>
      </c>
      <c r="J77" s="353" t="s">
        <v>421</v>
      </c>
      <c r="K77" s="155">
        <v>46087</v>
      </c>
      <c r="L77" s="156" t="s">
        <v>3327</v>
      </c>
      <c r="M77" s="156" t="s">
        <v>260</v>
      </c>
      <c r="N77" s="255" t="s">
        <v>601</v>
      </c>
      <c r="O77" s="152">
        <v>46090</v>
      </c>
      <c r="P77" s="51" t="s">
        <v>1951</v>
      </c>
      <c r="Q77" s="877" t="s">
        <v>358</v>
      </c>
      <c r="R77" s="837"/>
      <c r="S77" s="837"/>
      <c r="T77" s="837"/>
      <c r="U77" s="837"/>
      <c r="V77" s="837"/>
      <c r="W77" s="837"/>
      <c r="X77" s="837"/>
      <c r="Y77" s="837"/>
      <c r="Z77" s="837"/>
      <c r="AA77" s="837"/>
      <c r="AB77" s="837"/>
      <c r="AC77" s="837"/>
      <c r="AD77" s="837"/>
      <c r="AE77" s="837"/>
      <c r="AF77" s="837"/>
      <c r="AG77" s="837"/>
      <c r="AH77" s="837"/>
      <c r="AI77" s="837"/>
    </row>
    <row r="78" spans="1:35">
      <c r="A78" s="225">
        <v>46090</v>
      </c>
      <c r="B78" s="156">
        <v>76</v>
      </c>
      <c r="C78" s="156">
        <v>523789</v>
      </c>
      <c r="D78" s="156">
        <v>16011398</v>
      </c>
      <c r="E78" s="156" t="s">
        <v>3328</v>
      </c>
      <c r="F78" s="156">
        <v>49</v>
      </c>
      <c r="G78" s="156" t="s">
        <v>3329</v>
      </c>
      <c r="H78" s="156" t="s">
        <v>1070</v>
      </c>
      <c r="I78" s="156">
        <v>973224441</v>
      </c>
      <c r="J78" s="353" t="s">
        <v>1804</v>
      </c>
      <c r="K78" s="155">
        <v>46090</v>
      </c>
      <c r="L78" s="43" t="s">
        <v>584</v>
      </c>
      <c r="M78" s="43" t="s">
        <v>260</v>
      </c>
      <c r="N78" s="43" t="s">
        <v>3253</v>
      </c>
      <c r="O78" s="680">
        <v>46094</v>
      </c>
      <c r="P78" s="242" t="s">
        <v>3330</v>
      </c>
      <c r="Q78" s="875" t="s">
        <v>358</v>
      </c>
      <c r="R78" s="838"/>
      <c r="S78" s="838"/>
      <c r="T78" s="838"/>
      <c r="U78" s="838"/>
      <c r="V78" s="838"/>
      <c r="W78" s="838"/>
      <c r="X78" s="838"/>
      <c r="Y78" s="838"/>
      <c r="Z78" s="838"/>
      <c r="AA78" s="838"/>
      <c r="AB78" s="838"/>
      <c r="AC78" s="838"/>
      <c r="AD78" s="838"/>
      <c r="AE78" s="838"/>
      <c r="AF78" s="838"/>
      <c r="AG78" s="838"/>
      <c r="AH78" s="838"/>
      <c r="AI78" s="838"/>
    </row>
    <row r="79" spans="1:35">
      <c r="A79" s="229"/>
      <c r="B79" s="156">
        <v>77</v>
      </c>
      <c r="C79" s="156">
        <v>143464</v>
      </c>
      <c r="D79" s="156">
        <v>15731847</v>
      </c>
      <c r="E79" s="156" t="s">
        <v>3331</v>
      </c>
      <c r="F79" s="156">
        <v>53</v>
      </c>
      <c r="G79" s="156" t="s">
        <v>3332</v>
      </c>
      <c r="H79" s="156" t="s">
        <v>301</v>
      </c>
      <c r="I79" s="156" t="s">
        <v>3333</v>
      </c>
      <c r="J79" s="353" t="s">
        <v>302</v>
      </c>
      <c r="K79" s="155">
        <v>46090</v>
      </c>
      <c r="L79" s="43" t="s">
        <v>584</v>
      </c>
      <c r="M79" s="43" t="s">
        <v>230</v>
      </c>
      <c r="N79" s="43" t="s">
        <v>3253</v>
      </c>
      <c r="O79" s="762" t="s">
        <v>2958</v>
      </c>
      <c r="P79" s="732" t="s">
        <v>2959</v>
      </c>
      <c r="Q79" s="91"/>
      <c r="R79" s="91"/>
      <c r="S79" s="91"/>
      <c r="T79" s="91"/>
      <c r="U79" s="91"/>
      <c r="V79" s="91"/>
      <c r="W79" s="91"/>
      <c r="X79" s="91"/>
      <c r="Y79" s="91"/>
      <c r="Z79" s="91"/>
      <c r="AA79" s="91"/>
      <c r="AB79" s="91"/>
      <c r="AC79" s="91"/>
      <c r="AD79" s="91"/>
      <c r="AE79" s="91"/>
      <c r="AF79" s="91"/>
      <c r="AG79" s="91"/>
      <c r="AH79" s="91"/>
      <c r="AI79" s="91"/>
    </row>
    <row r="80" spans="1:35">
      <c r="A80" s="229"/>
      <c r="B80" s="156">
        <v>78</v>
      </c>
      <c r="C80" s="156">
        <v>18205</v>
      </c>
      <c r="D80" s="236">
        <v>15598974</v>
      </c>
      <c r="E80" s="156" t="s">
        <v>3334</v>
      </c>
      <c r="F80" s="156">
        <v>60</v>
      </c>
      <c r="G80" s="156" t="s">
        <v>3335</v>
      </c>
      <c r="H80" s="156" t="s">
        <v>278</v>
      </c>
      <c r="I80" s="156" t="s">
        <v>3336</v>
      </c>
      <c r="J80" s="353" t="s">
        <v>238</v>
      </c>
      <c r="K80" s="155">
        <v>46090</v>
      </c>
      <c r="L80" s="43" t="s">
        <v>2164</v>
      </c>
      <c r="M80" s="43" t="s">
        <v>312</v>
      </c>
      <c r="N80" s="43" t="s">
        <v>3253</v>
      </c>
      <c r="O80" s="680">
        <v>46094</v>
      </c>
      <c r="P80" s="732"/>
      <c r="Q80" s="732" t="s">
        <v>2284</v>
      </c>
      <c r="R80" s="91"/>
      <c r="S80" s="91"/>
      <c r="T80" s="91"/>
      <c r="U80" s="91"/>
      <c r="V80" s="91"/>
      <c r="W80" s="91"/>
      <c r="X80" s="91"/>
      <c r="Y80" s="91"/>
      <c r="Z80" s="91"/>
      <c r="AA80" s="91"/>
      <c r="AB80" s="91"/>
      <c r="AC80" s="91"/>
      <c r="AD80" s="91"/>
      <c r="AE80" s="91"/>
      <c r="AF80" s="91"/>
      <c r="AG80" s="91"/>
      <c r="AH80" s="91"/>
      <c r="AI80" s="91"/>
    </row>
    <row r="81" spans="1:35">
      <c r="A81" s="224"/>
      <c r="B81" s="156">
        <v>79</v>
      </c>
      <c r="C81" s="156">
        <v>193415</v>
      </c>
      <c r="D81" s="156">
        <v>15726999</v>
      </c>
      <c r="E81" s="156" t="s">
        <v>3337</v>
      </c>
      <c r="F81" s="156">
        <v>55</v>
      </c>
      <c r="G81" s="156" t="s">
        <v>3338</v>
      </c>
      <c r="H81" s="156" t="s">
        <v>278</v>
      </c>
      <c r="I81" s="156">
        <v>931579955</v>
      </c>
      <c r="J81" s="353" t="s">
        <v>238</v>
      </c>
      <c r="K81" s="155">
        <v>46090</v>
      </c>
      <c r="L81" s="43" t="s">
        <v>1156</v>
      </c>
      <c r="M81" s="43" t="s">
        <v>230</v>
      </c>
      <c r="N81" s="43" t="s">
        <v>3253</v>
      </c>
      <c r="O81" s="763">
        <v>46094</v>
      </c>
      <c r="P81" s="224"/>
      <c r="Q81" s="224" t="s">
        <v>3339</v>
      </c>
      <c r="R81" s="91"/>
      <c r="S81" s="91"/>
      <c r="T81" s="91"/>
      <c r="U81" s="91"/>
      <c r="V81" s="91"/>
      <c r="W81" s="91"/>
      <c r="X81" s="91"/>
      <c r="Y81" s="91"/>
      <c r="Z81" s="91"/>
      <c r="AA81" s="91"/>
      <c r="AB81" s="91"/>
      <c r="AC81" s="91"/>
      <c r="AD81" s="91"/>
      <c r="AE81" s="91"/>
      <c r="AF81" s="91"/>
      <c r="AG81" s="91"/>
      <c r="AH81" s="91"/>
      <c r="AI81" s="91"/>
    </row>
    <row r="82" spans="1:35">
      <c r="A82" s="224"/>
      <c r="B82" s="156">
        <v>80</v>
      </c>
      <c r="C82" s="156">
        <v>35706</v>
      </c>
      <c r="D82" s="156">
        <v>43416086</v>
      </c>
      <c r="E82" s="156" t="s">
        <v>3340</v>
      </c>
      <c r="F82" s="156">
        <v>40</v>
      </c>
      <c r="G82" s="156" t="s">
        <v>3341</v>
      </c>
      <c r="H82" s="156" t="s">
        <v>326</v>
      </c>
      <c r="I82" s="156">
        <v>901520200</v>
      </c>
      <c r="J82" s="353" t="s">
        <v>375</v>
      </c>
      <c r="K82" s="155">
        <v>46090</v>
      </c>
      <c r="L82" s="43" t="s">
        <v>3342</v>
      </c>
      <c r="M82" s="43" t="s">
        <v>260</v>
      </c>
      <c r="N82" s="43" t="s">
        <v>3253</v>
      </c>
      <c r="O82" s="437">
        <v>46094</v>
      </c>
      <c r="P82" s="248" t="s">
        <v>3030</v>
      </c>
      <c r="Q82" s="732" t="s">
        <v>3343</v>
      </c>
      <c r="R82" s="91"/>
      <c r="S82" s="91"/>
      <c r="T82" s="91"/>
      <c r="U82" s="91"/>
      <c r="V82" s="91"/>
      <c r="W82" s="91"/>
      <c r="X82" s="91"/>
      <c r="Y82" s="91"/>
      <c r="Z82" s="91"/>
      <c r="AA82" s="91"/>
      <c r="AB82" s="91"/>
      <c r="AC82" s="91"/>
      <c r="AD82" s="91"/>
      <c r="AE82" s="91"/>
      <c r="AF82" s="91"/>
      <c r="AG82" s="91"/>
      <c r="AH82" s="91"/>
      <c r="AI82" s="91"/>
    </row>
    <row r="83" spans="1:35">
      <c r="A83" s="224"/>
      <c r="B83" s="156">
        <v>81</v>
      </c>
      <c r="C83" s="156">
        <v>87176</v>
      </c>
      <c r="D83" s="156">
        <v>15587771</v>
      </c>
      <c r="E83" s="156" t="s">
        <v>3344</v>
      </c>
      <c r="F83" s="156">
        <v>76</v>
      </c>
      <c r="G83" s="156" t="s">
        <v>3345</v>
      </c>
      <c r="H83" s="156" t="s">
        <v>278</v>
      </c>
      <c r="I83" s="156">
        <v>983044009</v>
      </c>
      <c r="J83" s="353" t="s">
        <v>238</v>
      </c>
      <c r="K83" s="155">
        <v>46090</v>
      </c>
      <c r="L83" s="43" t="s">
        <v>1902</v>
      </c>
      <c r="M83" s="43" t="s">
        <v>260</v>
      </c>
      <c r="N83" s="43" t="s">
        <v>3253</v>
      </c>
      <c r="O83" s="680">
        <v>46094</v>
      </c>
      <c r="P83" s="224"/>
      <c r="Q83" s="732" t="s">
        <v>2279</v>
      </c>
      <c r="R83" s="91"/>
      <c r="S83" s="91"/>
      <c r="T83" s="91"/>
      <c r="U83" s="91"/>
      <c r="V83" s="91"/>
      <c r="W83" s="91"/>
      <c r="X83" s="91"/>
      <c r="Y83" s="91"/>
      <c r="Z83" s="91"/>
      <c r="AA83" s="91"/>
      <c r="AB83" s="91"/>
      <c r="AC83" s="91"/>
      <c r="AD83" s="91"/>
      <c r="AE83" s="91"/>
      <c r="AF83" s="91"/>
      <c r="AG83" s="91"/>
      <c r="AH83" s="91"/>
      <c r="AI83" s="91"/>
    </row>
    <row r="84" spans="1:35">
      <c r="A84" s="224"/>
      <c r="B84" s="156">
        <v>82</v>
      </c>
      <c r="C84" s="156">
        <v>523791</v>
      </c>
      <c r="D84" s="156">
        <v>15612166</v>
      </c>
      <c r="E84" s="156" t="s">
        <v>3346</v>
      </c>
      <c r="F84" s="156">
        <v>62</v>
      </c>
      <c r="G84" s="156" t="s">
        <v>3347</v>
      </c>
      <c r="H84" s="156" t="s">
        <v>237</v>
      </c>
      <c r="I84" s="156">
        <v>936485494</v>
      </c>
      <c r="J84" s="353" t="s">
        <v>1105</v>
      </c>
      <c r="K84" s="155">
        <v>46090</v>
      </c>
      <c r="L84" s="43" t="s">
        <v>747</v>
      </c>
      <c r="M84" s="43" t="s">
        <v>230</v>
      </c>
      <c r="N84" s="43" t="s">
        <v>884</v>
      </c>
      <c r="O84" s="448">
        <v>46098</v>
      </c>
      <c r="P84" s="732" t="s">
        <v>3142</v>
      </c>
      <c r="Q84" s="732" t="s">
        <v>3348</v>
      </c>
      <c r="R84" s="91"/>
      <c r="S84" s="91"/>
      <c r="T84" s="91"/>
      <c r="U84" s="91"/>
      <c r="V84" s="91"/>
      <c r="W84" s="91"/>
      <c r="X84" s="91"/>
      <c r="Y84" s="91"/>
      <c r="Z84" s="91"/>
      <c r="AA84" s="91"/>
      <c r="AB84" s="91"/>
      <c r="AC84" s="91"/>
      <c r="AD84" s="91"/>
      <c r="AE84" s="91"/>
      <c r="AF84" s="91"/>
      <c r="AG84" s="91"/>
      <c r="AH84" s="91"/>
      <c r="AI84" s="91"/>
    </row>
    <row r="85" spans="1:35">
      <c r="A85" s="224"/>
      <c r="B85" s="156">
        <v>83</v>
      </c>
      <c r="C85" s="156">
        <v>236594</v>
      </c>
      <c r="D85" s="156">
        <v>40979559</v>
      </c>
      <c r="E85" s="156" t="s">
        <v>3349</v>
      </c>
      <c r="F85" s="156">
        <v>43</v>
      </c>
      <c r="G85" s="156" t="s">
        <v>3350</v>
      </c>
      <c r="H85" s="156" t="s">
        <v>1046</v>
      </c>
      <c r="I85" s="156">
        <v>928744378</v>
      </c>
      <c r="J85" s="353" t="s">
        <v>384</v>
      </c>
      <c r="K85" s="155">
        <v>46090</v>
      </c>
      <c r="L85" s="43" t="s">
        <v>584</v>
      </c>
      <c r="M85" s="43" t="s">
        <v>230</v>
      </c>
      <c r="N85" s="43" t="s">
        <v>3253</v>
      </c>
      <c r="O85" s="764">
        <v>46101</v>
      </c>
      <c r="P85" s="224" t="s">
        <v>3125</v>
      </c>
      <c r="Q85" s="732" t="s">
        <v>2284</v>
      </c>
      <c r="R85" s="91"/>
      <c r="S85" s="91"/>
      <c r="T85" s="91"/>
      <c r="U85" s="91"/>
      <c r="V85" s="91"/>
      <c r="W85" s="91"/>
      <c r="X85" s="91"/>
      <c r="Y85" s="91"/>
      <c r="Z85" s="91"/>
      <c r="AA85" s="91"/>
      <c r="AB85" s="91"/>
      <c r="AC85" s="91"/>
      <c r="AD85" s="91"/>
      <c r="AE85" s="91"/>
      <c r="AF85" s="91"/>
      <c r="AG85" s="91"/>
      <c r="AH85" s="91"/>
      <c r="AI85" s="91"/>
    </row>
    <row r="86" spans="1:35">
      <c r="A86" s="229"/>
      <c r="B86" s="156">
        <v>84</v>
      </c>
      <c r="C86" s="156">
        <v>215575</v>
      </c>
      <c r="D86" s="156" t="s">
        <v>3351</v>
      </c>
      <c r="E86" s="156" t="s">
        <v>3352</v>
      </c>
      <c r="F86" s="156">
        <v>55</v>
      </c>
      <c r="G86" s="156" t="s">
        <v>3353</v>
      </c>
      <c r="H86" s="156" t="s">
        <v>237</v>
      </c>
      <c r="I86" s="156">
        <v>912802572</v>
      </c>
      <c r="J86" s="353" t="s">
        <v>238</v>
      </c>
      <c r="K86" s="155">
        <v>46090</v>
      </c>
      <c r="L86" s="43" t="s">
        <v>1156</v>
      </c>
      <c r="M86" s="43" t="s">
        <v>230</v>
      </c>
      <c r="N86" s="43" t="s">
        <v>3253</v>
      </c>
      <c r="O86" s="680">
        <v>46094</v>
      </c>
      <c r="P86" s="732"/>
      <c r="Q86" s="732" t="s">
        <v>2759</v>
      </c>
      <c r="R86" s="91"/>
      <c r="S86" s="91"/>
      <c r="T86" s="91"/>
      <c r="U86" s="91"/>
      <c r="V86" s="91"/>
      <c r="W86" s="91"/>
      <c r="X86" s="91"/>
      <c r="Y86" s="91"/>
      <c r="Z86" s="91"/>
      <c r="AA86" s="91"/>
      <c r="AB86" s="91"/>
      <c r="AC86" s="91"/>
      <c r="AD86" s="91"/>
      <c r="AE86" s="91"/>
      <c r="AF86" s="91"/>
      <c r="AG86" s="91"/>
      <c r="AH86" s="91"/>
      <c r="AI86" s="91"/>
    </row>
    <row r="87" spans="1:35">
      <c r="A87" s="224"/>
      <c r="B87" s="156">
        <v>85</v>
      </c>
      <c r="C87" s="156">
        <v>49074</v>
      </c>
      <c r="D87" s="156">
        <v>15690778</v>
      </c>
      <c r="E87" s="156" t="s">
        <v>3354</v>
      </c>
      <c r="F87" s="156">
        <v>61</v>
      </c>
      <c r="G87" s="156" t="s">
        <v>3355</v>
      </c>
      <c r="H87" s="156" t="s">
        <v>237</v>
      </c>
      <c r="I87" s="156">
        <v>940620528</v>
      </c>
      <c r="J87" s="353" t="s">
        <v>742</v>
      </c>
      <c r="K87" s="155">
        <v>46090</v>
      </c>
      <c r="L87" s="43" t="s">
        <v>2164</v>
      </c>
      <c r="M87" s="43" t="s">
        <v>260</v>
      </c>
      <c r="N87" s="43" t="s">
        <v>3253</v>
      </c>
      <c r="O87" s="437">
        <v>46094</v>
      </c>
      <c r="P87" s="765" t="s">
        <v>2165</v>
      </c>
      <c r="Q87" s="868" t="s">
        <v>2573</v>
      </c>
      <c r="R87" s="91"/>
      <c r="S87" s="91"/>
      <c r="T87" s="91"/>
      <c r="U87" s="91"/>
      <c r="V87" s="91"/>
      <c r="W87" s="91"/>
      <c r="X87" s="91"/>
      <c r="Y87" s="91"/>
      <c r="Z87" s="91"/>
      <c r="AA87" s="91"/>
      <c r="AB87" s="91"/>
      <c r="AC87" s="91"/>
      <c r="AD87" s="91"/>
      <c r="AE87" s="91"/>
      <c r="AF87" s="91"/>
      <c r="AG87" s="91"/>
      <c r="AH87" s="91"/>
      <c r="AI87" s="91"/>
    </row>
    <row r="88" spans="1:35">
      <c r="A88" s="229"/>
      <c r="B88" s="156">
        <v>86</v>
      </c>
      <c r="C88" s="156">
        <v>523798</v>
      </c>
      <c r="D88" s="156">
        <v>15974138</v>
      </c>
      <c r="E88" s="156" t="s">
        <v>3356</v>
      </c>
      <c r="F88" s="156">
        <v>62</v>
      </c>
      <c r="G88" s="156" t="s">
        <v>3357</v>
      </c>
      <c r="H88" s="156" t="s">
        <v>911</v>
      </c>
      <c r="I88" s="156">
        <v>981349592</v>
      </c>
      <c r="J88" s="353" t="s">
        <v>421</v>
      </c>
      <c r="K88" s="155">
        <v>46090</v>
      </c>
      <c r="L88" s="43" t="s">
        <v>3358</v>
      </c>
      <c r="M88" s="43" t="s">
        <v>312</v>
      </c>
      <c r="N88" s="43" t="s">
        <v>3253</v>
      </c>
      <c r="O88" s="680">
        <v>46094</v>
      </c>
      <c r="P88" s="51" t="s">
        <v>3254</v>
      </c>
      <c r="Q88" s="868" t="s">
        <v>3359</v>
      </c>
      <c r="R88" s="837"/>
      <c r="S88" s="837"/>
      <c r="T88" s="837"/>
      <c r="U88" s="837"/>
      <c r="V88" s="837"/>
      <c r="W88" s="837"/>
      <c r="X88" s="837"/>
      <c r="Y88" s="837"/>
      <c r="Z88" s="837"/>
      <c r="AA88" s="837"/>
      <c r="AB88" s="837"/>
      <c r="AC88" s="837"/>
      <c r="AD88" s="837"/>
      <c r="AE88" s="837"/>
      <c r="AF88" s="837"/>
      <c r="AG88" s="837"/>
      <c r="AH88" s="837"/>
      <c r="AI88" s="837"/>
    </row>
    <row r="89" spans="1:35">
      <c r="A89" s="229"/>
      <c r="B89" s="156">
        <v>87</v>
      </c>
      <c r="C89" s="156">
        <v>523797</v>
      </c>
      <c r="D89" s="156">
        <v>41384255</v>
      </c>
      <c r="E89" s="156" t="s">
        <v>3360</v>
      </c>
      <c r="F89" s="156">
        <v>47</v>
      </c>
      <c r="G89" s="156" t="s">
        <v>3361</v>
      </c>
      <c r="H89" s="156" t="s">
        <v>461</v>
      </c>
      <c r="I89" s="156">
        <v>978653032</v>
      </c>
      <c r="J89" s="353" t="s">
        <v>162</v>
      </c>
      <c r="K89" s="155">
        <v>46090</v>
      </c>
      <c r="L89" s="43" t="s">
        <v>3362</v>
      </c>
      <c r="M89" s="43" t="s">
        <v>312</v>
      </c>
      <c r="N89" s="43" t="s">
        <v>3253</v>
      </c>
      <c r="O89" s="680">
        <v>46094</v>
      </c>
      <c r="P89" s="51" t="s">
        <v>3254</v>
      </c>
      <c r="Q89" s="864" t="s">
        <v>3363</v>
      </c>
      <c r="R89" s="838"/>
      <c r="S89" s="838"/>
      <c r="T89" s="838"/>
      <c r="U89" s="838"/>
      <c r="V89" s="838"/>
      <c r="W89" s="838"/>
      <c r="X89" s="838"/>
      <c r="Y89" s="838"/>
      <c r="Z89" s="838"/>
      <c r="AA89" s="838"/>
      <c r="AB89" s="838"/>
      <c r="AC89" s="838"/>
      <c r="AD89" s="838"/>
      <c r="AE89" s="838"/>
      <c r="AF89" s="838"/>
      <c r="AG89" s="838"/>
      <c r="AH89" s="838"/>
      <c r="AI89" s="838"/>
    </row>
    <row r="90" spans="1:35">
      <c r="A90" s="229"/>
      <c r="B90" s="156">
        <v>88</v>
      </c>
      <c r="C90" s="156">
        <v>305615</v>
      </c>
      <c r="D90" s="156">
        <v>16639450</v>
      </c>
      <c r="E90" s="156" t="s">
        <v>3364</v>
      </c>
      <c r="F90" s="156">
        <v>59</v>
      </c>
      <c r="G90" s="156" t="s">
        <v>3365</v>
      </c>
      <c r="H90" s="156" t="s">
        <v>1256</v>
      </c>
      <c r="I90" s="156" t="s">
        <v>3366</v>
      </c>
      <c r="J90" s="353" t="s">
        <v>238</v>
      </c>
      <c r="K90" s="155">
        <v>46090</v>
      </c>
      <c r="L90" s="43" t="s">
        <v>747</v>
      </c>
      <c r="M90" s="43" t="s">
        <v>230</v>
      </c>
      <c r="N90" s="43" t="s">
        <v>317</v>
      </c>
      <c r="O90" s="680">
        <v>46094</v>
      </c>
      <c r="P90" s="732"/>
      <c r="Q90" s="732" t="s">
        <v>3343</v>
      </c>
      <c r="R90" s="91"/>
      <c r="S90" s="91"/>
      <c r="T90" s="91"/>
      <c r="U90" s="91"/>
      <c r="V90" s="91"/>
      <c r="W90" s="91"/>
      <c r="X90" s="91"/>
      <c r="Y90" s="91"/>
      <c r="Z90" s="91"/>
      <c r="AA90" s="91"/>
      <c r="AB90" s="91"/>
      <c r="AC90" s="91"/>
      <c r="AD90" s="91"/>
      <c r="AE90" s="91"/>
      <c r="AF90" s="91"/>
      <c r="AG90" s="91"/>
      <c r="AH90" s="91"/>
      <c r="AI90" s="91"/>
    </row>
    <row r="91" spans="1:35">
      <c r="A91" s="230" t="s">
        <v>513</v>
      </c>
      <c r="B91" s="156">
        <v>89</v>
      </c>
      <c r="C91" s="156">
        <v>374936</v>
      </c>
      <c r="D91" s="156">
        <v>44079954</v>
      </c>
      <c r="E91" s="156" t="s">
        <v>3367</v>
      </c>
      <c r="F91" s="156">
        <v>40</v>
      </c>
      <c r="G91" s="156" t="s">
        <v>3368</v>
      </c>
      <c r="H91" s="156" t="s">
        <v>237</v>
      </c>
      <c r="I91" s="156">
        <v>997654851</v>
      </c>
      <c r="J91" s="353" t="s">
        <v>429</v>
      </c>
      <c r="K91" s="155">
        <v>46090</v>
      </c>
      <c r="L91" s="43" t="s">
        <v>3369</v>
      </c>
      <c r="M91" s="43" t="s">
        <v>260</v>
      </c>
      <c r="N91" s="43" t="s">
        <v>3370</v>
      </c>
      <c r="O91" s="437">
        <v>46101</v>
      </c>
      <c r="P91" s="50" t="s">
        <v>3371</v>
      </c>
      <c r="Q91" s="224" t="s">
        <v>3372</v>
      </c>
      <c r="R91" s="839"/>
      <c r="S91" s="839"/>
      <c r="T91" s="839"/>
      <c r="U91" s="839"/>
      <c r="V91" s="839"/>
      <c r="W91" s="839"/>
      <c r="X91" s="839"/>
      <c r="Y91" s="839"/>
      <c r="Z91" s="839"/>
      <c r="AA91" s="839"/>
      <c r="AB91" s="839"/>
      <c r="AC91" s="839"/>
      <c r="AD91" s="839"/>
      <c r="AE91" s="839"/>
      <c r="AF91" s="839"/>
      <c r="AG91" s="839"/>
      <c r="AH91" s="839"/>
      <c r="AI91" s="839"/>
    </row>
    <row r="92" spans="1:35">
      <c r="A92" s="229"/>
      <c r="B92" s="156">
        <v>90</v>
      </c>
      <c r="C92" s="156">
        <v>225751</v>
      </c>
      <c r="D92" s="156">
        <v>25326058</v>
      </c>
      <c r="E92" s="156" t="s">
        <v>3373</v>
      </c>
      <c r="F92" s="156">
        <v>52</v>
      </c>
      <c r="G92" s="156" t="s">
        <v>3374</v>
      </c>
      <c r="H92" s="156" t="s">
        <v>326</v>
      </c>
      <c r="I92" s="156">
        <v>914115997</v>
      </c>
      <c r="J92" s="353" t="s">
        <v>375</v>
      </c>
      <c r="K92" s="155">
        <v>46090</v>
      </c>
      <c r="L92" s="43" t="s">
        <v>584</v>
      </c>
      <c r="M92" s="43" t="s">
        <v>230</v>
      </c>
      <c r="N92" s="43" t="s">
        <v>3253</v>
      </c>
      <c r="O92" s="437">
        <v>46094</v>
      </c>
      <c r="P92" s="248" t="s">
        <v>3030</v>
      </c>
      <c r="Q92" s="863" t="s">
        <v>2759</v>
      </c>
      <c r="R92" s="91"/>
      <c r="S92" s="91"/>
      <c r="T92" s="91"/>
      <c r="U92" s="91"/>
      <c r="V92" s="91"/>
      <c r="W92" s="91"/>
      <c r="X92" s="91"/>
      <c r="Y92" s="91"/>
      <c r="Z92" s="91"/>
      <c r="AA92" s="91"/>
      <c r="AB92" s="91"/>
      <c r="AC92" s="91"/>
      <c r="AD92" s="91"/>
      <c r="AE92" s="91"/>
      <c r="AF92" s="91"/>
      <c r="AG92" s="91"/>
      <c r="AH92" s="91"/>
      <c r="AI92" s="91"/>
    </row>
    <row r="93" spans="1:35">
      <c r="A93" s="229"/>
      <c r="B93" s="156">
        <v>91</v>
      </c>
      <c r="C93" s="156">
        <v>269034</v>
      </c>
      <c r="D93" s="236">
        <v>15602112</v>
      </c>
      <c r="E93" s="156" t="s">
        <v>3375</v>
      </c>
      <c r="F93" s="156">
        <v>62</v>
      </c>
      <c r="G93" s="156" t="s">
        <v>3376</v>
      </c>
      <c r="H93" s="156" t="s">
        <v>278</v>
      </c>
      <c r="I93" s="156">
        <v>992480042</v>
      </c>
      <c r="J93" s="353" t="s">
        <v>238</v>
      </c>
      <c r="K93" s="155">
        <v>46090</v>
      </c>
      <c r="L93" s="43" t="s">
        <v>790</v>
      </c>
      <c r="M93" s="43" t="s">
        <v>312</v>
      </c>
      <c r="N93" s="43" t="s">
        <v>317</v>
      </c>
      <c r="O93" s="680">
        <v>46094</v>
      </c>
      <c r="P93" s="732"/>
      <c r="Q93" s="732" t="s">
        <v>2279</v>
      </c>
      <c r="R93" s="91"/>
      <c r="S93" s="91"/>
      <c r="T93" s="91"/>
      <c r="U93" s="91"/>
      <c r="V93" s="91"/>
      <c r="W93" s="91"/>
      <c r="X93" s="91"/>
      <c r="Y93" s="91"/>
      <c r="Z93" s="91"/>
      <c r="AA93" s="91"/>
      <c r="AB93" s="91"/>
      <c r="AC93" s="91"/>
      <c r="AD93" s="91"/>
      <c r="AE93" s="91"/>
      <c r="AF93" s="91"/>
      <c r="AG93" s="91"/>
      <c r="AH93" s="91"/>
      <c r="AI93" s="91"/>
    </row>
    <row r="94" spans="1:35">
      <c r="A94" s="229"/>
      <c r="B94" s="156">
        <v>92</v>
      </c>
      <c r="C94" s="156">
        <v>378914</v>
      </c>
      <c r="D94" s="156">
        <v>15614191</v>
      </c>
      <c r="E94" s="156" t="s">
        <v>3377</v>
      </c>
      <c r="F94" s="156">
        <v>62</v>
      </c>
      <c r="G94" s="156" t="s">
        <v>3378</v>
      </c>
      <c r="H94" s="156" t="s">
        <v>278</v>
      </c>
      <c r="I94" s="156">
        <v>993953332</v>
      </c>
      <c r="J94" s="353" t="s">
        <v>238</v>
      </c>
      <c r="K94" s="155">
        <v>46090</v>
      </c>
      <c r="L94" s="43" t="s">
        <v>1156</v>
      </c>
      <c r="M94" s="43" t="s">
        <v>260</v>
      </c>
      <c r="N94" s="43" t="s">
        <v>3253</v>
      </c>
      <c r="O94" s="680">
        <v>46094</v>
      </c>
      <c r="P94" s="732"/>
      <c r="Q94" s="897" t="s">
        <v>3379</v>
      </c>
      <c r="R94" s="91"/>
      <c r="S94" s="91"/>
      <c r="T94" s="91"/>
      <c r="U94" s="91"/>
      <c r="V94" s="91"/>
      <c r="W94" s="91"/>
      <c r="X94" s="91"/>
      <c r="Y94" s="91"/>
      <c r="Z94" s="91"/>
      <c r="AA94" s="91"/>
      <c r="AB94" s="91"/>
      <c r="AC94" s="91"/>
      <c r="AD94" s="91"/>
      <c r="AE94" s="91"/>
      <c r="AF94" s="91"/>
      <c r="AG94" s="91"/>
      <c r="AH94" s="91"/>
      <c r="AI94" s="91"/>
    </row>
    <row r="95" spans="1:35">
      <c r="A95" s="229"/>
      <c r="B95" s="156">
        <v>93</v>
      </c>
      <c r="C95" s="156">
        <v>294146</v>
      </c>
      <c r="D95" s="156">
        <v>15618864</v>
      </c>
      <c r="E95" s="156" t="s">
        <v>3380</v>
      </c>
      <c r="F95" s="156">
        <v>53</v>
      </c>
      <c r="G95" s="156" t="s">
        <v>3381</v>
      </c>
      <c r="H95" s="156" t="s">
        <v>830</v>
      </c>
      <c r="I95" s="156">
        <v>913905742</v>
      </c>
      <c r="J95" s="353" t="s">
        <v>742</v>
      </c>
      <c r="K95" s="155">
        <v>46090</v>
      </c>
      <c r="L95" s="43" t="s">
        <v>747</v>
      </c>
      <c r="M95" s="43" t="s">
        <v>230</v>
      </c>
      <c r="N95" s="43" t="s">
        <v>317</v>
      </c>
      <c r="O95" s="437">
        <v>46094</v>
      </c>
      <c r="P95" s="765" t="s">
        <v>2165</v>
      </c>
      <c r="Q95" s="91"/>
      <c r="R95" s="91"/>
      <c r="S95" s="91"/>
      <c r="T95" s="91"/>
      <c r="U95" s="91"/>
      <c r="V95" s="91"/>
      <c r="W95" s="91"/>
      <c r="X95" s="91"/>
      <c r="Y95" s="91"/>
      <c r="Z95" s="91"/>
      <c r="AA95" s="91"/>
      <c r="AB95" s="91"/>
      <c r="AC95" s="91"/>
      <c r="AD95" s="91"/>
      <c r="AE95" s="91"/>
      <c r="AF95" s="91"/>
      <c r="AG95" s="91"/>
      <c r="AH95" s="91"/>
      <c r="AI95" s="91"/>
    </row>
    <row r="96" spans="1:35">
      <c r="A96" s="229"/>
      <c r="B96" s="156">
        <v>94</v>
      </c>
      <c r="C96" s="156">
        <v>139801</v>
      </c>
      <c r="D96" s="156">
        <v>15693578</v>
      </c>
      <c r="E96" s="156" t="s">
        <v>3382</v>
      </c>
      <c r="F96" s="156">
        <v>57</v>
      </c>
      <c r="G96" s="156" t="s">
        <v>3383</v>
      </c>
      <c r="H96" s="156" t="s">
        <v>237</v>
      </c>
      <c r="I96" s="156">
        <v>967310605</v>
      </c>
      <c r="J96" s="353" t="s">
        <v>742</v>
      </c>
      <c r="K96" s="155">
        <v>46090</v>
      </c>
      <c r="L96" s="43" t="s">
        <v>747</v>
      </c>
      <c r="M96" s="43" t="s">
        <v>230</v>
      </c>
      <c r="N96" s="43" t="s">
        <v>317</v>
      </c>
      <c r="O96" s="437">
        <v>46094</v>
      </c>
      <c r="P96" s="765" t="s">
        <v>2165</v>
      </c>
      <c r="Q96" s="91"/>
      <c r="R96" s="91"/>
      <c r="S96" s="91"/>
      <c r="T96" s="91"/>
      <c r="U96" s="91"/>
      <c r="V96" s="91"/>
      <c r="W96" s="91"/>
      <c r="X96" s="91"/>
      <c r="Y96" s="91"/>
      <c r="Z96" s="91"/>
      <c r="AA96" s="91"/>
      <c r="AB96" s="91"/>
      <c r="AC96" s="91"/>
      <c r="AD96" s="91"/>
      <c r="AE96" s="91"/>
      <c r="AF96" s="91"/>
      <c r="AG96" s="91"/>
      <c r="AH96" s="91"/>
      <c r="AI96" s="91"/>
    </row>
    <row r="97" spans="1:35">
      <c r="A97" s="229"/>
      <c r="B97" s="156">
        <v>95</v>
      </c>
      <c r="C97" s="156">
        <v>166721</v>
      </c>
      <c r="D97" s="156">
        <v>15725339</v>
      </c>
      <c r="E97" s="156" t="s">
        <v>3384</v>
      </c>
      <c r="F97" s="156">
        <v>55</v>
      </c>
      <c r="G97" s="156" t="s">
        <v>3385</v>
      </c>
      <c r="H97" s="156" t="s">
        <v>278</v>
      </c>
      <c r="I97" s="156">
        <v>987656330</v>
      </c>
      <c r="J97" s="353" t="s">
        <v>238</v>
      </c>
      <c r="K97" s="155">
        <v>46090</v>
      </c>
      <c r="L97" s="43" t="s">
        <v>1156</v>
      </c>
      <c r="M97" s="43" t="s">
        <v>230</v>
      </c>
      <c r="N97" s="43" t="s">
        <v>3253</v>
      </c>
      <c r="O97" s="680">
        <v>46094</v>
      </c>
      <c r="P97" s="732"/>
      <c r="Q97" s="732" t="s">
        <v>3348</v>
      </c>
      <c r="R97" s="91"/>
      <c r="S97" s="91"/>
      <c r="T97" s="91"/>
      <c r="U97" s="91"/>
      <c r="V97" s="91"/>
      <c r="W97" s="91"/>
      <c r="X97" s="91"/>
      <c r="Y97" s="91"/>
      <c r="Z97" s="91"/>
      <c r="AA97" s="91"/>
      <c r="AB97" s="91"/>
      <c r="AC97" s="91"/>
      <c r="AD97" s="91"/>
      <c r="AE97" s="91"/>
      <c r="AF97" s="91"/>
      <c r="AG97" s="91"/>
      <c r="AH97" s="91"/>
      <c r="AI97" s="91"/>
    </row>
    <row r="98" spans="1:35">
      <c r="A98" s="229"/>
      <c r="B98" s="156">
        <v>96</v>
      </c>
      <c r="C98" s="156">
        <v>175850</v>
      </c>
      <c r="D98" s="156">
        <v>15595724</v>
      </c>
      <c r="E98" s="156" t="s">
        <v>3386</v>
      </c>
      <c r="F98" s="156">
        <v>62</v>
      </c>
      <c r="G98" s="156" t="s">
        <v>3387</v>
      </c>
      <c r="H98" s="156" t="s">
        <v>278</v>
      </c>
      <c r="I98" s="156" t="s">
        <v>3388</v>
      </c>
      <c r="J98" s="353" t="s">
        <v>238</v>
      </c>
      <c r="K98" s="155">
        <v>46090</v>
      </c>
      <c r="L98" s="43" t="s">
        <v>3389</v>
      </c>
      <c r="M98" s="43" t="s">
        <v>260</v>
      </c>
      <c r="N98" s="43" t="s">
        <v>3253</v>
      </c>
      <c r="O98" s="680">
        <v>46094</v>
      </c>
      <c r="P98" s="732"/>
      <c r="Q98" s="732" t="s">
        <v>2284</v>
      </c>
      <c r="R98" s="91"/>
      <c r="S98" s="91"/>
      <c r="T98" s="91"/>
      <c r="U98" s="91"/>
      <c r="V98" s="91"/>
      <c r="W98" s="91"/>
      <c r="X98" s="91"/>
      <c r="Y98" s="91"/>
      <c r="Z98" s="91"/>
      <c r="AA98" s="91"/>
      <c r="AB98" s="91"/>
      <c r="AC98" s="91"/>
      <c r="AD98" s="91"/>
      <c r="AE98" s="91"/>
      <c r="AF98" s="91"/>
      <c r="AG98" s="91"/>
      <c r="AH98" s="91"/>
      <c r="AI98" s="91"/>
    </row>
    <row r="99" spans="1:35">
      <c r="A99" s="229"/>
      <c r="B99" s="156">
        <v>97</v>
      </c>
      <c r="C99" s="156">
        <v>188230</v>
      </c>
      <c r="D99" s="156">
        <v>15735579</v>
      </c>
      <c r="E99" s="156" t="s">
        <v>3390</v>
      </c>
      <c r="F99" s="156">
        <v>52</v>
      </c>
      <c r="G99" s="156" t="s">
        <v>3391</v>
      </c>
      <c r="H99" s="156" t="s">
        <v>222</v>
      </c>
      <c r="I99" s="156">
        <v>955470209</v>
      </c>
      <c r="J99" s="353" t="s">
        <v>238</v>
      </c>
      <c r="K99" s="155">
        <v>46090</v>
      </c>
      <c r="L99" s="43" t="s">
        <v>584</v>
      </c>
      <c r="M99" s="43" t="s">
        <v>260</v>
      </c>
      <c r="N99" s="43" t="s">
        <v>3253</v>
      </c>
      <c r="O99" s="680">
        <v>46094</v>
      </c>
      <c r="P99" s="732"/>
      <c r="Q99" s="732" t="s">
        <v>2759</v>
      </c>
      <c r="R99" s="91"/>
      <c r="S99" s="91"/>
      <c r="T99" s="91"/>
      <c r="U99" s="91"/>
      <c r="V99" s="91"/>
      <c r="W99" s="91"/>
      <c r="X99" s="91"/>
      <c r="Y99" s="91"/>
      <c r="Z99" s="91"/>
      <c r="AA99" s="91"/>
      <c r="AB99" s="91"/>
      <c r="AC99" s="91"/>
      <c r="AD99" s="91"/>
      <c r="AE99" s="91"/>
      <c r="AF99" s="91"/>
      <c r="AG99" s="91"/>
      <c r="AH99" s="91"/>
      <c r="AI99" s="91"/>
    </row>
    <row r="100" spans="1:35">
      <c r="A100" s="224"/>
      <c r="B100" s="156">
        <v>98</v>
      </c>
      <c r="C100" s="156">
        <v>279512</v>
      </c>
      <c r="D100" s="156">
        <v>42661200</v>
      </c>
      <c r="E100" s="156" t="s">
        <v>3392</v>
      </c>
      <c r="F100" s="156">
        <v>41</v>
      </c>
      <c r="G100" s="156" t="s">
        <v>3393</v>
      </c>
      <c r="H100" s="156" t="s">
        <v>237</v>
      </c>
      <c r="I100" s="156">
        <v>965474307</v>
      </c>
      <c r="J100" s="353" t="s">
        <v>238</v>
      </c>
      <c r="K100" s="155">
        <v>46090</v>
      </c>
      <c r="L100" s="43" t="s">
        <v>584</v>
      </c>
      <c r="M100" s="43" t="s">
        <v>260</v>
      </c>
      <c r="N100" s="43" t="s">
        <v>3253</v>
      </c>
      <c r="O100" s="680">
        <v>46094</v>
      </c>
      <c r="P100" s="224"/>
      <c r="Q100" s="897" t="s">
        <v>3394</v>
      </c>
      <c r="R100" s="91"/>
      <c r="S100" s="91"/>
      <c r="T100" s="91"/>
      <c r="U100" s="91"/>
      <c r="V100" s="91"/>
      <c r="W100" s="91"/>
      <c r="X100" s="91"/>
      <c r="Y100" s="91"/>
      <c r="Z100" s="91"/>
      <c r="AA100" s="91"/>
      <c r="AB100" s="91"/>
      <c r="AC100" s="91"/>
      <c r="AD100" s="91"/>
      <c r="AE100" s="91"/>
      <c r="AF100" s="91"/>
      <c r="AG100" s="91"/>
      <c r="AH100" s="91"/>
      <c r="AI100" s="91"/>
    </row>
    <row r="101" spans="1:35">
      <c r="A101" s="229"/>
      <c r="B101" s="156">
        <v>99</v>
      </c>
      <c r="C101" s="156">
        <v>185059</v>
      </c>
      <c r="D101" s="156">
        <v>15726922</v>
      </c>
      <c r="E101" s="156" t="s">
        <v>3395</v>
      </c>
      <c r="F101" s="156">
        <v>53</v>
      </c>
      <c r="G101" s="156" t="s">
        <v>3396</v>
      </c>
      <c r="H101" s="156" t="s">
        <v>278</v>
      </c>
      <c r="I101" s="156">
        <v>944801169</v>
      </c>
      <c r="J101" s="353" t="s">
        <v>238</v>
      </c>
      <c r="K101" s="155">
        <v>46090</v>
      </c>
      <c r="L101" s="43" t="s">
        <v>584</v>
      </c>
      <c r="M101" s="43" t="s">
        <v>230</v>
      </c>
      <c r="N101" s="43" t="s">
        <v>3253</v>
      </c>
      <c r="O101" s="680">
        <v>46094</v>
      </c>
      <c r="P101" s="732"/>
      <c r="Q101" s="91"/>
      <c r="R101" s="91"/>
      <c r="S101" s="91"/>
      <c r="T101" s="91"/>
      <c r="U101" s="91"/>
      <c r="V101" s="91"/>
      <c r="W101" s="91"/>
      <c r="X101" s="91"/>
      <c r="Y101" s="91"/>
      <c r="Z101" s="91"/>
      <c r="AA101" s="91"/>
      <c r="AB101" s="91"/>
      <c r="AC101" s="91"/>
      <c r="AD101" s="91"/>
      <c r="AE101" s="91"/>
      <c r="AF101" s="91"/>
      <c r="AG101" s="91"/>
      <c r="AH101" s="91"/>
      <c r="AI101" s="91"/>
    </row>
    <row r="102" spans="1:35">
      <c r="A102" s="231">
        <v>46091</v>
      </c>
      <c r="B102" s="156">
        <v>100</v>
      </c>
      <c r="C102" s="156">
        <v>523817</v>
      </c>
      <c r="D102" s="156">
        <v>40882003</v>
      </c>
      <c r="E102" s="156" t="s">
        <v>3397</v>
      </c>
      <c r="F102" s="156">
        <v>44</v>
      </c>
      <c r="G102" s="156" t="s">
        <v>3398</v>
      </c>
      <c r="H102" s="156" t="s">
        <v>271</v>
      </c>
      <c r="I102" s="156">
        <v>927608289</v>
      </c>
      <c r="J102" s="353" t="s">
        <v>1804</v>
      </c>
      <c r="K102" s="155">
        <v>46091</v>
      </c>
      <c r="L102" s="43" t="s">
        <v>3399</v>
      </c>
      <c r="M102" s="43" t="s">
        <v>230</v>
      </c>
      <c r="N102" s="43" t="s">
        <v>317</v>
      </c>
      <c r="O102" s="680">
        <v>46108</v>
      </c>
      <c r="P102" s="242" t="s">
        <v>3400</v>
      </c>
      <c r="Q102" s="879" t="s">
        <v>358</v>
      </c>
      <c r="R102" s="839"/>
      <c r="S102" s="839"/>
      <c r="T102" s="839"/>
      <c r="U102" s="839"/>
      <c r="V102" s="839"/>
      <c r="W102" s="839"/>
      <c r="X102" s="839"/>
      <c r="Y102" s="839"/>
      <c r="Z102" s="839"/>
      <c r="AA102" s="839"/>
      <c r="AB102" s="839"/>
      <c r="AC102" s="839"/>
      <c r="AD102" s="839"/>
      <c r="AE102" s="839"/>
      <c r="AF102" s="839"/>
      <c r="AG102" s="839"/>
      <c r="AH102" s="839"/>
      <c r="AI102" s="839"/>
    </row>
    <row r="103" spans="1:35">
      <c r="A103" s="229"/>
      <c r="B103" s="156">
        <v>101</v>
      </c>
      <c r="C103" s="156">
        <v>359183</v>
      </c>
      <c r="D103" s="156">
        <v>43333433</v>
      </c>
      <c r="E103" s="156" t="s">
        <v>3401</v>
      </c>
      <c r="F103" s="156">
        <v>44</v>
      </c>
      <c r="G103" s="156" t="s">
        <v>3402</v>
      </c>
      <c r="H103" s="156" t="s">
        <v>3403</v>
      </c>
      <c r="I103" s="156">
        <v>994836020</v>
      </c>
      <c r="J103" s="353" t="s">
        <v>617</v>
      </c>
      <c r="K103" s="155">
        <v>46091</v>
      </c>
      <c r="L103" s="43" t="s">
        <v>1098</v>
      </c>
      <c r="M103" s="43" t="s">
        <v>230</v>
      </c>
      <c r="N103" s="43" t="s">
        <v>3404</v>
      </c>
      <c r="O103" s="448">
        <v>46101</v>
      </c>
      <c r="P103" s="732" t="s">
        <v>3405</v>
      </c>
      <c r="Q103" s="91"/>
      <c r="R103" s="91"/>
      <c r="S103" s="91"/>
      <c r="T103" s="91"/>
      <c r="U103" s="91"/>
      <c r="V103" s="91"/>
      <c r="W103" s="91"/>
      <c r="X103" s="91"/>
      <c r="Y103" s="91"/>
      <c r="Z103" s="91"/>
      <c r="AA103" s="91"/>
      <c r="AB103" s="91"/>
      <c r="AC103" s="91"/>
      <c r="AD103" s="91"/>
      <c r="AE103" s="91"/>
      <c r="AF103" s="91"/>
      <c r="AG103" s="91"/>
      <c r="AH103" s="91"/>
      <c r="AI103" s="91"/>
    </row>
    <row r="104" spans="1:35">
      <c r="A104" s="224"/>
      <c r="B104" s="156">
        <v>102</v>
      </c>
      <c r="C104" s="156">
        <v>217795</v>
      </c>
      <c r="D104" s="156">
        <v>15762883</v>
      </c>
      <c r="E104" s="156" t="s">
        <v>3406</v>
      </c>
      <c r="F104" s="156">
        <v>47</v>
      </c>
      <c r="G104" s="156" t="s">
        <v>3407</v>
      </c>
      <c r="H104" s="156" t="s">
        <v>301</v>
      </c>
      <c r="I104" s="156">
        <v>965345659</v>
      </c>
      <c r="J104" s="353" t="s">
        <v>289</v>
      </c>
      <c r="K104" s="155">
        <v>46091</v>
      </c>
      <c r="L104" s="43" t="s">
        <v>3408</v>
      </c>
      <c r="M104" s="43" t="s">
        <v>312</v>
      </c>
      <c r="N104" s="43" t="s">
        <v>317</v>
      </c>
      <c r="O104" s="766">
        <v>46105</v>
      </c>
      <c r="P104" s="224" t="s">
        <v>3409</v>
      </c>
      <c r="Q104" s="91"/>
      <c r="R104" s="91"/>
      <c r="S104" s="91"/>
      <c r="T104" s="91"/>
      <c r="U104" s="91"/>
      <c r="V104" s="91"/>
      <c r="W104" s="91"/>
      <c r="X104" s="91"/>
      <c r="Y104" s="91"/>
      <c r="Z104" s="91"/>
      <c r="AA104" s="91"/>
      <c r="AB104" s="91"/>
      <c r="AC104" s="91"/>
      <c r="AD104" s="91"/>
      <c r="AE104" s="91"/>
      <c r="AF104" s="91"/>
      <c r="AG104" s="91"/>
      <c r="AH104" s="91"/>
      <c r="AI104" s="91"/>
    </row>
    <row r="105" spans="1:35">
      <c r="A105" s="224"/>
      <c r="B105" s="156">
        <v>103</v>
      </c>
      <c r="C105" s="156">
        <v>115352</v>
      </c>
      <c r="D105" s="156">
        <v>40042492</v>
      </c>
      <c r="E105" s="156" t="s">
        <v>3410</v>
      </c>
      <c r="F105" s="156">
        <v>47</v>
      </c>
      <c r="G105" s="156" t="s">
        <v>3411</v>
      </c>
      <c r="H105" s="156" t="s">
        <v>301</v>
      </c>
      <c r="I105" s="156">
        <v>966543341</v>
      </c>
      <c r="J105" s="353" t="s">
        <v>238</v>
      </c>
      <c r="K105" s="155">
        <v>46091</v>
      </c>
      <c r="L105" s="43" t="s">
        <v>3412</v>
      </c>
      <c r="M105" s="43" t="s">
        <v>312</v>
      </c>
      <c r="N105" s="43" t="s">
        <v>3253</v>
      </c>
      <c r="O105" s="680">
        <v>46094</v>
      </c>
      <c r="P105" s="224"/>
      <c r="Q105" s="91"/>
      <c r="R105" s="91"/>
      <c r="S105" s="91"/>
      <c r="T105" s="91"/>
      <c r="U105" s="91"/>
      <c r="V105" s="91"/>
      <c r="W105" s="91"/>
      <c r="X105" s="91"/>
      <c r="Y105" s="91"/>
      <c r="Z105" s="91"/>
      <c r="AA105" s="91"/>
      <c r="AB105" s="91"/>
      <c r="AC105" s="91"/>
      <c r="AD105" s="91"/>
      <c r="AE105" s="91"/>
      <c r="AF105" s="91"/>
      <c r="AG105" s="91"/>
      <c r="AH105" s="91"/>
      <c r="AI105" s="91"/>
    </row>
    <row r="106" spans="1:35">
      <c r="A106" s="224"/>
      <c r="B106" s="156">
        <v>104</v>
      </c>
      <c r="C106" s="156">
        <v>180462</v>
      </c>
      <c r="D106" s="156">
        <v>15639987</v>
      </c>
      <c r="E106" s="156" t="s">
        <v>3413</v>
      </c>
      <c r="F106" s="156">
        <v>67</v>
      </c>
      <c r="G106" s="156" t="s">
        <v>3414</v>
      </c>
      <c r="H106" s="156" t="s">
        <v>2828</v>
      </c>
      <c r="I106" s="156">
        <v>967368217</v>
      </c>
      <c r="J106" s="353" t="s">
        <v>1209</v>
      </c>
      <c r="K106" s="155">
        <v>46091</v>
      </c>
      <c r="L106" s="43" t="s">
        <v>3415</v>
      </c>
      <c r="M106" s="43" t="s">
        <v>260</v>
      </c>
      <c r="N106" s="43" t="s">
        <v>3253</v>
      </c>
      <c r="O106" s="762">
        <v>46099</v>
      </c>
      <c r="P106" s="859" t="s">
        <v>3171</v>
      </c>
      <c r="Q106" s="91"/>
      <c r="R106" s="91"/>
      <c r="S106" s="91"/>
      <c r="T106" s="91"/>
      <c r="U106" s="91"/>
      <c r="V106" s="91"/>
      <c r="W106" s="91"/>
      <c r="X106" s="91"/>
      <c r="Y106" s="91"/>
      <c r="Z106" s="91"/>
      <c r="AA106" s="91"/>
      <c r="AB106" s="91"/>
      <c r="AC106" s="91"/>
      <c r="AD106" s="91"/>
      <c r="AE106" s="91"/>
      <c r="AF106" s="91"/>
      <c r="AG106" s="91"/>
      <c r="AH106" s="91"/>
      <c r="AI106" s="91"/>
    </row>
    <row r="107" spans="1:35">
      <c r="A107" s="229"/>
      <c r="B107" s="156">
        <v>105</v>
      </c>
      <c r="C107" s="156">
        <v>62805</v>
      </c>
      <c r="D107" s="156">
        <v>15639421</v>
      </c>
      <c r="E107" s="156" t="s">
        <v>3416</v>
      </c>
      <c r="F107" s="156">
        <v>69</v>
      </c>
      <c r="G107" s="156" t="s">
        <v>3417</v>
      </c>
      <c r="H107" s="156" t="s">
        <v>432</v>
      </c>
      <c r="I107" s="156" t="s">
        <v>3418</v>
      </c>
      <c r="J107" s="353" t="s">
        <v>1209</v>
      </c>
      <c r="K107" s="155">
        <v>46091</v>
      </c>
      <c r="L107" s="43" t="s">
        <v>576</v>
      </c>
      <c r="M107" s="43" t="s">
        <v>260</v>
      </c>
      <c r="N107" s="43" t="s">
        <v>3253</v>
      </c>
      <c r="O107" s="762">
        <v>46099</v>
      </c>
      <c r="P107" s="732" t="s">
        <v>3171</v>
      </c>
      <c r="Q107" s="91"/>
      <c r="R107" s="91"/>
      <c r="S107" s="91"/>
      <c r="T107" s="91"/>
      <c r="U107" s="91"/>
      <c r="V107" s="91"/>
      <c r="W107" s="91"/>
      <c r="X107" s="91"/>
      <c r="Y107" s="91"/>
      <c r="Z107" s="91"/>
      <c r="AA107" s="91"/>
      <c r="AB107" s="91"/>
      <c r="AC107" s="91"/>
      <c r="AD107" s="91"/>
      <c r="AE107" s="91"/>
      <c r="AF107" s="91"/>
      <c r="AG107" s="91"/>
      <c r="AH107" s="91"/>
      <c r="AI107" s="91"/>
    </row>
    <row r="108" spans="1:35">
      <c r="A108" s="229"/>
      <c r="B108" s="156">
        <v>106</v>
      </c>
      <c r="C108" s="156">
        <v>168929</v>
      </c>
      <c r="D108" s="156">
        <v>15204667</v>
      </c>
      <c r="E108" s="156" t="s">
        <v>3419</v>
      </c>
      <c r="F108" s="156">
        <v>53</v>
      </c>
      <c r="G108" s="156" t="s">
        <v>3420</v>
      </c>
      <c r="H108" s="156" t="s">
        <v>1420</v>
      </c>
      <c r="I108" s="156">
        <v>951767351</v>
      </c>
      <c r="J108" s="353" t="s">
        <v>746</v>
      </c>
      <c r="K108" s="155">
        <v>46091</v>
      </c>
      <c r="L108" s="43" t="s">
        <v>747</v>
      </c>
      <c r="M108" s="43" t="s">
        <v>230</v>
      </c>
      <c r="N108" s="43" t="s">
        <v>884</v>
      </c>
      <c r="O108" s="463">
        <v>46101</v>
      </c>
      <c r="P108" s="224" t="s">
        <v>3421</v>
      </c>
      <c r="Q108" s="91"/>
      <c r="R108" s="91"/>
      <c r="S108" s="91"/>
      <c r="T108" s="91"/>
      <c r="U108" s="91"/>
      <c r="V108" s="91"/>
      <c r="W108" s="91"/>
      <c r="X108" s="91"/>
      <c r="Y108" s="91"/>
      <c r="Z108" s="91"/>
      <c r="AA108" s="91"/>
      <c r="AB108" s="91"/>
      <c r="AC108" s="91"/>
      <c r="AD108" s="91"/>
      <c r="AE108" s="91"/>
      <c r="AF108" s="91"/>
      <c r="AG108" s="91"/>
      <c r="AH108" s="91"/>
      <c r="AI108" s="91"/>
    </row>
    <row r="109" spans="1:35">
      <c r="A109" s="226"/>
      <c r="B109" s="156">
        <v>107</v>
      </c>
      <c r="C109" s="156">
        <v>162640</v>
      </c>
      <c r="D109" s="156" t="s">
        <v>3422</v>
      </c>
      <c r="E109" s="156" t="s">
        <v>3423</v>
      </c>
      <c r="F109" s="156">
        <v>52</v>
      </c>
      <c r="G109" s="156" t="s">
        <v>3424</v>
      </c>
      <c r="H109" s="156" t="s">
        <v>222</v>
      </c>
      <c r="I109" s="156">
        <v>935975770</v>
      </c>
      <c r="J109" s="353" t="s">
        <v>223</v>
      </c>
      <c r="K109" s="155">
        <v>46091</v>
      </c>
      <c r="L109" s="43" t="s">
        <v>3425</v>
      </c>
      <c r="M109" s="43" t="s">
        <v>312</v>
      </c>
      <c r="N109" s="43" t="s">
        <v>884</v>
      </c>
      <c r="O109" s="463">
        <v>46101</v>
      </c>
      <c r="P109" s="224" t="s">
        <v>3421</v>
      </c>
      <c r="Q109" s="91"/>
      <c r="R109" s="91"/>
      <c r="S109" s="91"/>
      <c r="T109" s="91"/>
      <c r="U109" s="91"/>
      <c r="V109" s="91"/>
      <c r="W109" s="91"/>
      <c r="X109" s="91"/>
      <c r="Y109" s="91"/>
      <c r="Z109" s="91"/>
      <c r="AA109" s="91"/>
      <c r="AB109" s="91"/>
      <c r="AC109" s="91"/>
      <c r="AD109" s="91"/>
      <c r="AE109" s="91"/>
      <c r="AF109" s="91"/>
      <c r="AG109" s="91"/>
      <c r="AH109" s="91"/>
      <c r="AI109" s="91"/>
    </row>
    <row r="110" spans="1:35">
      <c r="A110" s="229"/>
      <c r="B110" s="156">
        <v>108</v>
      </c>
      <c r="C110" s="156">
        <v>501358</v>
      </c>
      <c r="D110" s="156">
        <v>29658573</v>
      </c>
      <c r="E110" s="156" t="s">
        <v>3426</v>
      </c>
      <c r="F110" s="156">
        <v>52</v>
      </c>
      <c r="G110" s="156" t="s">
        <v>3427</v>
      </c>
      <c r="H110" s="156" t="s">
        <v>278</v>
      </c>
      <c r="I110" s="156">
        <v>995550333</v>
      </c>
      <c r="J110" s="353" t="s">
        <v>238</v>
      </c>
      <c r="K110" s="155">
        <v>46091</v>
      </c>
      <c r="L110" s="43" t="s">
        <v>584</v>
      </c>
      <c r="M110" s="43" t="s">
        <v>230</v>
      </c>
      <c r="N110" s="43" t="s">
        <v>3253</v>
      </c>
      <c r="O110" s="680">
        <v>46094</v>
      </c>
      <c r="P110" s="151"/>
      <c r="Q110" s="878" t="s">
        <v>2920</v>
      </c>
      <c r="R110" s="839"/>
      <c r="S110" s="839"/>
      <c r="T110" s="839"/>
      <c r="U110" s="839"/>
      <c r="V110" s="839"/>
      <c r="W110" s="839"/>
      <c r="X110" s="839"/>
      <c r="Y110" s="839"/>
      <c r="Z110" s="839"/>
      <c r="AA110" s="839"/>
      <c r="AB110" s="839"/>
      <c r="AC110" s="839"/>
      <c r="AD110" s="839"/>
      <c r="AE110" s="839"/>
      <c r="AF110" s="839"/>
      <c r="AG110" s="839"/>
      <c r="AH110" s="839"/>
      <c r="AI110" s="839"/>
    </row>
    <row r="111" spans="1:35">
      <c r="A111" s="229"/>
      <c r="B111" s="156">
        <v>109</v>
      </c>
      <c r="C111" s="156">
        <v>300345</v>
      </c>
      <c r="D111" s="156" t="s">
        <v>3428</v>
      </c>
      <c r="E111" s="156" t="s">
        <v>3429</v>
      </c>
      <c r="F111" s="156">
        <v>65</v>
      </c>
      <c r="G111" s="156" t="s">
        <v>3430</v>
      </c>
      <c r="H111" s="156" t="s">
        <v>222</v>
      </c>
      <c r="I111" s="156" t="s">
        <v>3431</v>
      </c>
      <c r="J111" s="353" t="s">
        <v>238</v>
      </c>
      <c r="K111" s="155">
        <v>46091</v>
      </c>
      <c r="L111" s="43" t="s">
        <v>2865</v>
      </c>
      <c r="M111" s="43" t="s">
        <v>230</v>
      </c>
      <c r="N111" s="43" t="s">
        <v>3253</v>
      </c>
      <c r="O111" s="680">
        <v>46094</v>
      </c>
      <c r="P111" s="733"/>
      <c r="Q111" s="242"/>
      <c r="R111" s="91"/>
      <c r="S111" s="91"/>
      <c r="T111" s="91"/>
      <c r="U111" s="91"/>
      <c r="V111" s="91"/>
      <c r="W111" s="91"/>
      <c r="X111" s="91"/>
      <c r="Y111" s="91"/>
      <c r="Z111" s="91"/>
      <c r="AA111" s="91"/>
      <c r="AB111" s="91"/>
      <c r="AC111" s="91"/>
      <c r="AD111" s="91"/>
      <c r="AE111" s="91"/>
      <c r="AF111" s="91"/>
      <c r="AG111" s="91"/>
      <c r="AH111" s="91"/>
      <c r="AI111" s="91"/>
    </row>
    <row r="112" spans="1:35">
      <c r="A112" s="229"/>
      <c r="B112" s="156">
        <v>110</v>
      </c>
      <c r="C112" s="156">
        <v>192177</v>
      </c>
      <c r="D112" s="156">
        <v>15736843</v>
      </c>
      <c r="E112" s="156" t="s">
        <v>3432</v>
      </c>
      <c r="F112" s="156">
        <v>51</v>
      </c>
      <c r="G112" s="156" t="s">
        <v>3433</v>
      </c>
      <c r="H112" s="156" t="s">
        <v>326</v>
      </c>
      <c r="I112" s="156">
        <v>948220270</v>
      </c>
      <c r="J112" s="353" t="s">
        <v>1527</v>
      </c>
      <c r="K112" s="155">
        <v>46091</v>
      </c>
      <c r="L112" s="266" t="s">
        <v>1156</v>
      </c>
      <c r="M112" s="43" t="s">
        <v>230</v>
      </c>
      <c r="N112" s="43" t="s">
        <v>3253</v>
      </c>
      <c r="O112" s="437">
        <v>46094</v>
      </c>
      <c r="P112" s="247" t="s">
        <v>1529</v>
      </c>
      <c r="Q112" s="91"/>
      <c r="R112" s="91"/>
      <c r="S112" s="91"/>
      <c r="T112" s="91"/>
      <c r="U112" s="91"/>
      <c r="V112" s="91"/>
      <c r="W112" s="91"/>
      <c r="X112" s="91"/>
      <c r="Y112" s="91"/>
      <c r="Z112" s="91"/>
      <c r="AA112" s="91"/>
      <c r="AB112" s="91"/>
      <c r="AC112" s="91"/>
      <c r="AD112" s="91"/>
      <c r="AE112" s="91"/>
      <c r="AF112" s="91"/>
      <c r="AG112" s="91"/>
      <c r="AH112" s="91"/>
      <c r="AI112" s="91"/>
    </row>
    <row r="113" spans="1:35">
      <c r="A113" s="229"/>
      <c r="B113" s="156">
        <v>111</v>
      </c>
      <c r="C113" s="156">
        <v>174818</v>
      </c>
      <c r="D113" s="156">
        <v>15722181</v>
      </c>
      <c r="E113" s="156" t="s">
        <v>3434</v>
      </c>
      <c r="F113" s="156">
        <v>56</v>
      </c>
      <c r="G113" s="156" t="s">
        <v>3435</v>
      </c>
      <c r="H113" s="156" t="s">
        <v>222</v>
      </c>
      <c r="I113" s="156">
        <v>957292745</v>
      </c>
      <c r="J113" s="353" t="s">
        <v>283</v>
      </c>
      <c r="K113" s="155">
        <v>46091</v>
      </c>
      <c r="L113" s="43" t="s">
        <v>584</v>
      </c>
      <c r="M113" s="43" t="s">
        <v>230</v>
      </c>
      <c r="N113" s="43" t="s">
        <v>3253</v>
      </c>
      <c r="O113" s="437">
        <v>46093</v>
      </c>
      <c r="P113" s="248" t="s">
        <v>1962</v>
      </c>
      <c r="Q113" s="91"/>
      <c r="R113" s="91"/>
      <c r="S113" s="91"/>
      <c r="T113" s="91"/>
      <c r="U113" s="91"/>
      <c r="V113" s="91"/>
      <c r="W113" s="91"/>
      <c r="X113" s="91"/>
      <c r="Y113" s="91"/>
      <c r="Z113" s="91"/>
      <c r="AA113" s="91"/>
      <c r="AB113" s="91"/>
      <c r="AC113" s="91"/>
      <c r="AD113" s="91"/>
      <c r="AE113" s="91"/>
      <c r="AF113" s="91"/>
      <c r="AG113" s="91"/>
      <c r="AH113" s="91"/>
      <c r="AI113" s="91"/>
    </row>
    <row r="114" spans="1:35">
      <c r="A114" s="229"/>
      <c r="B114" s="156">
        <v>112</v>
      </c>
      <c r="C114" s="156">
        <v>301120</v>
      </c>
      <c r="D114" s="156">
        <v>15722146</v>
      </c>
      <c r="E114" s="156" t="s">
        <v>3436</v>
      </c>
      <c r="F114" s="156">
        <v>57</v>
      </c>
      <c r="G114" s="156" t="s">
        <v>3437</v>
      </c>
      <c r="H114" s="156" t="s">
        <v>278</v>
      </c>
      <c r="I114" s="156">
        <v>943556319</v>
      </c>
      <c r="J114" s="353" t="s">
        <v>238</v>
      </c>
      <c r="K114" s="155">
        <v>46091</v>
      </c>
      <c r="L114" s="43" t="s">
        <v>3438</v>
      </c>
      <c r="M114" s="43" t="s">
        <v>312</v>
      </c>
      <c r="N114" s="43" t="s">
        <v>3253</v>
      </c>
      <c r="O114" s="680">
        <v>46094</v>
      </c>
      <c r="P114" s="151"/>
      <c r="Q114" s="880" t="s">
        <v>3359</v>
      </c>
      <c r="R114" s="837"/>
      <c r="S114" s="837"/>
      <c r="T114" s="837"/>
      <c r="U114" s="837"/>
      <c r="V114" s="837"/>
      <c r="W114" s="837"/>
      <c r="X114" s="837"/>
      <c r="Y114" s="837"/>
      <c r="Z114" s="837"/>
      <c r="AA114" s="837"/>
      <c r="AB114" s="837"/>
      <c r="AC114" s="837"/>
      <c r="AD114" s="837"/>
      <c r="AE114" s="837"/>
      <c r="AF114" s="837"/>
      <c r="AG114" s="837"/>
      <c r="AH114" s="837"/>
      <c r="AI114" s="837"/>
    </row>
    <row r="115" spans="1:35">
      <c r="A115" s="230" t="s">
        <v>513</v>
      </c>
      <c r="B115" s="156">
        <v>113</v>
      </c>
      <c r="C115" s="156">
        <v>33953</v>
      </c>
      <c r="D115" s="156">
        <v>41936087</v>
      </c>
      <c r="E115" s="156" t="s">
        <v>3439</v>
      </c>
      <c r="F115" s="156">
        <v>42</v>
      </c>
      <c r="G115" s="216" t="s">
        <v>3440</v>
      </c>
      <c r="H115" s="156" t="s">
        <v>278</v>
      </c>
      <c r="I115" s="156">
        <v>987041901</v>
      </c>
      <c r="J115" s="353" t="s">
        <v>238</v>
      </c>
      <c r="K115" s="155">
        <v>46091</v>
      </c>
      <c r="L115" s="43" t="s">
        <v>584</v>
      </c>
      <c r="M115" s="43" t="s">
        <v>260</v>
      </c>
      <c r="N115" s="43" t="s">
        <v>3253</v>
      </c>
      <c r="O115" s="680">
        <v>46094</v>
      </c>
      <c r="P115" s="151"/>
      <c r="Q115" s="242" t="s">
        <v>3441</v>
      </c>
      <c r="R115" s="91"/>
      <c r="S115" s="91"/>
      <c r="T115" s="91"/>
      <c r="U115" s="91"/>
      <c r="V115" s="91"/>
      <c r="W115" s="91"/>
      <c r="X115" s="91"/>
      <c r="Y115" s="91"/>
      <c r="Z115" s="91"/>
      <c r="AA115" s="91"/>
      <c r="AB115" s="91"/>
      <c r="AC115" s="91"/>
      <c r="AD115" s="91"/>
      <c r="AE115" s="91"/>
      <c r="AF115" s="91"/>
      <c r="AG115" s="91"/>
      <c r="AH115" s="91"/>
      <c r="AI115" s="91"/>
    </row>
    <row r="116" spans="1:35">
      <c r="A116" s="229"/>
      <c r="B116" s="156">
        <v>114</v>
      </c>
      <c r="C116" s="156">
        <v>523832</v>
      </c>
      <c r="D116" s="156">
        <v>33953485</v>
      </c>
      <c r="E116" s="156" t="s">
        <v>3442</v>
      </c>
      <c r="F116" s="156">
        <v>58</v>
      </c>
      <c r="G116" s="216" t="s">
        <v>3440</v>
      </c>
      <c r="H116" s="156" t="s">
        <v>278</v>
      </c>
      <c r="I116" s="156">
        <v>987041901</v>
      </c>
      <c r="J116" s="353" t="s">
        <v>238</v>
      </c>
      <c r="K116" s="155">
        <v>46091</v>
      </c>
      <c r="L116" s="43" t="s">
        <v>3443</v>
      </c>
      <c r="M116" s="43" t="s">
        <v>312</v>
      </c>
      <c r="N116" s="43" t="s">
        <v>317</v>
      </c>
      <c r="O116" s="680">
        <v>46094</v>
      </c>
      <c r="P116" s="151"/>
      <c r="Q116" s="405" t="s">
        <v>3444</v>
      </c>
      <c r="R116" s="838"/>
      <c r="S116" s="838"/>
      <c r="T116" s="838"/>
      <c r="U116" s="838"/>
      <c r="V116" s="838"/>
      <c r="W116" s="838"/>
      <c r="X116" s="838"/>
      <c r="Y116" s="838"/>
      <c r="Z116" s="838"/>
      <c r="AA116" s="838"/>
      <c r="AB116" s="838"/>
      <c r="AC116" s="838"/>
      <c r="AD116" s="838"/>
      <c r="AE116" s="838"/>
      <c r="AF116" s="838"/>
      <c r="AG116" s="838"/>
      <c r="AH116" s="838"/>
      <c r="AI116" s="838"/>
    </row>
    <row r="117" spans="1:35">
      <c r="A117" s="229"/>
      <c r="B117" s="156">
        <v>115</v>
      </c>
      <c r="C117" s="156">
        <v>154042</v>
      </c>
      <c r="D117" s="156" t="s">
        <v>3445</v>
      </c>
      <c r="E117" s="156" t="s">
        <v>3446</v>
      </c>
      <c r="F117" s="156">
        <v>60</v>
      </c>
      <c r="G117" s="156" t="s">
        <v>3447</v>
      </c>
      <c r="H117" s="156" t="s">
        <v>573</v>
      </c>
      <c r="I117" s="156">
        <v>952118293</v>
      </c>
      <c r="J117" s="353" t="s">
        <v>238</v>
      </c>
      <c r="K117" s="155">
        <v>46091</v>
      </c>
      <c r="L117" s="43" t="s">
        <v>1947</v>
      </c>
      <c r="M117" s="43" t="s">
        <v>230</v>
      </c>
      <c r="N117" s="43" t="s">
        <v>317</v>
      </c>
      <c r="O117" s="680">
        <v>46094</v>
      </c>
      <c r="P117" s="732" t="s">
        <v>3448</v>
      </c>
      <c r="Q117" s="91"/>
      <c r="R117" s="91"/>
      <c r="S117" s="91"/>
      <c r="T117" s="91"/>
      <c r="U117" s="91"/>
      <c r="V117" s="91"/>
      <c r="W117" s="91"/>
      <c r="X117" s="91"/>
      <c r="Y117" s="91"/>
      <c r="Z117" s="91"/>
      <c r="AA117" s="91"/>
      <c r="AB117" s="91"/>
      <c r="AC117" s="91"/>
      <c r="AD117" s="91"/>
      <c r="AE117" s="91"/>
      <c r="AF117" s="91"/>
      <c r="AG117" s="91"/>
      <c r="AH117" s="91"/>
      <c r="AI117" s="91"/>
    </row>
    <row r="118" spans="1:35">
      <c r="A118" s="229"/>
      <c r="B118" s="156">
        <v>116</v>
      </c>
      <c r="C118" s="156">
        <v>471487</v>
      </c>
      <c r="D118" s="156" t="s">
        <v>3449</v>
      </c>
      <c r="E118" s="156" t="s">
        <v>3450</v>
      </c>
      <c r="F118" s="156">
        <v>42</v>
      </c>
      <c r="G118" s="156" t="s">
        <v>3451</v>
      </c>
      <c r="H118" s="156" t="s">
        <v>278</v>
      </c>
      <c r="I118" s="156">
        <v>917731841</v>
      </c>
      <c r="J118" s="353" t="s">
        <v>742</v>
      </c>
      <c r="K118" s="155">
        <v>46091</v>
      </c>
      <c r="L118" s="43" t="s">
        <v>1156</v>
      </c>
      <c r="M118" s="43" t="s">
        <v>260</v>
      </c>
      <c r="N118" s="43" t="s">
        <v>3253</v>
      </c>
      <c r="O118" s="437">
        <v>46094</v>
      </c>
      <c r="P118" s="765" t="s">
        <v>2165</v>
      </c>
      <c r="Q118" s="91"/>
      <c r="R118" s="91"/>
      <c r="S118" s="91"/>
      <c r="T118" s="91"/>
      <c r="U118" s="91"/>
      <c r="V118" s="91"/>
      <c r="W118" s="91"/>
      <c r="X118" s="91"/>
      <c r="Y118" s="91"/>
      <c r="Z118" s="91"/>
      <c r="AA118" s="91"/>
      <c r="AB118" s="91"/>
      <c r="AC118" s="91"/>
      <c r="AD118" s="91"/>
      <c r="AE118" s="91"/>
      <c r="AF118" s="91"/>
      <c r="AG118" s="91"/>
      <c r="AH118" s="91"/>
      <c r="AI118" s="91"/>
    </row>
    <row r="119" spans="1:35">
      <c r="A119" s="229"/>
      <c r="B119" s="156">
        <v>117</v>
      </c>
      <c r="C119" s="156">
        <v>189063</v>
      </c>
      <c r="D119" s="156">
        <v>15737012</v>
      </c>
      <c r="E119" s="156" t="s">
        <v>3452</v>
      </c>
      <c r="F119" s="156">
        <v>51</v>
      </c>
      <c r="G119" s="156" t="s">
        <v>3453</v>
      </c>
      <c r="H119" s="156" t="s">
        <v>278</v>
      </c>
      <c r="I119" s="156">
        <v>954138314</v>
      </c>
      <c r="J119" s="353" t="s">
        <v>238</v>
      </c>
      <c r="K119" s="155">
        <v>46091</v>
      </c>
      <c r="L119" s="43" t="s">
        <v>2865</v>
      </c>
      <c r="M119" s="43" t="s">
        <v>230</v>
      </c>
      <c r="N119" s="43" t="s">
        <v>3253</v>
      </c>
      <c r="O119" s="680">
        <v>46094</v>
      </c>
      <c r="P119" s="732"/>
      <c r="Q119" s="91"/>
      <c r="R119" s="91"/>
      <c r="S119" s="91"/>
      <c r="T119" s="91"/>
      <c r="U119" s="91"/>
      <c r="V119" s="91"/>
      <c r="W119" s="91"/>
      <c r="X119" s="91"/>
      <c r="Y119" s="91"/>
      <c r="Z119" s="91"/>
      <c r="AA119" s="91"/>
      <c r="AB119" s="91"/>
      <c r="AC119" s="91"/>
      <c r="AD119" s="91"/>
      <c r="AE119" s="91"/>
      <c r="AF119" s="91"/>
      <c r="AG119" s="91"/>
      <c r="AH119" s="91"/>
      <c r="AI119" s="91"/>
    </row>
    <row r="120" spans="1:35">
      <c r="A120" s="229"/>
      <c r="B120" s="156">
        <v>118</v>
      </c>
      <c r="C120" s="156">
        <v>41801</v>
      </c>
      <c r="D120" s="156">
        <v>15721180</v>
      </c>
      <c r="E120" s="156" t="s">
        <v>3454</v>
      </c>
      <c r="F120" s="156">
        <v>51</v>
      </c>
      <c r="G120" s="156" t="s">
        <v>3455</v>
      </c>
      <c r="H120" s="156" t="s">
        <v>1764</v>
      </c>
      <c r="I120" s="156" t="s">
        <v>3456</v>
      </c>
      <c r="J120" s="353" t="s">
        <v>617</v>
      </c>
      <c r="K120" s="155">
        <v>46091</v>
      </c>
      <c r="L120" s="43" t="s">
        <v>584</v>
      </c>
      <c r="M120" s="43" t="s">
        <v>230</v>
      </c>
      <c r="N120" s="43" t="s">
        <v>3253</v>
      </c>
      <c r="O120" s="448">
        <v>46101</v>
      </c>
      <c r="P120" s="732" t="s">
        <v>3405</v>
      </c>
      <c r="Q120" s="91"/>
      <c r="R120" s="91"/>
      <c r="S120" s="91"/>
      <c r="T120" s="91"/>
      <c r="U120" s="91"/>
      <c r="V120" s="91"/>
      <c r="W120" s="91"/>
      <c r="X120" s="91"/>
      <c r="Y120" s="91"/>
      <c r="Z120" s="91"/>
      <c r="AA120" s="91"/>
      <c r="AB120" s="91"/>
      <c r="AC120" s="91"/>
      <c r="AD120" s="91"/>
      <c r="AE120" s="91"/>
      <c r="AF120" s="91"/>
      <c r="AG120" s="91"/>
      <c r="AH120" s="91"/>
      <c r="AI120" s="91"/>
    </row>
    <row r="121" spans="1:35">
      <c r="A121" s="229"/>
      <c r="B121" s="156">
        <v>119</v>
      </c>
      <c r="C121" s="156">
        <v>257128</v>
      </c>
      <c r="D121" s="156">
        <v>41835728</v>
      </c>
      <c r="E121" s="156" t="s">
        <v>3457</v>
      </c>
      <c r="F121" s="156">
        <v>43</v>
      </c>
      <c r="G121" s="156" t="s">
        <v>3458</v>
      </c>
      <c r="H121" s="156" t="s">
        <v>278</v>
      </c>
      <c r="I121" s="156">
        <v>991549994</v>
      </c>
      <c r="J121" s="353" t="s">
        <v>238</v>
      </c>
      <c r="K121" s="155">
        <v>46091</v>
      </c>
      <c r="L121" s="43" t="s">
        <v>584</v>
      </c>
      <c r="M121" s="43" t="s">
        <v>260</v>
      </c>
      <c r="N121" s="43" t="s">
        <v>3253</v>
      </c>
      <c r="O121" s="680">
        <v>46094</v>
      </c>
      <c r="P121" s="733"/>
      <c r="Q121" s="242"/>
      <c r="R121" s="91"/>
      <c r="S121" s="91"/>
      <c r="T121" s="91"/>
      <c r="U121" s="91"/>
      <c r="V121" s="91"/>
      <c r="W121" s="91"/>
      <c r="X121" s="91"/>
      <c r="Y121" s="91"/>
      <c r="Z121" s="91"/>
      <c r="AA121" s="91"/>
      <c r="AB121" s="91"/>
      <c r="AC121" s="91"/>
      <c r="AD121" s="91"/>
      <c r="AE121" s="91"/>
      <c r="AF121" s="91"/>
      <c r="AG121" s="91"/>
      <c r="AH121" s="91"/>
      <c r="AI121" s="91"/>
    </row>
    <row r="122" spans="1:35">
      <c r="A122" s="229"/>
      <c r="B122" s="156">
        <v>120</v>
      </c>
      <c r="C122" s="156">
        <v>60575</v>
      </c>
      <c r="D122" s="156">
        <v>15738698</v>
      </c>
      <c r="E122" s="156" t="s">
        <v>3459</v>
      </c>
      <c r="F122" s="156">
        <v>50</v>
      </c>
      <c r="G122" s="156" t="s">
        <v>3460</v>
      </c>
      <c r="H122" s="156" t="s">
        <v>237</v>
      </c>
      <c r="I122" s="156" t="s">
        <v>3461</v>
      </c>
      <c r="J122" s="353" t="s">
        <v>238</v>
      </c>
      <c r="K122" s="155">
        <v>46091</v>
      </c>
      <c r="L122" s="43" t="s">
        <v>3462</v>
      </c>
      <c r="M122" s="43" t="s">
        <v>260</v>
      </c>
      <c r="N122" s="43" t="s">
        <v>3253</v>
      </c>
      <c r="O122" s="680">
        <v>46094</v>
      </c>
      <c r="P122" s="733"/>
      <c r="Q122" s="242"/>
      <c r="R122" s="91"/>
      <c r="S122" s="91"/>
      <c r="T122" s="91"/>
      <c r="U122" s="91"/>
      <c r="V122" s="91"/>
      <c r="W122" s="91"/>
      <c r="X122" s="91"/>
      <c r="Y122" s="91"/>
      <c r="Z122" s="91"/>
      <c r="AA122" s="91"/>
      <c r="AB122" s="91"/>
      <c r="AC122" s="91"/>
      <c r="AD122" s="91"/>
      <c r="AE122" s="91"/>
      <c r="AF122" s="91"/>
      <c r="AG122" s="91"/>
      <c r="AH122" s="91"/>
      <c r="AI122" s="91"/>
    </row>
    <row r="123" spans="1:35">
      <c r="A123" s="232"/>
      <c r="B123" s="156">
        <v>121</v>
      </c>
      <c r="C123" s="162">
        <v>215217</v>
      </c>
      <c r="D123" s="162">
        <v>15853534</v>
      </c>
      <c r="E123" s="162" t="s">
        <v>3463</v>
      </c>
      <c r="F123" s="162">
        <v>50</v>
      </c>
      <c r="G123" s="220" t="s">
        <v>3464</v>
      </c>
      <c r="H123" s="162" t="s">
        <v>278</v>
      </c>
      <c r="I123" s="162">
        <v>906699935</v>
      </c>
      <c r="J123" s="354" t="s">
        <v>238</v>
      </c>
      <c r="K123" s="157">
        <v>46091</v>
      </c>
      <c r="L123" s="143" t="s">
        <v>3465</v>
      </c>
      <c r="M123" s="143" t="s">
        <v>260</v>
      </c>
      <c r="N123" s="143" t="s">
        <v>3466</v>
      </c>
      <c r="O123" s="680">
        <v>46094</v>
      </c>
      <c r="P123" s="151"/>
      <c r="Q123" s="881" t="s">
        <v>3467</v>
      </c>
      <c r="R123" s="839"/>
      <c r="S123" s="839"/>
      <c r="T123" s="839"/>
      <c r="U123" s="839"/>
      <c r="V123" s="839"/>
      <c r="W123" s="839"/>
      <c r="X123" s="839"/>
      <c r="Y123" s="839"/>
      <c r="Z123" s="839"/>
      <c r="AA123" s="839"/>
      <c r="AB123" s="839"/>
      <c r="AC123" s="839"/>
      <c r="AD123" s="839"/>
      <c r="AE123" s="839"/>
      <c r="AF123" s="839"/>
      <c r="AG123" s="839"/>
      <c r="AH123" s="839"/>
      <c r="AI123" s="839"/>
    </row>
    <row r="124" spans="1:35">
      <c r="A124" s="229"/>
      <c r="B124" s="156">
        <v>122</v>
      </c>
      <c r="C124" s="156">
        <v>115138</v>
      </c>
      <c r="D124" s="156">
        <v>42279367</v>
      </c>
      <c r="E124" s="156" t="s">
        <v>3468</v>
      </c>
      <c r="F124" s="156">
        <v>42</v>
      </c>
      <c r="G124" s="156" t="s">
        <v>3469</v>
      </c>
      <c r="H124" s="156" t="s">
        <v>237</v>
      </c>
      <c r="I124" s="156">
        <v>940683152</v>
      </c>
      <c r="J124" s="353" t="s">
        <v>238</v>
      </c>
      <c r="K124" s="155">
        <v>46091</v>
      </c>
      <c r="L124" s="43" t="s">
        <v>1098</v>
      </c>
      <c r="M124" s="43" t="s">
        <v>230</v>
      </c>
      <c r="N124" s="43" t="s">
        <v>3370</v>
      </c>
      <c r="O124" s="680">
        <v>46094</v>
      </c>
      <c r="P124" s="733"/>
      <c r="Q124" s="242"/>
      <c r="R124" s="91"/>
      <c r="S124" s="91"/>
      <c r="T124" s="91"/>
      <c r="U124" s="91"/>
      <c r="V124" s="91"/>
      <c r="W124" s="91"/>
      <c r="X124" s="91"/>
      <c r="Y124" s="91"/>
      <c r="Z124" s="91"/>
      <c r="AA124" s="91"/>
      <c r="AB124" s="91"/>
      <c r="AC124" s="91"/>
      <c r="AD124" s="91"/>
      <c r="AE124" s="91"/>
      <c r="AF124" s="91"/>
      <c r="AG124" s="91"/>
      <c r="AH124" s="91"/>
      <c r="AI124" s="91"/>
    </row>
    <row r="125" spans="1:35">
      <c r="A125" s="229"/>
      <c r="B125" s="156">
        <v>123</v>
      </c>
      <c r="C125" s="156">
        <v>48175</v>
      </c>
      <c r="D125" s="156">
        <v>80274025</v>
      </c>
      <c r="E125" s="156" t="s">
        <v>3470</v>
      </c>
      <c r="F125" s="156">
        <v>51</v>
      </c>
      <c r="G125" s="156" t="s">
        <v>3471</v>
      </c>
      <c r="H125" s="156" t="s">
        <v>278</v>
      </c>
      <c r="I125" s="156">
        <v>969180806</v>
      </c>
      <c r="J125" s="353" t="s">
        <v>238</v>
      </c>
      <c r="K125" s="155">
        <v>46091</v>
      </c>
      <c r="L125" s="43" t="s">
        <v>458</v>
      </c>
      <c r="M125" s="43" t="s">
        <v>260</v>
      </c>
      <c r="N125" s="43" t="s">
        <v>601</v>
      </c>
      <c r="O125" s="680">
        <v>46094</v>
      </c>
      <c r="P125" s="151"/>
      <c r="Q125" s="880" t="s">
        <v>3359</v>
      </c>
      <c r="R125" s="837"/>
      <c r="S125" s="837"/>
      <c r="T125" s="837"/>
      <c r="U125" s="837"/>
      <c r="V125" s="837"/>
      <c r="W125" s="837"/>
      <c r="X125" s="837"/>
      <c r="Y125" s="837"/>
      <c r="Z125" s="837"/>
      <c r="AA125" s="837"/>
      <c r="AB125" s="837"/>
      <c r="AC125" s="837"/>
      <c r="AD125" s="837"/>
      <c r="AE125" s="837"/>
      <c r="AF125" s="837"/>
      <c r="AG125" s="837"/>
      <c r="AH125" s="837"/>
      <c r="AI125" s="837"/>
    </row>
    <row r="126" spans="1:35">
      <c r="A126" s="229"/>
      <c r="B126" s="156">
        <v>124</v>
      </c>
      <c r="C126" s="156">
        <v>246547</v>
      </c>
      <c r="D126" s="156">
        <v>15761348</v>
      </c>
      <c r="E126" s="156" t="s">
        <v>3472</v>
      </c>
      <c r="F126" s="156">
        <v>47</v>
      </c>
      <c r="G126" s="156" t="s">
        <v>3473</v>
      </c>
      <c r="H126" s="156" t="s">
        <v>278</v>
      </c>
      <c r="I126" s="156">
        <v>994134316</v>
      </c>
      <c r="J126" s="353" t="s">
        <v>238</v>
      </c>
      <c r="K126" s="155">
        <v>46091</v>
      </c>
      <c r="L126" s="43" t="s">
        <v>1098</v>
      </c>
      <c r="M126" s="43" t="s">
        <v>230</v>
      </c>
      <c r="N126" s="43" t="s">
        <v>3370</v>
      </c>
      <c r="O126" s="680">
        <v>46094</v>
      </c>
      <c r="P126" s="151"/>
      <c r="Q126" s="405" t="s">
        <v>3359</v>
      </c>
      <c r="R126" s="838"/>
      <c r="S126" s="838"/>
      <c r="T126" s="838"/>
      <c r="U126" s="838"/>
      <c r="V126" s="838"/>
      <c r="W126" s="838"/>
      <c r="X126" s="838"/>
      <c r="Y126" s="838"/>
      <c r="Z126" s="838"/>
      <c r="AA126" s="838"/>
      <c r="AB126" s="838"/>
      <c r="AC126" s="838"/>
      <c r="AD126" s="838"/>
      <c r="AE126" s="838"/>
      <c r="AF126" s="838"/>
      <c r="AG126" s="838"/>
      <c r="AH126" s="838"/>
      <c r="AI126" s="838"/>
    </row>
    <row r="127" spans="1:35">
      <c r="A127" s="229"/>
      <c r="B127" s="156">
        <v>125</v>
      </c>
      <c r="C127" s="156">
        <v>114483</v>
      </c>
      <c r="D127" s="156">
        <v>15594259</v>
      </c>
      <c r="E127" s="156" t="s">
        <v>3474</v>
      </c>
      <c r="F127" s="156">
        <v>61</v>
      </c>
      <c r="G127" s="156" t="s">
        <v>3475</v>
      </c>
      <c r="H127" s="156" t="s">
        <v>1581</v>
      </c>
      <c r="I127" s="156" t="s">
        <v>3476</v>
      </c>
      <c r="J127" s="353" t="s">
        <v>238</v>
      </c>
      <c r="K127" s="155">
        <v>46091</v>
      </c>
      <c r="L127" s="43" t="s">
        <v>679</v>
      </c>
      <c r="M127" s="43" t="s">
        <v>230</v>
      </c>
      <c r="N127" s="43" t="s">
        <v>317</v>
      </c>
      <c r="O127" s="680">
        <v>46094</v>
      </c>
      <c r="P127" s="733"/>
      <c r="Q127" s="242"/>
      <c r="R127" s="91"/>
      <c r="S127" s="91"/>
      <c r="T127" s="91"/>
      <c r="U127" s="91"/>
      <c r="V127" s="91"/>
      <c r="W127" s="91"/>
      <c r="X127" s="91"/>
      <c r="Y127" s="91"/>
      <c r="Z127" s="91"/>
      <c r="AA127" s="91"/>
      <c r="AB127" s="91"/>
      <c r="AC127" s="91"/>
      <c r="AD127" s="91"/>
      <c r="AE127" s="91"/>
      <c r="AF127" s="91"/>
      <c r="AG127" s="91"/>
      <c r="AH127" s="91"/>
      <c r="AI127" s="91"/>
    </row>
    <row r="128" spans="1:35">
      <c r="A128" s="231">
        <v>46092</v>
      </c>
      <c r="B128" s="156">
        <v>126</v>
      </c>
      <c r="C128" s="156">
        <v>300293</v>
      </c>
      <c r="D128" s="156">
        <v>42507453</v>
      </c>
      <c r="E128" s="156" t="s">
        <v>3477</v>
      </c>
      <c r="F128" s="156">
        <v>41</v>
      </c>
      <c r="G128" s="156" t="s">
        <v>3478</v>
      </c>
      <c r="H128" s="156" t="s">
        <v>301</v>
      </c>
      <c r="I128" s="156">
        <v>957795314</v>
      </c>
      <c r="J128" s="353" t="s">
        <v>302</v>
      </c>
      <c r="K128" s="155">
        <v>46092</v>
      </c>
      <c r="L128" s="43" t="s">
        <v>3479</v>
      </c>
      <c r="M128" s="43" t="s">
        <v>230</v>
      </c>
      <c r="N128" s="224" t="s">
        <v>3370</v>
      </c>
      <c r="O128" s="364" t="s">
        <v>2958</v>
      </c>
      <c r="P128" s="732" t="s">
        <v>2959</v>
      </c>
      <c r="Q128" s="152"/>
      <c r="R128" s="91"/>
      <c r="S128" s="91"/>
      <c r="T128" s="91"/>
      <c r="U128" s="91"/>
      <c r="V128" s="91"/>
      <c r="W128" s="91"/>
      <c r="X128" s="91"/>
      <c r="Y128" s="91"/>
      <c r="Z128" s="91"/>
      <c r="AA128" s="91"/>
      <c r="AB128" s="91"/>
      <c r="AC128" s="91"/>
      <c r="AD128" s="91"/>
      <c r="AE128" s="91"/>
      <c r="AF128" s="91"/>
      <c r="AG128" s="91"/>
      <c r="AH128" s="91"/>
      <c r="AI128" s="91"/>
    </row>
    <row r="129" spans="1:35">
      <c r="A129" s="229"/>
      <c r="B129" s="156">
        <v>127</v>
      </c>
      <c r="C129" s="156">
        <v>117763</v>
      </c>
      <c r="D129" s="156">
        <v>15856161</v>
      </c>
      <c r="E129" s="156" t="s">
        <v>3480</v>
      </c>
      <c r="F129" s="156">
        <v>59</v>
      </c>
      <c r="G129" s="156" t="s">
        <v>3481</v>
      </c>
      <c r="H129" s="156" t="s">
        <v>301</v>
      </c>
      <c r="I129" s="156">
        <v>974548600</v>
      </c>
      <c r="J129" s="353" t="s">
        <v>302</v>
      </c>
      <c r="K129" s="155">
        <v>46092</v>
      </c>
      <c r="L129" s="43" t="s">
        <v>718</v>
      </c>
      <c r="M129" s="43" t="s">
        <v>312</v>
      </c>
      <c r="N129" s="224" t="s">
        <v>3370</v>
      </c>
      <c r="O129" s="364" t="s">
        <v>2958</v>
      </c>
      <c r="P129" s="732" t="s">
        <v>2959</v>
      </c>
      <c r="Q129" s="152"/>
      <c r="R129" s="91"/>
      <c r="S129" s="91"/>
      <c r="T129" s="91"/>
      <c r="U129" s="91"/>
      <c r="V129" s="91"/>
      <c r="W129" s="91"/>
      <c r="X129" s="91"/>
      <c r="Y129" s="91"/>
      <c r="Z129" s="91"/>
      <c r="AA129" s="91"/>
      <c r="AB129" s="91"/>
      <c r="AC129" s="91"/>
      <c r="AD129" s="91"/>
      <c r="AE129" s="91"/>
      <c r="AF129" s="91"/>
      <c r="AG129" s="91"/>
      <c r="AH129" s="91"/>
      <c r="AI129" s="91"/>
    </row>
    <row r="130" spans="1:35">
      <c r="A130" s="229"/>
      <c r="B130" s="156">
        <v>128</v>
      </c>
      <c r="C130" s="156">
        <v>523843</v>
      </c>
      <c r="D130" s="156">
        <v>15990933</v>
      </c>
      <c r="E130" s="156" t="s">
        <v>3482</v>
      </c>
      <c r="F130" s="156">
        <v>61</v>
      </c>
      <c r="G130" s="156" t="s">
        <v>3483</v>
      </c>
      <c r="H130" s="156" t="s">
        <v>271</v>
      </c>
      <c r="I130" s="156">
        <v>910851548</v>
      </c>
      <c r="J130" s="353" t="s">
        <v>164</v>
      </c>
      <c r="K130" s="155">
        <v>46092</v>
      </c>
      <c r="L130" s="43" t="s">
        <v>683</v>
      </c>
      <c r="M130" s="43" t="s">
        <v>312</v>
      </c>
      <c r="N130" s="224" t="s">
        <v>601</v>
      </c>
      <c r="O130" s="152">
        <v>46094</v>
      </c>
      <c r="P130" s="51" t="s">
        <v>3254</v>
      </c>
      <c r="Q130" s="879" t="s">
        <v>358</v>
      </c>
      <c r="R130" s="839"/>
      <c r="S130" s="839"/>
      <c r="T130" s="839"/>
      <c r="U130" s="839"/>
      <c r="V130" s="839"/>
      <c r="W130" s="839"/>
      <c r="X130" s="839"/>
      <c r="Y130" s="839"/>
      <c r="Z130" s="839"/>
      <c r="AA130" s="839"/>
      <c r="AB130" s="839"/>
      <c r="AC130" s="839"/>
      <c r="AD130" s="839"/>
      <c r="AE130" s="839"/>
      <c r="AF130" s="839"/>
      <c r="AG130" s="839"/>
      <c r="AH130" s="839"/>
      <c r="AI130" s="839"/>
    </row>
    <row r="131" spans="1:35">
      <c r="A131" s="229"/>
      <c r="B131" s="156">
        <v>129</v>
      </c>
      <c r="C131" s="156">
        <v>263889</v>
      </c>
      <c r="D131" s="156">
        <v>49083411</v>
      </c>
      <c r="E131" s="156" t="s">
        <v>3484</v>
      </c>
      <c r="F131" s="156">
        <v>39</v>
      </c>
      <c r="G131" s="156" t="s">
        <v>3485</v>
      </c>
      <c r="H131" s="156" t="s">
        <v>222</v>
      </c>
      <c r="I131" s="156">
        <v>992951545</v>
      </c>
      <c r="J131" s="353" t="s">
        <v>223</v>
      </c>
      <c r="K131" s="155">
        <v>46092</v>
      </c>
      <c r="L131" s="43" t="s">
        <v>3486</v>
      </c>
      <c r="M131" s="43" t="s">
        <v>260</v>
      </c>
      <c r="N131" s="224" t="s">
        <v>3487</v>
      </c>
      <c r="O131" s="152">
        <v>46104</v>
      </c>
      <c r="P131" s="732" t="s">
        <v>3488</v>
      </c>
      <c r="Q131" s="65"/>
      <c r="R131" s="91"/>
      <c r="S131" s="91"/>
      <c r="T131" s="91"/>
      <c r="U131" s="91"/>
      <c r="V131" s="91"/>
      <c r="W131" s="91"/>
      <c r="X131" s="91"/>
      <c r="Y131" s="91"/>
      <c r="Z131" s="91"/>
      <c r="AA131" s="91"/>
      <c r="AB131" s="91"/>
      <c r="AC131" s="91"/>
      <c r="AD131" s="91"/>
      <c r="AE131" s="91"/>
      <c r="AF131" s="91"/>
      <c r="AG131" s="91"/>
      <c r="AH131" s="91"/>
      <c r="AI131" s="91"/>
    </row>
    <row r="132" spans="1:35">
      <c r="A132" s="229"/>
      <c r="B132" s="156">
        <v>130</v>
      </c>
      <c r="C132" s="156">
        <v>67408</v>
      </c>
      <c r="D132" s="156">
        <v>249794</v>
      </c>
      <c r="E132" s="156" t="s">
        <v>3489</v>
      </c>
      <c r="F132" s="156">
        <v>65</v>
      </c>
      <c r="G132" s="156" t="s">
        <v>3490</v>
      </c>
      <c r="H132" s="156" t="s">
        <v>432</v>
      </c>
      <c r="I132" s="156">
        <v>976725599</v>
      </c>
      <c r="J132" s="353" t="s">
        <v>1209</v>
      </c>
      <c r="K132" s="155">
        <v>46092</v>
      </c>
      <c r="L132" s="43" t="s">
        <v>1794</v>
      </c>
      <c r="M132" s="43" t="s">
        <v>312</v>
      </c>
      <c r="N132" s="224" t="s">
        <v>317</v>
      </c>
      <c r="O132" s="364">
        <v>46099</v>
      </c>
      <c r="P132" s="732" t="s">
        <v>3171</v>
      </c>
      <c r="Q132" s="65"/>
      <c r="R132" s="91"/>
      <c r="S132" s="91"/>
      <c r="T132" s="91"/>
      <c r="U132" s="91"/>
      <c r="V132" s="91"/>
      <c r="W132" s="91"/>
      <c r="X132" s="91"/>
      <c r="Y132" s="91"/>
      <c r="Z132" s="91"/>
      <c r="AA132" s="91"/>
      <c r="AB132" s="91"/>
      <c r="AC132" s="91"/>
      <c r="AD132" s="91"/>
      <c r="AE132" s="91"/>
      <c r="AF132" s="91"/>
      <c r="AG132" s="91"/>
      <c r="AH132" s="91"/>
      <c r="AI132" s="91"/>
    </row>
    <row r="133" spans="1:35">
      <c r="A133" s="229"/>
      <c r="B133" s="156">
        <v>131</v>
      </c>
      <c r="C133" s="156">
        <v>104667</v>
      </c>
      <c r="D133" s="156">
        <v>15582204</v>
      </c>
      <c r="E133" s="156" t="s">
        <v>3491</v>
      </c>
      <c r="F133" s="156">
        <v>63</v>
      </c>
      <c r="G133" s="156" t="s">
        <v>3268</v>
      </c>
      <c r="H133" s="156" t="s">
        <v>1420</v>
      </c>
      <c r="I133" s="156">
        <v>940402585</v>
      </c>
      <c r="J133" s="353" t="s">
        <v>746</v>
      </c>
      <c r="K133" s="155">
        <v>46092</v>
      </c>
      <c r="L133" s="43" t="s">
        <v>2865</v>
      </c>
      <c r="M133" s="43" t="s">
        <v>230</v>
      </c>
      <c r="N133" s="224" t="s">
        <v>3370</v>
      </c>
      <c r="O133" s="155">
        <v>46101</v>
      </c>
      <c r="P133" s="224" t="s">
        <v>3421</v>
      </c>
      <c r="Q133" s="65"/>
      <c r="R133" s="91"/>
      <c r="S133" s="91"/>
      <c r="T133" s="91"/>
      <c r="U133" s="91"/>
      <c r="V133" s="91"/>
      <c r="W133" s="91"/>
      <c r="X133" s="91"/>
      <c r="Y133" s="91"/>
      <c r="Z133" s="91"/>
      <c r="AA133" s="91"/>
      <c r="AB133" s="91"/>
      <c r="AC133" s="91"/>
      <c r="AD133" s="91"/>
      <c r="AE133" s="91"/>
      <c r="AF133" s="91"/>
      <c r="AG133" s="91"/>
      <c r="AH133" s="91"/>
      <c r="AI133" s="91"/>
    </row>
    <row r="134" spans="1:35">
      <c r="A134" s="229"/>
      <c r="B134" s="156">
        <v>132</v>
      </c>
      <c r="C134" s="156">
        <v>523846</v>
      </c>
      <c r="D134" s="156">
        <v>15747442</v>
      </c>
      <c r="E134" s="156" t="s">
        <v>3492</v>
      </c>
      <c r="F134" s="156">
        <v>52</v>
      </c>
      <c r="G134" s="156" t="s">
        <v>3493</v>
      </c>
      <c r="H134" s="156" t="s">
        <v>461</v>
      </c>
      <c r="I134" s="156">
        <v>995958859</v>
      </c>
      <c r="J134" s="353" t="s">
        <v>162</v>
      </c>
      <c r="K134" s="155">
        <v>46092</v>
      </c>
      <c r="L134" s="143" t="s">
        <v>3494</v>
      </c>
      <c r="M134" s="143" t="s">
        <v>323</v>
      </c>
      <c r="N134" s="427" t="s">
        <v>601</v>
      </c>
      <c r="O134" s="157">
        <v>46097</v>
      </c>
      <c r="P134" s="252" t="s">
        <v>3254</v>
      </c>
      <c r="Q134" s="879" t="s">
        <v>358</v>
      </c>
      <c r="R134" s="839"/>
      <c r="S134" s="839"/>
      <c r="T134" s="839"/>
      <c r="U134" s="839"/>
      <c r="V134" s="839"/>
      <c r="W134" s="839"/>
      <c r="X134" s="839"/>
      <c r="Y134" s="839"/>
      <c r="Z134" s="839"/>
      <c r="AA134" s="839"/>
      <c r="AB134" s="839"/>
      <c r="AC134" s="839"/>
      <c r="AD134" s="839"/>
      <c r="AE134" s="839"/>
      <c r="AF134" s="839"/>
      <c r="AG134" s="839"/>
      <c r="AH134" s="839"/>
      <c r="AI134" s="839"/>
    </row>
    <row r="135" spans="1:35">
      <c r="A135" s="229"/>
      <c r="B135" s="156">
        <v>133</v>
      </c>
      <c r="C135" s="156">
        <v>361923</v>
      </c>
      <c r="D135" s="156">
        <v>45699752</v>
      </c>
      <c r="E135" s="156" t="s">
        <v>3495</v>
      </c>
      <c r="F135" s="156">
        <v>43</v>
      </c>
      <c r="G135" s="156" t="s">
        <v>3496</v>
      </c>
      <c r="H135" s="156" t="s">
        <v>222</v>
      </c>
      <c r="I135" s="156">
        <v>982556286</v>
      </c>
      <c r="J135" s="353" t="s">
        <v>588</v>
      </c>
      <c r="K135" s="155">
        <v>46092</v>
      </c>
      <c r="L135" s="43" t="s">
        <v>3497</v>
      </c>
      <c r="M135" s="43" t="s">
        <v>312</v>
      </c>
      <c r="N135" s="224" t="s">
        <v>3487</v>
      </c>
      <c r="O135" s="152">
        <v>46101</v>
      </c>
      <c r="P135" s="732" t="s">
        <v>3259</v>
      </c>
      <c r="Q135" s="65"/>
      <c r="R135" s="91"/>
      <c r="S135" s="91"/>
      <c r="T135" s="91"/>
      <c r="U135" s="91"/>
      <c r="V135" s="91"/>
      <c r="W135" s="91"/>
      <c r="X135" s="91"/>
      <c r="Y135" s="91"/>
      <c r="Z135" s="91"/>
      <c r="AA135" s="91"/>
      <c r="AB135" s="91"/>
      <c r="AC135" s="91"/>
      <c r="AD135" s="91"/>
      <c r="AE135" s="91"/>
      <c r="AF135" s="91"/>
      <c r="AG135" s="91"/>
      <c r="AH135" s="91"/>
      <c r="AI135" s="91"/>
    </row>
    <row r="136" spans="1:35">
      <c r="A136" s="229"/>
      <c r="B136" s="156">
        <v>134</v>
      </c>
      <c r="C136" s="156">
        <v>371933</v>
      </c>
      <c r="D136" s="156">
        <v>44520166</v>
      </c>
      <c r="E136" s="156" t="s">
        <v>3498</v>
      </c>
      <c r="F136" s="156">
        <v>47</v>
      </c>
      <c r="G136" s="156" t="s">
        <v>3499</v>
      </c>
      <c r="H136" s="156" t="s">
        <v>301</v>
      </c>
      <c r="I136" s="156">
        <v>907923230</v>
      </c>
      <c r="J136" s="353" t="s">
        <v>302</v>
      </c>
      <c r="K136" s="155">
        <v>46092</v>
      </c>
      <c r="L136" s="43" t="s">
        <v>584</v>
      </c>
      <c r="M136" s="43" t="s">
        <v>230</v>
      </c>
      <c r="N136" s="224" t="s">
        <v>3487</v>
      </c>
      <c r="O136" s="364" t="s">
        <v>2958</v>
      </c>
      <c r="P136" s="732" t="s">
        <v>2959</v>
      </c>
      <c r="Q136" s="152"/>
      <c r="R136" s="91"/>
      <c r="S136" s="91"/>
      <c r="T136" s="91"/>
      <c r="U136" s="91"/>
      <c r="V136" s="91"/>
      <c r="W136" s="91"/>
      <c r="X136" s="91"/>
      <c r="Y136" s="91"/>
      <c r="Z136" s="91"/>
      <c r="AA136" s="91"/>
      <c r="AB136" s="91"/>
      <c r="AC136" s="91"/>
      <c r="AD136" s="91"/>
      <c r="AE136" s="91"/>
      <c r="AF136" s="91"/>
      <c r="AG136" s="91"/>
      <c r="AH136" s="91"/>
      <c r="AI136" s="91"/>
    </row>
    <row r="137" spans="1:35">
      <c r="A137" s="229"/>
      <c r="B137" s="156">
        <v>135</v>
      </c>
      <c r="C137" s="156">
        <v>523850</v>
      </c>
      <c r="D137" s="156">
        <v>80125979</v>
      </c>
      <c r="E137" s="156" t="s">
        <v>3500</v>
      </c>
      <c r="F137" s="156">
        <v>48</v>
      </c>
      <c r="G137" s="156" t="s">
        <v>3501</v>
      </c>
      <c r="H137" s="156" t="s">
        <v>461</v>
      </c>
      <c r="I137" s="156">
        <v>947498443</v>
      </c>
      <c r="J137" s="353" t="s">
        <v>162</v>
      </c>
      <c r="K137" s="155">
        <v>46092</v>
      </c>
      <c r="L137" s="43" t="s">
        <v>747</v>
      </c>
      <c r="M137" s="43" t="s">
        <v>230</v>
      </c>
      <c r="N137" s="224" t="s">
        <v>317</v>
      </c>
      <c r="O137" s="152">
        <v>46097</v>
      </c>
      <c r="P137" s="51" t="s">
        <v>3254</v>
      </c>
      <c r="Q137" s="879" t="s">
        <v>358</v>
      </c>
      <c r="R137" s="839"/>
      <c r="S137" s="839"/>
      <c r="T137" s="839"/>
      <c r="U137" s="839"/>
      <c r="V137" s="839"/>
      <c r="W137" s="839"/>
      <c r="X137" s="839"/>
      <c r="Y137" s="839"/>
      <c r="Z137" s="839"/>
      <c r="AA137" s="839"/>
      <c r="AB137" s="839"/>
      <c r="AC137" s="839"/>
      <c r="AD137" s="839"/>
      <c r="AE137" s="839"/>
      <c r="AF137" s="839"/>
      <c r="AG137" s="839"/>
      <c r="AH137" s="839"/>
      <c r="AI137" s="839"/>
    </row>
    <row r="138" spans="1:35">
      <c r="A138" s="229"/>
      <c r="B138" s="156">
        <v>136</v>
      </c>
      <c r="C138" s="156">
        <v>24035</v>
      </c>
      <c r="D138" s="156">
        <v>15720770</v>
      </c>
      <c r="E138" s="156" t="s">
        <v>3502</v>
      </c>
      <c r="F138" s="156">
        <v>53</v>
      </c>
      <c r="G138" s="156" t="s">
        <v>3503</v>
      </c>
      <c r="H138" s="156" t="s">
        <v>326</v>
      </c>
      <c r="I138" s="156">
        <v>919663412</v>
      </c>
      <c r="J138" s="353" t="s">
        <v>238</v>
      </c>
      <c r="K138" s="155">
        <v>46092</v>
      </c>
      <c r="L138" s="43" t="s">
        <v>1156</v>
      </c>
      <c r="M138" s="43" t="s">
        <v>230</v>
      </c>
      <c r="N138" s="224" t="s">
        <v>3487</v>
      </c>
      <c r="O138" s="152">
        <v>46097</v>
      </c>
      <c r="P138" s="732"/>
      <c r="Q138" s="65"/>
      <c r="R138" s="91"/>
      <c r="S138" s="91"/>
      <c r="T138" s="91"/>
      <c r="U138" s="91"/>
      <c r="V138" s="91"/>
      <c r="W138" s="91"/>
      <c r="X138" s="91"/>
      <c r="Y138" s="91"/>
      <c r="Z138" s="91"/>
      <c r="AA138" s="91"/>
      <c r="AB138" s="91"/>
      <c r="AC138" s="91"/>
      <c r="AD138" s="91"/>
      <c r="AE138" s="91"/>
      <c r="AF138" s="91"/>
      <c r="AG138" s="91"/>
      <c r="AH138" s="91"/>
      <c r="AI138" s="91"/>
    </row>
    <row r="139" spans="1:35">
      <c r="A139" s="229"/>
      <c r="B139" s="156">
        <v>137</v>
      </c>
      <c r="C139" s="156">
        <v>301009</v>
      </c>
      <c r="D139" s="156">
        <v>42693638</v>
      </c>
      <c r="E139" s="156" t="s">
        <v>3504</v>
      </c>
      <c r="F139" s="156">
        <v>43</v>
      </c>
      <c r="G139" s="156" t="s">
        <v>3505</v>
      </c>
      <c r="H139" s="156" t="s">
        <v>301</v>
      </c>
      <c r="I139" s="156">
        <v>912279994</v>
      </c>
      <c r="J139" s="353" t="s">
        <v>302</v>
      </c>
      <c r="K139" s="155">
        <v>46092</v>
      </c>
      <c r="L139" s="43" t="s">
        <v>584</v>
      </c>
      <c r="M139" s="43" t="s">
        <v>260</v>
      </c>
      <c r="N139" s="224" t="s">
        <v>3487</v>
      </c>
      <c r="O139" s="364" t="s">
        <v>2958</v>
      </c>
      <c r="P139" s="732" t="s">
        <v>2959</v>
      </c>
      <c r="Q139" s="152"/>
      <c r="R139" s="91"/>
      <c r="S139" s="91"/>
      <c r="T139" s="91"/>
      <c r="U139" s="91"/>
      <c r="V139" s="91"/>
      <c r="W139" s="91"/>
      <c r="X139" s="91"/>
      <c r="Y139" s="91"/>
      <c r="Z139" s="91"/>
      <c r="AA139" s="91"/>
      <c r="AB139" s="91"/>
      <c r="AC139" s="91"/>
      <c r="AD139" s="91"/>
      <c r="AE139" s="91"/>
      <c r="AF139" s="91"/>
      <c r="AG139" s="91"/>
      <c r="AH139" s="91"/>
      <c r="AI139" s="91"/>
    </row>
    <row r="140" spans="1:35">
      <c r="A140" s="229"/>
      <c r="B140" s="156">
        <v>138</v>
      </c>
      <c r="C140" s="156">
        <v>96596</v>
      </c>
      <c r="D140" s="156">
        <v>40730805</v>
      </c>
      <c r="E140" s="156" t="s">
        <v>3506</v>
      </c>
      <c r="F140" s="156">
        <v>45</v>
      </c>
      <c r="G140" s="156" t="s">
        <v>3507</v>
      </c>
      <c r="H140" s="156" t="s">
        <v>237</v>
      </c>
      <c r="I140" s="156">
        <v>955075320</v>
      </c>
      <c r="J140" s="353" t="s">
        <v>1105</v>
      </c>
      <c r="K140" s="155">
        <v>46092</v>
      </c>
      <c r="L140" s="43" t="s">
        <v>584</v>
      </c>
      <c r="M140" s="43" t="s">
        <v>230</v>
      </c>
      <c r="N140" s="224" t="s">
        <v>3487</v>
      </c>
      <c r="O140" s="152">
        <v>46098</v>
      </c>
      <c r="P140" s="732" t="s">
        <v>3142</v>
      </c>
      <c r="Q140" s="65"/>
      <c r="R140" s="91"/>
      <c r="S140" s="91"/>
      <c r="T140" s="91"/>
      <c r="U140" s="91"/>
      <c r="V140" s="91"/>
      <c r="W140" s="91"/>
      <c r="X140" s="91"/>
      <c r="Y140" s="91"/>
      <c r="Z140" s="91"/>
      <c r="AA140" s="91"/>
      <c r="AB140" s="91"/>
      <c r="AC140" s="91"/>
      <c r="AD140" s="91"/>
      <c r="AE140" s="91"/>
      <c r="AF140" s="91"/>
      <c r="AG140" s="91"/>
      <c r="AH140" s="91"/>
      <c r="AI140" s="91"/>
    </row>
    <row r="141" spans="1:35">
      <c r="A141" s="229"/>
      <c r="B141" s="156">
        <v>139</v>
      </c>
      <c r="C141" s="156">
        <v>171262</v>
      </c>
      <c r="D141" s="156">
        <v>15729513</v>
      </c>
      <c r="E141" s="156" t="s">
        <v>3508</v>
      </c>
      <c r="F141" s="156">
        <v>52</v>
      </c>
      <c r="G141" s="156" t="s">
        <v>3509</v>
      </c>
      <c r="H141" s="156" t="s">
        <v>237</v>
      </c>
      <c r="I141" s="156">
        <v>963115913</v>
      </c>
      <c r="J141" s="353" t="s">
        <v>1105</v>
      </c>
      <c r="K141" s="155">
        <v>46092</v>
      </c>
      <c r="L141" s="43" t="s">
        <v>747</v>
      </c>
      <c r="M141" s="43" t="s">
        <v>230</v>
      </c>
      <c r="N141" s="224" t="s">
        <v>317</v>
      </c>
      <c r="O141" s="152">
        <v>46098</v>
      </c>
      <c r="P141" s="732" t="s">
        <v>3142</v>
      </c>
      <c r="Q141" s="65"/>
      <c r="R141" s="91"/>
      <c r="S141" s="91"/>
      <c r="T141" s="91"/>
      <c r="U141" s="91"/>
      <c r="V141" s="91"/>
      <c r="W141" s="91"/>
      <c r="X141" s="91"/>
      <c r="Y141" s="91"/>
      <c r="Z141" s="91"/>
      <c r="AA141" s="91"/>
      <c r="AB141" s="91"/>
      <c r="AC141" s="91"/>
      <c r="AD141" s="91"/>
      <c r="AE141" s="91"/>
      <c r="AF141" s="91"/>
      <c r="AG141" s="91"/>
      <c r="AH141" s="91"/>
      <c r="AI141" s="91"/>
    </row>
    <row r="142" spans="1:35">
      <c r="A142" s="229"/>
      <c r="B142" s="156">
        <v>140</v>
      </c>
      <c r="C142" s="156">
        <v>148937</v>
      </c>
      <c r="D142" s="156">
        <v>80601151</v>
      </c>
      <c r="E142" s="156" t="s">
        <v>3510</v>
      </c>
      <c r="F142" s="156">
        <v>55</v>
      </c>
      <c r="G142" s="156" t="s">
        <v>3511</v>
      </c>
      <c r="H142" s="156" t="s">
        <v>326</v>
      </c>
      <c r="I142" s="156">
        <v>931193602</v>
      </c>
      <c r="J142" s="353" t="s">
        <v>238</v>
      </c>
      <c r="K142" s="155">
        <v>46092</v>
      </c>
      <c r="L142" s="43" t="s">
        <v>1156</v>
      </c>
      <c r="M142" s="43" t="s">
        <v>230</v>
      </c>
      <c r="N142" s="224" t="s">
        <v>3487</v>
      </c>
      <c r="O142" s="152">
        <v>46097</v>
      </c>
      <c r="P142" s="732"/>
      <c r="Q142" s="65"/>
      <c r="R142" s="91"/>
      <c r="S142" s="91"/>
      <c r="T142" s="91"/>
      <c r="U142" s="91"/>
      <c r="V142" s="91"/>
      <c r="W142" s="91"/>
      <c r="X142" s="91"/>
      <c r="Y142" s="91"/>
      <c r="Z142" s="91"/>
      <c r="AA142" s="91"/>
      <c r="AB142" s="91"/>
      <c r="AC142" s="91"/>
      <c r="AD142" s="91"/>
      <c r="AE142" s="91"/>
      <c r="AF142" s="91"/>
      <c r="AG142" s="91"/>
      <c r="AH142" s="91"/>
      <c r="AI142" s="91"/>
    </row>
    <row r="143" spans="1:35">
      <c r="A143" s="229"/>
      <c r="B143" s="156">
        <v>141</v>
      </c>
      <c r="C143" s="156">
        <v>115784</v>
      </c>
      <c r="D143" s="156">
        <v>6045126</v>
      </c>
      <c r="E143" s="156" t="s">
        <v>3512</v>
      </c>
      <c r="F143" s="156">
        <v>59</v>
      </c>
      <c r="G143" s="156" t="s">
        <v>3513</v>
      </c>
      <c r="H143" s="156" t="s">
        <v>222</v>
      </c>
      <c r="I143" s="156">
        <v>951451137</v>
      </c>
      <c r="J143" s="353" t="s">
        <v>588</v>
      </c>
      <c r="K143" s="155">
        <v>46092</v>
      </c>
      <c r="L143" s="43" t="s">
        <v>747</v>
      </c>
      <c r="M143" s="43" t="s">
        <v>230</v>
      </c>
      <c r="N143" s="224" t="s">
        <v>317</v>
      </c>
      <c r="O143" s="152">
        <v>46101</v>
      </c>
      <c r="P143" s="732" t="s">
        <v>3259</v>
      </c>
      <c r="Q143" s="65"/>
      <c r="R143" s="91"/>
      <c r="S143" s="91"/>
      <c r="T143" s="91"/>
      <c r="U143" s="91"/>
      <c r="V143" s="91"/>
      <c r="W143" s="91"/>
      <c r="X143" s="91"/>
      <c r="Y143" s="91"/>
      <c r="Z143" s="91"/>
      <c r="AA143" s="91"/>
      <c r="AB143" s="91"/>
      <c r="AC143" s="91"/>
      <c r="AD143" s="91"/>
      <c r="AE143" s="91"/>
      <c r="AF143" s="91"/>
      <c r="AG143" s="91"/>
      <c r="AH143" s="91"/>
      <c r="AI143" s="91"/>
    </row>
    <row r="144" spans="1:35">
      <c r="A144" s="229"/>
      <c r="B144" s="156">
        <v>142</v>
      </c>
      <c r="C144" s="156">
        <v>523854</v>
      </c>
      <c r="D144" s="156">
        <v>44839321</v>
      </c>
      <c r="E144" s="156" t="s">
        <v>3514</v>
      </c>
      <c r="F144" s="156">
        <v>43</v>
      </c>
      <c r="G144" s="156" t="s">
        <v>3515</v>
      </c>
      <c r="H144" s="156" t="s">
        <v>461</v>
      </c>
      <c r="I144" s="156">
        <v>987064455</v>
      </c>
      <c r="J144" s="353" t="s">
        <v>162</v>
      </c>
      <c r="K144" s="156" t="s">
        <v>3516</v>
      </c>
      <c r="L144" s="43" t="s">
        <v>584</v>
      </c>
      <c r="M144" s="43" t="s">
        <v>260</v>
      </c>
      <c r="N144" s="224" t="s">
        <v>3487</v>
      </c>
      <c r="O144" s="152">
        <v>46097</v>
      </c>
      <c r="P144" s="51" t="s">
        <v>3254</v>
      </c>
      <c r="Q144" s="877" t="s">
        <v>358</v>
      </c>
      <c r="R144" s="837"/>
      <c r="S144" s="837"/>
      <c r="T144" s="837"/>
      <c r="U144" s="837"/>
      <c r="V144" s="837"/>
      <c r="W144" s="837"/>
      <c r="X144" s="837"/>
      <c r="Y144" s="837"/>
      <c r="Z144" s="837"/>
      <c r="AA144" s="837"/>
      <c r="AB144" s="837"/>
      <c r="AC144" s="837"/>
      <c r="AD144" s="837"/>
      <c r="AE144" s="837"/>
      <c r="AF144" s="837"/>
      <c r="AG144" s="837"/>
      <c r="AH144" s="837"/>
      <c r="AI144" s="837"/>
    </row>
    <row r="145" spans="1:35">
      <c r="A145" s="229"/>
      <c r="B145" s="156">
        <v>143</v>
      </c>
      <c r="C145" s="156">
        <v>523862</v>
      </c>
      <c r="D145" s="156">
        <v>16006626</v>
      </c>
      <c r="E145" s="156" t="s">
        <v>3517</v>
      </c>
      <c r="F145" s="156">
        <v>54</v>
      </c>
      <c r="G145" s="156" t="s">
        <v>3518</v>
      </c>
      <c r="H145" s="156" t="s">
        <v>271</v>
      </c>
      <c r="I145" s="156">
        <v>924096365</v>
      </c>
      <c r="J145" s="353" t="s">
        <v>1804</v>
      </c>
      <c r="K145" s="155">
        <v>46092</v>
      </c>
      <c r="L145" s="43" t="s">
        <v>3519</v>
      </c>
      <c r="M145" s="43" t="s">
        <v>260</v>
      </c>
      <c r="N145" s="224" t="s">
        <v>3487</v>
      </c>
      <c r="O145" s="152">
        <v>46097</v>
      </c>
      <c r="P145" s="242"/>
      <c r="Q145" s="471" t="s">
        <v>358</v>
      </c>
      <c r="R145" s="91"/>
      <c r="S145" s="91"/>
      <c r="T145" s="91"/>
      <c r="U145" s="91"/>
      <c r="V145" s="91"/>
      <c r="W145" s="91"/>
      <c r="X145" s="91"/>
      <c r="Y145" s="91"/>
      <c r="Z145" s="91"/>
      <c r="AA145" s="91"/>
      <c r="AB145" s="91"/>
      <c r="AC145" s="91"/>
      <c r="AD145" s="91"/>
      <c r="AE145" s="91"/>
      <c r="AF145" s="91"/>
      <c r="AG145" s="91"/>
      <c r="AH145" s="91"/>
      <c r="AI145" s="91"/>
    </row>
    <row r="146" spans="1:35">
      <c r="A146" s="229"/>
      <c r="B146" s="156">
        <v>144</v>
      </c>
      <c r="C146" s="156">
        <v>289285</v>
      </c>
      <c r="D146" s="156">
        <v>15592618</v>
      </c>
      <c r="E146" s="156" t="s">
        <v>3520</v>
      </c>
      <c r="F146" s="156">
        <v>67</v>
      </c>
      <c r="G146" s="156" t="s">
        <v>3521</v>
      </c>
      <c r="H146" s="156" t="s">
        <v>278</v>
      </c>
      <c r="I146" s="156">
        <v>992906949</v>
      </c>
      <c r="J146" s="353" t="s">
        <v>238</v>
      </c>
      <c r="K146" s="155">
        <v>46092</v>
      </c>
      <c r="L146" s="43" t="s">
        <v>3522</v>
      </c>
      <c r="M146" s="43" t="s">
        <v>312</v>
      </c>
      <c r="N146" s="224" t="s">
        <v>317</v>
      </c>
      <c r="O146" s="152">
        <v>46097</v>
      </c>
      <c r="P146" s="242"/>
      <c r="Q146" s="405" t="s">
        <v>3523</v>
      </c>
      <c r="R146" s="838"/>
      <c r="S146" s="838"/>
      <c r="T146" s="838"/>
      <c r="U146" s="838"/>
      <c r="V146" s="838"/>
      <c r="W146" s="838"/>
      <c r="X146" s="838"/>
      <c r="Y146" s="838"/>
      <c r="Z146" s="838"/>
      <c r="AA146" s="838"/>
      <c r="AB146" s="838"/>
      <c r="AC146" s="838"/>
      <c r="AD146" s="838"/>
      <c r="AE146" s="838"/>
      <c r="AF146" s="838"/>
      <c r="AG146" s="838"/>
      <c r="AH146" s="838"/>
      <c r="AI146" s="838"/>
    </row>
    <row r="147" spans="1:35">
      <c r="A147" s="233"/>
      <c r="B147" s="156">
        <v>145</v>
      </c>
      <c r="C147" s="156">
        <v>192438</v>
      </c>
      <c r="D147" s="156">
        <v>40957859</v>
      </c>
      <c r="E147" s="156" t="s">
        <v>3524</v>
      </c>
      <c r="F147" s="156">
        <v>46</v>
      </c>
      <c r="G147" s="156" t="s">
        <v>3525</v>
      </c>
      <c r="H147" s="156" t="s">
        <v>237</v>
      </c>
      <c r="I147" s="156">
        <v>937076682</v>
      </c>
      <c r="J147" s="353" t="s">
        <v>238</v>
      </c>
      <c r="K147" s="155">
        <v>46092</v>
      </c>
      <c r="L147" s="43" t="s">
        <v>3526</v>
      </c>
      <c r="M147" s="43" t="s">
        <v>230</v>
      </c>
      <c r="N147" s="224" t="s">
        <v>3487</v>
      </c>
      <c r="O147" s="152">
        <v>46097</v>
      </c>
      <c r="P147" s="732"/>
      <c r="Q147" s="65"/>
      <c r="R147" s="91"/>
      <c r="S147" s="91"/>
      <c r="T147" s="91"/>
      <c r="U147" s="91"/>
      <c r="V147" s="91"/>
      <c r="W147" s="91"/>
      <c r="X147" s="91"/>
      <c r="Y147" s="91"/>
      <c r="Z147" s="91"/>
      <c r="AA147" s="91"/>
      <c r="AB147" s="91"/>
      <c r="AC147" s="91"/>
      <c r="AD147" s="91"/>
      <c r="AE147" s="91"/>
      <c r="AF147" s="91"/>
      <c r="AG147" s="91"/>
      <c r="AH147" s="91"/>
      <c r="AI147" s="91"/>
    </row>
    <row r="148" spans="1:35">
      <c r="A148" s="230" t="s">
        <v>513</v>
      </c>
      <c r="B148" s="156">
        <v>146</v>
      </c>
      <c r="C148" s="156">
        <v>188091</v>
      </c>
      <c r="D148" s="156">
        <v>15764148</v>
      </c>
      <c r="E148" s="156" t="s">
        <v>3527</v>
      </c>
      <c r="F148" s="156">
        <v>48</v>
      </c>
      <c r="G148" s="156" t="s">
        <v>3528</v>
      </c>
      <c r="H148" s="156" t="s">
        <v>222</v>
      </c>
      <c r="I148" s="156">
        <v>988068039</v>
      </c>
      <c r="J148" s="353" t="s">
        <v>223</v>
      </c>
      <c r="K148" s="155">
        <v>46092</v>
      </c>
      <c r="L148" s="43" t="s">
        <v>3529</v>
      </c>
      <c r="M148" s="43" t="s">
        <v>260</v>
      </c>
      <c r="N148" s="224" t="s">
        <v>3487</v>
      </c>
      <c r="O148" s="152">
        <v>46104</v>
      </c>
      <c r="P148" s="732" t="s">
        <v>3488</v>
      </c>
      <c r="Q148" s="65"/>
      <c r="R148" s="91"/>
      <c r="S148" s="91"/>
      <c r="T148" s="91"/>
      <c r="U148" s="91"/>
      <c r="V148" s="91"/>
      <c r="W148" s="91"/>
      <c r="X148" s="91"/>
      <c r="Y148" s="91"/>
      <c r="Z148" s="91"/>
      <c r="AA148" s="91"/>
      <c r="AB148" s="91"/>
      <c r="AC148" s="91"/>
      <c r="AD148" s="91"/>
      <c r="AE148" s="91"/>
      <c r="AF148" s="91"/>
      <c r="AG148" s="91"/>
      <c r="AH148" s="91"/>
      <c r="AI148" s="91"/>
    </row>
    <row r="149" spans="1:35">
      <c r="A149" s="234"/>
      <c r="B149" s="156">
        <v>147</v>
      </c>
      <c r="C149" s="156">
        <v>123317</v>
      </c>
      <c r="D149" s="156">
        <v>15729855</v>
      </c>
      <c r="E149" s="156" t="s">
        <v>3530</v>
      </c>
      <c r="F149" s="156">
        <v>59</v>
      </c>
      <c r="G149" s="156" t="s">
        <v>1860</v>
      </c>
      <c r="H149" s="156" t="s">
        <v>1860</v>
      </c>
      <c r="I149" s="156">
        <v>914215320</v>
      </c>
      <c r="J149" s="353" t="s">
        <v>1483</v>
      </c>
      <c r="K149" s="155">
        <v>46092</v>
      </c>
      <c r="L149" s="43" t="s">
        <v>3531</v>
      </c>
      <c r="M149" s="43" t="s">
        <v>312</v>
      </c>
      <c r="N149" s="224" t="s">
        <v>317</v>
      </c>
      <c r="O149" s="152">
        <v>46101</v>
      </c>
      <c r="P149" s="732" t="s">
        <v>3532</v>
      </c>
      <c r="Q149" s="65"/>
      <c r="R149" s="91"/>
      <c r="S149" s="91"/>
      <c r="T149" s="91"/>
      <c r="U149" s="91"/>
      <c r="V149" s="91"/>
      <c r="W149" s="91"/>
      <c r="X149" s="91"/>
      <c r="Y149" s="91"/>
      <c r="Z149" s="91"/>
      <c r="AA149" s="91"/>
      <c r="AB149" s="91"/>
      <c r="AC149" s="91"/>
      <c r="AD149" s="91"/>
      <c r="AE149" s="91"/>
      <c r="AF149" s="91"/>
      <c r="AG149" s="91"/>
      <c r="AH149" s="91"/>
      <c r="AI149" s="91"/>
    </row>
    <row r="150" spans="1:35">
      <c r="A150" s="229"/>
      <c r="B150" s="156">
        <v>148</v>
      </c>
      <c r="C150" s="156">
        <v>19997</v>
      </c>
      <c r="D150" s="156">
        <v>42460184</v>
      </c>
      <c r="E150" s="156" t="s">
        <v>3533</v>
      </c>
      <c r="F150" s="156">
        <v>42</v>
      </c>
      <c r="G150" s="156" t="s">
        <v>3534</v>
      </c>
      <c r="H150" s="156" t="s">
        <v>237</v>
      </c>
      <c r="I150" s="156">
        <v>939132884</v>
      </c>
      <c r="J150" s="353" t="s">
        <v>289</v>
      </c>
      <c r="K150" s="155">
        <v>46092</v>
      </c>
      <c r="L150" s="43" t="s">
        <v>458</v>
      </c>
      <c r="M150" s="43" t="s">
        <v>260</v>
      </c>
      <c r="N150" s="224" t="s">
        <v>3370</v>
      </c>
      <c r="O150" s="155">
        <v>46105</v>
      </c>
      <c r="P150" s="428" t="s">
        <v>3409</v>
      </c>
      <c r="Q150" s="65"/>
      <c r="R150" s="91"/>
      <c r="S150" s="91"/>
      <c r="T150" s="91"/>
      <c r="U150" s="91"/>
      <c r="V150" s="91"/>
      <c r="W150" s="91"/>
      <c r="X150" s="91"/>
      <c r="Y150" s="91"/>
      <c r="Z150" s="91"/>
      <c r="AA150" s="91"/>
      <c r="AB150" s="91"/>
      <c r="AC150" s="91"/>
      <c r="AD150" s="91"/>
      <c r="AE150" s="91"/>
      <c r="AF150" s="91"/>
      <c r="AG150" s="91"/>
      <c r="AH150" s="91"/>
      <c r="AI150" s="91"/>
    </row>
    <row r="151" spans="1:35" ht="15" customHeight="1">
      <c r="A151" s="229"/>
      <c r="B151" s="156">
        <v>149</v>
      </c>
      <c r="C151" s="156">
        <v>307041</v>
      </c>
      <c r="D151" s="156">
        <v>15700717</v>
      </c>
      <c r="E151" s="156" t="s">
        <v>3535</v>
      </c>
      <c r="F151" s="156">
        <v>53</v>
      </c>
      <c r="G151" s="156" t="s">
        <v>3536</v>
      </c>
      <c r="H151" s="156" t="s">
        <v>246</v>
      </c>
      <c r="I151" s="156">
        <v>997063205</v>
      </c>
      <c r="J151" s="353" t="s">
        <v>238</v>
      </c>
      <c r="K151" s="155">
        <v>46092</v>
      </c>
      <c r="L151" s="43" t="s">
        <v>1098</v>
      </c>
      <c r="M151" s="43" t="s">
        <v>230</v>
      </c>
      <c r="N151" s="224" t="s">
        <v>3370</v>
      </c>
      <c r="O151" s="152">
        <v>46098</v>
      </c>
      <c r="P151" s="732"/>
      <c r="Q151" s="65"/>
      <c r="R151" s="91"/>
      <c r="S151" s="91"/>
      <c r="T151" s="91"/>
      <c r="U151" s="91"/>
      <c r="V151" s="91"/>
      <c r="W151" s="91"/>
      <c r="X151" s="91"/>
      <c r="Y151" s="91"/>
      <c r="Z151" s="91"/>
      <c r="AA151" s="91"/>
      <c r="AB151" s="91"/>
      <c r="AC151" s="91"/>
      <c r="AD151" s="91"/>
      <c r="AE151" s="91"/>
      <c r="AF151" s="91"/>
      <c r="AG151" s="91"/>
      <c r="AH151" s="91"/>
      <c r="AI151" s="91"/>
    </row>
    <row r="152" spans="1:35">
      <c r="A152" s="225">
        <v>46093</v>
      </c>
      <c r="B152" s="156">
        <v>150</v>
      </c>
      <c r="C152" s="156">
        <v>292621</v>
      </c>
      <c r="D152" s="156">
        <v>43518513</v>
      </c>
      <c r="E152" s="156" t="s">
        <v>3537</v>
      </c>
      <c r="F152" s="156">
        <v>40</v>
      </c>
      <c r="G152" s="156" t="s">
        <v>3538</v>
      </c>
      <c r="H152" s="156" t="s">
        <v>1420</v>
      </c>
      <c r="I152" s="156">
        <v>930891522</v>
      </c>
      <c r="J152" s="353" t="s">
        <v>746</v>
      </c>
      <c r="K152" s="155">
        <v>46093</v>
      </c>
      <c r="L152" s="43" t="s">
        <v>3539</v>
      </c>
      <c r="M152" s="43" t="s">
        <v>260</v>
      </c>
      <c r="N152" s="224" t="s">
        <v>3487</v>
      </c>
      <c r="O152" s="155">
        <v>46101</v>
      </c>
      <c r="P152" s="224" t="s">
        <v>3421</v>
      </c>
      <c r="Q152" s="156"/>
      <c r="R152" s="91"/>
      <c r="S152" s="91"/>
      <c r="T152" s="91"/>
      <c r="U152" s="91"/>
      <c r="V152" s="91"/>
      <c r="W152" s="91"/>
      <c r="X152" s="91"/>
      <c r="Y152" s="91"/>
      <c r="Z152" s="91"/>
      <c r="AA152" s="91"/>
      <c r="AB152" s="91"/>
      <c r="AC152" s="91"/>
      <c r="AD152" s="91"/>
      <c r="AE152" s="91"/>
      <c r="AF152" s="91"/>
      <c r="AG152" s="91"/>
      <c r="AH152" s="91"/>
      <c r="AI152" s="91"/>
    </row>
    <row r="153" spans="1:35">
      <c r="A153" s="226"/>
      <c r="B153" s="156">
        <v>151</v>
      </c>
      <c r="C153" s="156">
        <v>161289</v>
      </c>
      <c r="D153" s="156">
        <v>15642446</v>
      </c>
      <c r="E153" s="156" t="s">
        <v>3540</v>
      </c>
      <c r="F153" s="156">
        <v>58</v>
      </c>
      <c r="G153" s="156" t="s">
        <v>3541</v>
      </c>
      <c r="H153" s="156" t="s">
        <v>288</v>
      </c>
      <c r="I153" s="156">
        <v>948583950</v>
      </c>
      <c r="J153" s="353" t="s">
        <v>1105</v>
      </c>
      <c r="K153" s="155">
        <v>46093</v>
      </c>
      <c r="L153" s="43" t="s">
        <v>3542</v>
      </c>
      <c r="M153" s="43" t="s">
        <v>312</v>
      </c>
      <c r="N153" s="224" t="s">
        <v>3370</v>
      </c>
      <c r="O153" s="152">
        <v>46098</v>
      </c>
      <c r="P153" s="732" t="s">
        <v>3142</v>
      </c>
      <c r="Q153" s="156"/>
      <c r="R153" s="91"/>
      <c r="S153" s="91"/>
      <c r="T153" s="91"/>
      <c r="U153" s="91"/>
      <c r="V153" s="91"/>
      <c r="W153" s="91"/>
      <c r="X153" s="91"/>
      <c r="Y153" s="91"/>
      <c r="Z153" s="91"/>
      <c r="AA153" s="91"/>
      <c r="AB153" s="91"/>
      <c r="AC153" s="91"/>
      <c r="AD153" s="91"/>
      <c r="AE153" s="91"/>
      <c r="AF153" s="91"/>
      <c r="AG153" s="91"/>
      <c r="AH153" s="91"/>
      <c r="AI153" s="91"/>
    </row>
    <row r="154" spans="1:35">
      <c r="A154" s="229"/>
      <c r="B154" s="156">
        <v>152</v>
      </c>
      <c r="C154" s="156">
        <v>217987</v>
      </c>
      <c r="D154" s="156">
        <v>41574639</v>
      </c>
      <c r="E154" s="156" t="s">
        <v>3543</v>
      </c>
      <c r="F154" s="156">
        <v>43</v>
      </c>
      <c r="G154" s="156" t="s">
        <v>3544</v>
      </c>
      <c r="H154" s="156" t="s">
        <v>237</v>
      </c>
      <c r="I154" s="156">
        <v>940788342</v>
      </c>
      <c r="J154" s="353" t="s">
        <v>238</v>
      </c>
      <c r="K154" s="155">
        <v>46093</v>
      </c>
      <c r="L154" s="43" t="s">
        <v>584</v>
      </c>
      <c r="M154" s="43" t="s">
        <v>260</v>
      </c>
      <c r="N154" s="224" t="s">
        <v>3487</v>
      </c>
      <c r="O154" s="152">
        <v>46097</v>
      </c>
      <c r="P154" s="732"/>
      <c r="Q154" s="65"/>
      <c r="R154" s="91"/>
      <c r="S154" s="91"/>
      <c r="T154" s="91"/>
      <c r="U154" s="91"/>
      <c r="V154" s="91"/>
      <c r="W154" s="91"/>
      <c r="X154" s="91"/>
      <c r="Y154" s="91"/>
      <c r="Z154" s="91"/>
      <c r="AA154" s="91"/>
      <c r="AB154" s="91"/>
      <c r="AC154" s="91"/>
      <c r="AD154" s="91"/>
      <c r="AE154" s="91"/>
      <c r="AF154" s="91"/>
      <c r="AG154" s="91"/>
      <c r="AH154" s="91"/>
      <c r="AI154" s="91"/>
    </row>
    <row r="155" spans="1:35">
      <c r="A155" s="229"/>
      <c r="B155" s="156">
        <v>153</v>
      </c>
      <c r="C155" s="156">
        <v>259559</v>
      </c>
      <c r="D155" s="156" t="s">
        <v>3545</v>
      </c>
      <c r="E155" s="156" t="s">
        <v>3546</v>
      </c>
      <c r="F155" s="156">
        <v>65</v>
      </c>
      <c r="G155" s="156" t="s">
        <v>3547</v>
      </c>
      <c r="H155" s="156" t="s">
        <v>1256</v>
      </c>
      <c r="I155" s="156" t="s">
        <v>3548</v>
      </c>
      <c r="J155" s="353" t="s">
        <v>238</v>
      </c>
      <c r="K155" s="155">
        <v>46093</v>
      </c>
      <c r="L155" s="43" t="s">
        <v>3549</v>
      </c>
      <c r="M155" s="43" t="s">
        <v>312</v>
      </c>
      <c r="N155" s="224" t="s">
        <v>601</v>
      </c>
      <c r="O155" s="152">
        <v>46097</v>
      </c>
      <c r="P155" s="242"/>
      <c r="Q155" s="880" t="s">
        <v>2920</v>
      </c>
      <c r="R155" s="837"/>
      <c r="S155" s="837"/>
      <c r="T155" s="837"/>
      <c r="U155" s="837"/>
      <c r="V155" s="837"/>
      <c r="W155" s="837"/>
      <c r="X155" s="837"/>
      <c r="Y155" s="837"/>
      <c r="Z155" s="837"/>
      <c r="AA155" s="837"/>
      <c r="AB155" s="837"/>
      <c r="AC155" s="837"/>
      <c r="AD155" s="837"/>
      <c r="AE155" s="837"/>
      <c r="AF155" s="837"/>
      <c r="AG155" s="837"/>
      <c r="AH155" s="837"/>
      <c r="AI155" s="837"/>
    </row>
    <row r="156" spans="1:35">
      <c r="A156" s="229"/>
      <c r="B156" s="156">
        <v>154</v>
      </c>
      <c r="C156" s="156">
        <v>523901</v>
      </c>
      <c r="D156" s="156">
        <v>15949838</v>
      </c>
      <c r="E156" s="156" t="s">
        <v>3550</v>
      </c>
      <c r="F156" s="156">
        <v>66</v>
      </c>
      <c r="G156" s="156" t="s">
        <v>3551</v>
      </c>
      <c r="H156" s="156" t="s">
        <v>3552</v>
      </c>
      <c r="I156" s="156" t="s">
        <v>3553</v>
      </c>
      <c r="J156" s="353" t="s">
        <v>162</v>
      </c>
      <c r="K156" s="155">
        <v>46093</v>
      </c>
      <c r="L156" s="43" t="s">
        <v>1156</v>
      </c>
      <c r="M156" s="43" t="s">
        <v>260</v>
      </c>
      <c r="N156" s="224" t="s">
        <v>3487</v>
      </c>
      <c r="O156" s="152">
        <v>46097</v>
      </c>
      <c r="P156" s="51" t="s">
        <v>3254</v>
      </c>
      <c r="Q156" s="471" t="s">
        <v>358</v>
      </c>
      <c r="R156" s="91"/>
      <c r="S156" s="91"/>
      <c r="T156" s="91"/>
      <c r="U156" s="91"/>
      <c r="V156" s="91"/>
      <c r="W156" s="91"/>
      <c r="X156" s="91"/>
      <c r="Y156" s="91"/>
      <c r="Z156" s="91"/>
      <c r="AA156" s="91"/>
      <c r="AB156" s="91"/>
      <c r="AC156" s="91"/>
      <c r="AD156" s="91"/>
      <c r="AE156" s="91"/>
      <c r="AF156" s="91"/>
      <c r="AG156" s="91"/>
      <c r="AH156" s="91"/>
      <c r="AI156" s="91"/>
    </row>
    <row r="157" spans="1:35">
      <c r="A157" s="229"/>
      <c r="B157" s="156">
        <v>155</v>
      </c>
      <c r="C157" s="156">
        <v>523903</v>
      </c>
      <c r="D157" s="156">
        <v>32610760</v>
      </c>
      <c r="E157" s="156" t="s">
        <v>3554</v>
      </c>
      <c r="F157" s="156">
        <v>50</v>
      </c>
      <c r="G157" s="156" t="s">
        <v>3555</v>
      </c>
      <c r="H157" s="156" t="s">
        <v>911</v>
      </c>
      <c r="I157" s="156">
        <v>957673944</v>
      </c>
      <c r="J157" s="353" t="s">
        <v>421</v>
      </c>
      <c r="K157" s="155">
        <v>46093</v>
      </c>
      <c r="L157" s="43" t="s">
        <v>584</v>
      </c>
      <c r="M157" s="43" t="s">
        <v>260</v>
      </c>
      <c r="N157" s="224" t="s">
        <v>3487</v>
      </c>
      <c r="O157" s="152">
        <v>46097</v>
      </c>
      <c r="P157" s="51" t="s">
        <v>3254</v>
      </c>
      <c r="Q157" s="471" t="s">
        <v>358</v>
      </c>
      <c r="R157" s="91"/>
      <c r="S157" s="91"/>
      <c r="T157" s="91"/>
      <c r="U157" s="91"/>
      <c r="V157" s="91"/>
      <c r="W157" s="91"/>
      <c r="X157" s="91"/>
      <c r="Y157" s="91"/>
      <c r="Z157" s="91"/>
      <c r="AA157" s="91"/>
      <c r="AB157" s="91"/>
      <c r="AC157" s="91"/>
      <c r="AD157" s="91"/>
      <c r="AE157" s="91"/>
      <c r="AF157" s="91"/>
      <c r="AG157" s="91"/>
      <c r="AH157" s="91"/>
      <c r="AI157" s="91"/>
    </row>
    <row r="158" spans="1:35" ht="15" customHeight="1">
      <c r="A158" s="229"/>
      <c r="B158" s="156">
        <v>156</v>
      </c>
      <c r="C158" s="156">
        <v>523904</v>
      </c>
      <c r="D158" s="156" t="s">
        <v>3556</v>
      </c>
      <c r="E158" s="156" t="s">
        <v>3557</v>
      </c>
      <c r="F158" s="156">
        <v>41</v>
      </c>
      <c r="G158" s="156" t="s">
        <v>3558</v>
      </c>
      <c r="H158" s="156" t="s">
        <v>461</v>
      </c>
      <c r="I158" s="156">
        <v>921465402</v>
      </c>
      <c r="J158" s="353" t="s">
        <v>162</v>
      </c>
      <c r="K158" s="155">
        <v>46093</v>
      </c>
      <c r="L158" s="43" t="s">
        <v>458</v>
      </c>
      <c r="M158" s="43" t="s">
        <v>260</v>
      </c>
      <c r="N158" s="428" t="s">
        <v>3370</v>
      </c>
      <c r="O158" s="152">
        <v>46098</v>
      </c>
      <c r="P158" s="51" t="s">
        <v>3559</v>
      </c>
      <c r="Q158" s="471" t="s">
        <v>358</v>
      </c>
      <c r="R158" s="91"/>
      <c r="S158" s="91"/>
      <c r="T158" s="91"/>
      <c r="U158" s="91"/>
      <c r="V158" s="91"/>
      <c r="W158" s="91"/>
      <c r="X158" s="91"/>
      <c r="Y158" s="91"/>
      <c r="Z158" s="91"/>
      <c r="AA158" s="91"/>
      <c r="AB158" s="91"/>
      <c r="AC158" s="91"/>
      <c r="AD158" s="91"/>
      <c r="AE158" s="91"/>
      <c r="AF158" s="91"/>
      <c r="AG158" s="91"/>
      <c r="AH158" s="91"/>
      <c r="AI158" s="91"/>
    </row>
    <row r="159" spans="1:35" ht="15" customHeight="1">
      <c r="A159" s="229"/>
      <c r="B159" s="156">
        <v>157</v>
      </c>
      <c r="C159" s="156">
        <v>523905</v>
      </c>
      <c r="D159" s="156">
        <v>16010971</v>
      </c>
      <c r="E159" s="156" t="s">
        <v>3560</v>
      </c>
      <c r="F159" s="156">
        <v>50</v>
      </c>
      <c r="G159" s="156" t="s">
        <v>3561</v>
      </c>
      <c r="H159" s="156" t="s">
        <v>461</v>
      </c>
      <c r="I159" s="156" t="s">
        <v>3562</v>
      </c>
      <c r="J159" s="353" t="s">
        <v>162</v>
      </c>
      <c r="K159" s="155">
        <v>46093</v>
      </c>
      <c r="L159" s="43" t="s">
        <v>3563</v>
      </c>
      <c r="M159" s="43" t="s">
        <v>260</v>
      </c>
      <c r="N159" s="428" t="s">
        <v>3487</v>
      </c>
      <c r="O159" s="152">
        <v>46098</v>
      </c>
      <c r="P159" s="51" t="s">
        <v>3559</v>
      </c>
      <c r="Q159" s="471" t="s">
        <v>358</v>
      </c>
      <c r="R159" s="91"/>
      <c r="S159" s="91"/>
      <c r="T159" s="91"/>
      <c r="U159" s="91"/>
      <c r="V159" s="91"/>
      <c r="W159" s="91"/>
      <c r="X159" s="91"/>
      <c r="Y159" s="91"/>
      <c r="Z159" s="91"/>
      <c r="AA159" s="91"/>
      <c r="AB159" s="91"/>
      <c r="AC159" s="91"/>
      <c r="AD159" s="91"/>
      <c r="AE159" s="91"/>
      <c r="AF159" s="91"/>
      <c r="AG159" s="91"/>
      <c r="AH159" s="91"/>
      <c r="AI159" s="91"/>
    </row>
    <row r="160" spans="1:35" ht="15" customHeight="1">
      <c r="A160" s="229"/>
      <c r="B160" s="156">
        <v>158</v>
      </c>
      <c r="C160" s="156">
        <v>523908</v>
      </c>
      <c r="D160" s="156">
        <v>16003691</v>
      </c>
      <c r="E160" s="156" t="s">
        <v>3564</v>
      </c>
      <c r="F160" s="156">
        <v>55</v>
      </c>
      <c r="G160" s="156" t="s">
        <v>3565</v>
      </c>
      <c r="H160" s="156" t="s">
        <v>461</v>
      </c>
      <c r="I160" s="156" t="s">
        <v>3566</v>
      </c>
      <c r="J160" s="353" t="s">
        <v>162</v>
      </c>
      <c r="K160" s="155">
        <v>46093</v>
      </c>
      <c r="L160" s="43" t="s">
        <v>3567</v>
      </c>
      <c r="M160" s="43" t="s">
        <v>312</v>
      </c>
      <c r="N160" s="428" t="s">
        <v>317</v>
      </c>
      <c r="O160" s="152">
        <v>46098</v>
      </c>
      <c r="P160" s="51" t="s">
        <v>3559</v>
      </c>
      <c r="Q160" s="471" t="s">
        <v>358</v>
      </c>
      <c r="R160" s="91"/>
      <c r="S160" s="91"/>
      <c r="T160" s="91"/>
      <c r="U160" s="91"/>
      <c r="V160" s="91"/>
      <c r="W160" s="91"/>
      <c r="X160" s="91"/>
      <c r="Y160" s="91"/>
      <c r="Z160" s="91"/>
      <c r="AA160" s="91"/>
      <c r="AB160" s="91"/>
      <c r="AC160" s="91"/>
      <c r="AD160" s="91"/>
      <c r="AE160" s="91"/>
      <c r="AF160" s="91"/>
      <c r="AG160" s="91"/>
      <c r="AH160" s="91"/>
      <c r="AI160" s="91"/>
    </row>
    <row r="161" spans="1:35" ht="15" customHeight="1">
      <c r="A161" s="229"/>
      <c r="B161" s="156">
        <v>159</v>
      </c>
      <c r="C161" s="156">
        <v>155216</v>
      </c>
      <c r="D161" s="156">
        <v>15743286</v>
      </c>
      <c r="E161" s="156" t="s">
        <v>3568</v>
      </c>
      <c r="F161" s="156">
        <v>54</v>
      </c>
      <c r="G161" s="156" t="s">
        <v>3569</v>
      </c>
      <c r="H161" s="156" t="s">
        <v>301</v>
      </c>
      <c r="I161" s="156">
        <v>916452411</v>
      </c>
      <c r="J161" s="353" t="s">
        <v>238</v>
      </c>
      <c r="K161" s="155">
        <v>46093</v>
      </c>
      <c r="L161" s="43" t="s">
        <v>3570</v>
      </c>
      <c r="M161" s="43" t="s">
        <v>312</v>
      </c>
      <c r="N161" s="428" t="s">
        <v>3487</v>
      </c>
      <c r="O161" s="152">
        <v>46098</v>
      </c>
      <c r="P161" s="242"/>
      <c r="Q161" s="242" t="s">
        <v>3571</v>
      </c>
      <c r="R161" s="91"/>
      <c r="S161" s="91"/>
      <c r="T161" s="91"/>
      <c r="U161" s="91"/>
      <c r="V161" s="91"/>
      <c r="W161" s="91"/>
      <c r="X161" s="91"/>
      <c r="Y161" s="91"/>
      <c r="Z161" s="91"/>
      <c r="AA161" s="91"/>
      <c r="AB161" s="91"/>
      <c r="AC161" s="91"/>
      <c r="AD161" s="91"/>
      <c r="AE161" s="91"/>
      <c r="AF161" s="91"/>
      <c r="AG161" s="91"/>
      <c r="AH161" s="91"/>
      <c r="AI161" s="91"/>
    </row>
    <row r="162" spans="1:35" ht="15" customHeight="1">
      <c r="A162" s="229"/>
      <c r="B162" s="156">
        <v>160</v>
      </c>
      <c r="C162" s="156">
        <v>143831</v>
      </c>
      <c r="D162" s="156">
        <v>15729883</v>
      </c>
      <c r="E162" s="156" t="s">
        <v>3572</v>
      </c>
      <c r="F162" s="156">
        <v>57</v>
      </c>
      <c r="G162" s="156" t="s">
        <v>3573</v>
      </c>
      <c r="H162" s="156" t="s">
        <v>278</v>
      </c>
      <c r="I162" s="156" t="s">
        <v>3574</v>
      </c>
      <c r="J162" s="353" t="s">
        <v>238</v>
      </c>
      <c r="K162" s="155">
        <v>46093</v>
      </c>
      <c r="L162" s="43" t="s">
        <v>747</v>
      </c>
      <c r="M162" s="43" t="s">
        <v>230</v>
      </c>
      <c r="N162" s="428" t="s">
        <v>317</v>
      </c>
      <c r="O162" s="152">
        <v>46098</v>
      </c>
      <c r="P162" s="242"/>
      <c r="Q162" s="405" t="s">
        <v>3195</v>
      </c>
      <c r="R162" s="838"/>
      <c r="S162" s="838"/>
      <c r="T162" s="838"/>
      <c r="U162" s="838"/>
      <c r="V162" s="838"/>
      <c r="W162" s="838"/>
      <c r="X162" s="838"/>
      <c r="Y162" s="838"/>
      <c r="Z162" s="838"/>
      <c r="AA162" s="838"/>
      <c r="AB162" s="838"/>
      <c r="AC162" s="838"/>
      <c r="AD162" s="838"/>
      <c r="AE162" s="838"/>
      <c r="AF162" s="838"/>
      <c r="AG162" s="838"/>
      <c r="AH162" s="838"/>
      <c r="AI162" s="838"/>
    </row>
    <row r="163" spans="1:35">
      <c r="A163" s="229"/>
      <c r="B163" s="156">
        <v>161</v>
      </c>
      <c r="C163" s="156">
        <v>523677</v>
      </c>
      <c r="D163" s="156">
        <v>1573073</v>
      </c>
      <c r="E163" s="156" t="s">
        <v>3575</v>
      </c>
      <c r="F163" s="156">
        <v>56</v>
      </c>
      <c r="G163" s="156" t="s">
        <v>611</v>
      </c>
      <c r="H163" s="156" t="s">
        <v>278</v>
      </c>
      <c r="I163" s="156" t="s">
        <v>3576</v>
      </c>
      <c r="J163" s="353" t="s">
        <v>384</v>
      </c>
      <c r="K163" s="155">
        <v>46093</v>
      </c>
      <c r="L163" s="43" t="s">
        <v>576</v>
      </c>
      <c r="M163" s="43" t="s">
        <v>260</v>
      </c>
      <c r="N163" s="224" t="s">
        <v>3487</v>
      </c>
      <c r="O163" s="424">
        <v>46101</v>
      </c>
      <c r="P163" s="224" t="s">
        <v>3125</v>
      </c>
      <c r="Q163" s="65"/>
      <c r="R163" s="91"/>
      <c r="S163" s="91"/>
      <c r="T163" s="91"/>
      <c r="U163" s="91"/>
      <c r="V163" s="91"/>
      <c r="W163" s="91"/>
      <c r="X163" s="91"/>
      <c r="Y163" s="91"/>
      <c r="Z163" s="91"/>
      <c r="AA163" s="91"/>
      <c r="AB163" s="91"/>
      <c r="AC163" s="91"/>
      <c r="AD163" s="91"/>
      <c r="AE163" s="91"/>
      <c r="AF163" s="91"/>
      <c r="AG163" s="91"/>
      <c r="AH163" s="91"/>
      <c r="AI163" s="91"/>
    </row>
    <row r="164" spans="1:35" ht="15" customHeight="1">
      <c r="A164" s="229"/>
      <c r="B164" s="156">
        <v>162</v>
      </c>
      <c r="C164" s="156">
        <v>523914</v>
      </c>
      <c r="D164" s="156">
        <v>16001888</v>
      </c>
      <c r="E164" s="156" t="s">
        <v>3577</v>
      </c>
      <c r="F164" s="156">
        <v>55</v>
      </c>
      <c r="G164" s="156" t="s">
        <v>3578</v>
      </c>
      <c r="H164" s="156" t="s">
        <v>461</v>
      </c>
      <c r="I164" s="156" t="s">
        <v>3579</v>
      </c>
      <c r="J164" s="353" t="s">
        <v>162</v>
      </c>
      <c r="K164" s="155">
        <v>46093</v>
      </c>
      <c r="L164" s="921" t="s">
        <v>1156</v>
      </c>
      <c r="M164" s="43" t="s">
        <v>230</v>
      </c>
      <c r="N164" s="428" t="s">
        <v>3487</v>
      </c>
      <c r="O164" s="152">
        <v>46098</v>
      </c>
      <c r="P164" s="51" t="s">
        <v>3559</v>
      </c>
      <c r="Q164" s="877" t="s">
        <v>358</v>
      </c>
      <c r="R164" s="837"/>
      <c r="S164" s="837"/>
      <c r="T164" s="837"/>
      <c r="U164" s="837"/>
      <c r="V164" s="837"/>
      <c r="W164" s="837"/>
      <c r="X164" s="837"/>
      <c r="Y164" s="837"/>
      <c r="Z164" s="837"/>
      <c r="AA164" s="837"/>
      <c r="AB164" s="837"/>
      <c r="AC164" s="837"/>
      <c r="AD164" s="837"/>
      <c r="AE164" s="837"/>
      <c r="AF164" s="837"/>
      <c r="AG164" s="837"/>
      <c r="AH164" s="837"/>
      <c r="AI164" s="837"/>
    </row>
    <row r="165" spans="1:35" ht="15" customHeight="1">
      <c r="A165" s="229"/>
      <c r="B165" s="156">
        <v>163</v>
      </c>
      <c r="C165" s="156">
        <v>180644</v>
      </c>
      <c r="D165" s="156">
        <v>42551561</v>
      </c>
      <c r="E165" s="156" t="s">
        <v>3580</v>
      </c>
      <c r="F165" s="156">
        <v>54</v>
      </c>
      <c r="G165" s="156" t="s">
        <v>3581</v>
      </c>
      <c r="H165" s="156" t="s">
        <v>222</v>
      </c>
      <c r="I165" s="156">
        <v>914097196</v>
      </c>
      <c r="J165" s="353" t="s">
        <v>238</v>
      </c>
      <c r="K165" s="155">
        <v>46093</v>
      </c>
      <c r="L165" s="43" t="s">
        <v>1947</v>
      </c>
      <c r="M165" s="43" t="s">
        <v>230</v>
      </c>
      <c r="N165" s="428" t="s">
        <v>317</v>
      </c>
      <c r="O165" s="152">
        <v>46098</v>
      </c>
      <c r="P165" s="242"/>
      <c r="Q165" s="405" t="s">
        <v>3195</v>
      </c>
      <c r="R165" s="838"/>
      <c r="S165" s="838"/>
      <c r="T165" s="838"/>
      <c r="U165" s="838"/>
      <c r="V165" s="838"/>
      <c r="W165" s="838"/>
      <c r="X165" s="838"/>
      <c r="Y165" s="838"/>
      <c r="Z165" s="838"/>
      <c r="AA165" s="838"/>
      <c r="AB165" s="838"/>
      <c r="AC165" s="838"/>
      <c r="AD165" s="838"/>
      <c r="AE165" s="838"/>
      <c r="AF165" s="838"/>
      <c r="AG165" s="838"/>
      <c r="AH165" s="838"/>
      <c r="AI165" s="838"/>
    </row>
    <row r="166" spans="1:35">
      <c r="A166" s="229"/>
      <c r="B166" s="156">
        <v>164</v>
      </c>
      <c r="C166" s="156">
        <v>41524</v>
      </c>
      <c r="D166" s="156">
        <v>15721515</v>
      </c>
      <c r="E166" s="236" t="s">
        <v>3582</v>
      </c>
      <c r="F166" s="156">
        <v>51</v>
      </c>
      <c r="G166" s="156" t="s">
        <v>3583</v>
      </c>
      <c r="H166" s="156" t="s">
        <v>326</v>
      </c>
      <c r="I166" s="156" t="s">
        <v>3584</v>
      </c>
      <c r="J166" s="353" t="s">
        <v>1527</v>
      </c>
      <c r="K166" s="155">
        <v>46093</v>
      </c>
      <c r="L166" s="43" t="s">
        <v>584</v>
      </c>
      <c r="M166" s="43" t="s">
        <v>260</v>
      </c>
      <c r="N166" s="224" t="s">
        <v>3487</v>
      </c>
      <c r="O166" s="215">
        <v>46094</v>
      </c>
      <c r="P166" s="247" t="s">
        <v>1529</v>
      </c>
      <c r="Q166" s="215"/>
      <c r="R166" s="91"/>
      <c r="S166" s="91"/>
      <c r="T166" s="91"/>
      <c r="U166" s="91"/>
      <c r="V166" s="91"/>
      <c r="W166" s="91"/>
      <c r="X166" s="91"/>
      <c r="Y166" s="91"/>
      <c r="Z166" s="91"/>
      <c r="AA166" s="91"/>
      <c r="AB166" s="91"/>
      <c r="AC166" s="91"/>
      <c r="AD166" s="91"/>
      <c r="AE166" s="91"/>
      <c r="AF166" s="91"/>
      <c r="AG166" s="91"/>
      <c r="AH166" s="91"/>
      <c r="AI166" s="91"/>
    </row>
    <row r="167" spans="1:35">
      <c r="A167" s="229"/>
      <c r="B167" s="156">
        <v>165</v>
      </c>
      <c r="C167" s="156">
        <v>156275</v>
      </c>
      <c r="D167" s="156">
        <v>15723164</v>
      </c>
      <c r="E167" s="156" t="s">
        <v>3585</v>
      </c>
      <c r="F167" s="156">
        <v>57</v>
      </c>
      <c r="G167" s="156" t="s">
        <v>3586</v>
      </c>
      <c r="H167" s="156" t="s">
        <v>237</v>
      </c>
      <c r="I167" s="156">
        <v>922844116</v>
      </c>
      <c r="J167" s="353" t="s">
        <v>429</v>
      </c>
      <c r="K167" s="155">
        <v>46093</v>
      </c>
      <c r="L167" s="43" t="s">
        <v>3587</v>
      </c>
      <c r="M167" s="43" t="s">
        <v>260</v>
      </c>
      <c r="N167" s="43" t="s">
        <v>3487</v>
      </c>
      <c r="O167" s="448">
        <v>46108</v>
      </c>
      <c r="P167" s="51" t="s">
        <v>3588</v>
      </c>
      <c r="Q167" s="879" t="s">
        <v>358</v>
      </c>
      <c r="R167" s="839"/>
      <c r="S167" s="839"/>
      <c r="T167" s="839"/>
      <c r="U167" s="839"/>
      <c r="V167" s="839"/>
      <c r="W167" s="839"/>
      <c r="X167" s="839"/>
      <c r="Y167" s="839"/>
      <c r="Z167" s="839"/>
      <c r="AA167" s="839"/>
      <c r="AB167" s="839"/>
      <c r="AC167" s="839"/>
      <c r="AD167" s="839"/>
      <c r="AE167" s="839"/>
      <c r="AF167" s="839"/>
      <c r="AG167" s="839"/>
      <c r="AH167" s="839"/>
      <c r="AI167" s="839"/>
    </row>
    <row r="168" spans="1:35">
      <c r="A168" s="230" t="s">
        <v>513</v>
      </c>
      <c r="B168" s="156">
        <v>166</v>
      </c>
      <c r="C168" s="156">
        <v>94004</v>
      </c>
      <c r="D168" s="156">
        <v>15689808</v>
      </c>
      <c r="E168" s="156" t="s">
        <v>3589</v>
      </c>
      <c r="F168" s="156">
        <v>66</v>
      </c>
      <c r="G168" s="156" t="s">
        <v>3590</v>
      </c>
      <c r="H168" s="156" t="s">
        <v>237</v>
      </c>
      <c r="I168" s="156">
        <v>984910827</v>
      </c>
      <c r="J168" s="353" t="s">
        <v>347</v>
      </c>
      <c r="K168" s="155">
        <v>46093</v>
      </c>
      <c r="L168" s="43" t="s">
        <v>3591</v>
      </c>
      <c r="M168" s="43" t="s">
        <v>260</v>
      </c>
      <c r="N168" s="43" t="s">
        <v>3487</v>
      </c>
      <c r="O168" s="448">
        <v>46101</v>
      </c>
      <c r="P168" s="732" t="s">
        <v>3592</v>
      </c>
      <c r="Q168" s="91"/>
      <c r="R168" s="91"/>
      <c r="S168" s="91"/>
      <c r="T168" s="91"/>
      <c r="U168" s="91"/>
      <c r="V168" s="91"/>
      <c r="W168" s="91"/>
      <c r="X168" s="91"/>
      <c r="Y168" s="91"/>
      <c r="Z168" s="91"/>
      <c r="AA168" s="91"/>
      <c r="AB168" s="91"/>
      <c r="AC168" s="91"/>
      <c r="AD168" s="91"/>
      <c r="AE168" s="91"/>
      <c r="AF168" s="91"/>
      <c r="AG168" s="91"/>
      <c r="AH168" s="91"/>
      <c r="AI168" s="91"/>
    </row>
    <row r="169" spans="1:35" ht="15" customHeight="1">
      <c r="A169" s="229"/>
      <c r="B169" s="156">
        <v>167</v>
      </c>
      <c r="C169" s="156">
        <v>170125</v>
      </c>
      <c r="D169" s="156">
        <v>15739925</v>
      </c>
      <c r="E169" s="156" t="s">
        <v>3593</v>
      </c>
      <c r="F169" s="156">
        <v>49</v>
      </c>
      <c r="G169" s="156" t="s">
        <v>3594</v>
      </c>
      <c r="H169" s="156" t="s">
        <v>278</v>
      </c>
      <c r="I169" s="156">
        <v>940107407</v>
      </c>
      <c r="J169" s="353" t="s">
        <v>238</v>
      </c>
      <c r="K169" s="155">
        <v>46093</v>
      </c>
      <c r="L169" s="43" t="s">
        <v>584</v>
      </c>
      <c r="M169" s="43" t="s">
        <v>260</v>
      </c>
      <c r="N169" s="43" t="s">
        <v>3487</v>
      </c>
      <c r="O169" s="680">
        <v>46098</v>
      </c>
      <c r="P169" s="732"/>
      <c r="Q169" s="91"/>
      <c r="R169" s="91"/>
      <c r="S169" s="91"/>
      <c r="T169" s="91"/>
      <c r="U169" s="91"/>
      <c r="V169" s="91"/>
      <c r="W169" s="91"/>
      <c r="X169" s="91"/>
      <c r="Y169" s="91"/>
      <c r="Z169" s="91"/>
      <c r="AA169" s="91"/>
      <c r="AB169" s="91"/>
      <c r="AC169" s="91"/>
      <c r="AD169" s="91"/>
      <c r="AE169" s="91"/>
      <c r="AF169" s="91"/>
      <c r="AG169" s="91"/>
      <c r="AH169" s="91"/>
      <c r="AI169" s="91"/>
    </row>
    <row r="170" spans="1:35">
      <c r="A170" s="229"/>
      <c r="B170" s="156">
        <v>168</v>
      </c>
      <c r="C170" s="156">
        <v>81017</v>
      </c>
      <c r="D170" s="156">
        <v>80284278</v>
      </c>
      <c r="E170" s="156" t="s">
        <v>3595</v>
      </c>
      <c r="F170" s="156">
        <v>42</v>
      </c>
      <c r="G170" s="156" t="s">
        <v>3596</v>
      </c>
      <c r="H170" s="156" t="s">
        <v>222</v>
      </c>
      <c r="I170" s="156">
        <v>9969362885</v>
      </c>
      <c r="J170" s="353" t="s">
        <v>223</v>
      </c>
      <c r="K170" s="155">
        <v>46093</v>
      </c>
      <c r="L170" s="43" t="s">
        <v>3567</v>
      </c>
      <c r="M170" s="43" t="s">
        <v>312</v>
      </c>
      <c r="N170" s="43" t="s">
        <v>3487</v>
      </c>
      <c r="O170" s="448">
        <v>46104</v>
      </c>
      <c r="P170" s="732" t="s">
        <v>3488</v>
      </c>
      <c r="Q170" s="91"/>
      <c r="R170" s="91"/>
      <c r="S170" s="91"/>
      <c r="T170" s="91"/>
      <c r="U170" s="91"/>
      <c r="V170" s="91"/>
      <c r="W170" s="91"/>
      <c r="X170" s="91"/>
      <c r="Y170" s="91"/>
      <c r="Z170" s="91"/>
      <c r="AA170" s="91"/>
      <c r="AB170" s="91"/>
      <c r="AC170" s="91"/>
      <c r="AD170" s="91"/>
      <c r="AE170" s="91"/>
      <c r="AF170" s="91"/>
      <c r="AG170" s="91"/>
      <c r="AH170" s="91"/>
      <c r="AI170" s="91"/>
    </row>
    <row r="171" spans="1:35">
      <c r="A171" s="229"/>
      <c r="B171" s="156">
        <v>169</v>
      </c>
      <c r="C171" s="156">
        <v>198972</v>
      </c>
      <c r="D171" s="156">
        <v>15720150</v>
      </c>
      <c r="E171" s="156" t="s">
        <v>3597</v>
      </c>
      <c r="F171" s="156">
        <v>55</v>
      </c>
      <c r="G171" s="156" t="s">
        <v>3598</v>
      </c>
      <c r="H171" s="156" t="s">
        <v>1489</v>
      </c>
      <c r="I171" s="156">
        <v>998273394</v>
      </c>
      <c r="J171" s="353" t="s">
        <v>328</v>
      </c>
      <c r="K171" s="155">
        <v>46093</v>
      </c>
      <c r="L171" s="43" t="s">
        <v>1794</v>
      </c>
      <c r="M171" s="43" t="s">
        <v>312</v>
      </c>
      <c r="N171" s="43" t="s">
        <v>3487</v>
      </c>
      <c r="O171" s="767" t="s">
        <v>3599</v>
      </c>
      <c r="P171" s="732" t="s">
        <v>3600</v>
      </c>
      <c r="Q171" s="91"/>
      <c r="R171" s="91"/>
      <c r="S171" s="91"/>
      <c r="T171" s="91"/>
      <c r="U171" s="91"/>
      <c r="V171" s="91"/>
      <c r="W171" s="91"/>
      <c r="X171" s="91"/>
      <c r="Y171" s="91"/>
      <c r="Z171" s="91"/>
      <c r="AA171" s="91"/>
      <c r="AB171" s="91"/>
      <c r="AC171" s="91"/>
      <c r="AD171" s="91"/>
      <c r="AE171" s="91"/>
      <c r="AF171" s="91"/>
      <c r="AG171" s="91"/>
      <c r="AH171" s="91"/>
      <c r="AI171" s="91"/>
    </row>
    <row r="172" spans="1:35">
      <c r="A172" s="235">
        <v>46094</v>
      </c>
      <c r="B172" s="156">
        <v>170</v>
      </c>
      <c r="C172" s="156">
        <v>180128</v>
      </c>
      <c r="D172" s="156">
        <v>15693432</v>
      </c>
      <c r="E172" s="156" t="s">
        <v>3601</v>
      </c>
      <c r="F172" s="156">
        <v>57</v>
      </c>
      <c r="G172" s="156" t="s">
        <v>3602</v>
      </c>
      <c r="H172" s="156" t="s">
        <v>237</v>
      </c>
      <c r="I172" s="156">
        <v>921234017</v>
      </c>
      <c r="J172" s="353" t="s">
        <v>1105</v>
      </c>
      <c r="K172" s="155">
        <v>46094</v>
      </c>
      <c r="L172" s="43" t="s">
        <v>376</v>
      </c>
      <c r="M172" s="266" t="s">
        <v>230</v>
      </c>
      <c r="N172" s="266" t="s">
        <v>317</v>
      </c>
      <c r="O172" s="463">
        <v>46101</v>
      </c>
      <c r="P172" s="224" t="s">
        <v>3221</v>
      </c>
      <c r="Q172" s="91"/>
      <c r="R172" s="91"/>
      <c r="S172" s="91"/>
      <c r="T172" s="91"/>
      <c r="U172" s="91"/>
      <c r="V172" s="91"/>
      <c r="W172" s="91"/>
      <c r="X172" s="91"/>
      <c r="Y172" s="91"/>
      <c r="Z172" s="91"/>
      <c r="AA172" s="91"/>
      <c r="AB172" s="91"/>
      <c r="AC172" s="91"/>
      <c r="AD172" s="91"/>
      <c r="AE172" s="91"/>
      <c r="AF172" s="91"/>
      <c r="AG172" s="91"/>
      <c r="AH172" s="91"/>
      <c r="AI172" s="91"/>
    </row>
    <row r="173" spans="1:35">
      <c r="A173" s="224"/>
      <c r="B173" s="156">
        <v>171</v>
      </c>
      <c r="C173" s="156">
        <v>66502</v>
      </c>
      <c r="D173" s="156">
        <v>15756375</v>
      </c>
      <c r="E173" s="156" t="s">
        <v>3603</v>
      </c>
      <c r="F173" s="156">
        <v>49</v>
      </c>
      <c r="G173" s="156" t="s">
        <v>3604</v>
      </c>
      <c r="H173" s="156" t="s">
        <v>432</v>
      </c>
      <c r="I173" s="156" t="s">
        <v>3605</v>
      </c>
      <c r="J173" s="353" t="s">
        <v>1209</v>
      </c>
      <c r="K173" s="155">
        <v>46094</v>
      </c>
      <c r="L173" s="43" t="s">
        <v>584</v>
      </c>
      <c r="M173" s="43" t="s">
        <v>260</v>
      </c>
      <c r="N173" s="43" t="s">
        <v>3487</v>
      </c>
      <c r="O173" s="768">
        <v>46101</v>
      </c>
      <c r="P173" s="224" t="s">
        <v>3606</v>
      </c>
      <c r="Q173" s="91"/>
      <c r="R173" s="91"/>
      <c r="S173" s="91"/>
      <c r="T173" s="91"/>
      <c r="U173" s="91"/>
      <c r="V173" s="91"/>
      <c r="W173" s="91"/>
      <c r="X173" s="91"/>
      <c r="Y173" s="91"/>
      <c r="Z173" s="91"/>
      <c r="AA173" s="91"/>
      <c r="AB173" s="91"/>
      <c r="AC173" s="91"/>
      <c r="AD173" s="91"/>
      <c r="AE173" s="91"/>
      <c r="AF173" s="91"/>
      <c r="AG173" s="91"/>
      <c r="AH173" s="91"/>
      <c r="AI173" s="91"/>
    </row>
    <row r="174" spans="1:35">
      <c r="A174" s="224"/>
      <c r="B174" s="156">
        <v>172</v>
      </c>
      <c r="C174" s="156">
        <v>169026</v>
      </c>
      <c r="D174" s="237">
        <v>15730392</v>
      </c>
      <c r="E174" s="63" t="s">
        <v>3607</v>
      </c>
      <c r="F174" s="63">
        <v>57</v>
      </c>
      <c r="G174" s="156" t="s">
        <v>3608</v>
      </c>
      <c r="H174" s="156" t="s">
        <v>301</v>
      </c>
      <c r="I174" s="63" t="s">
        <v>3609</v>
      </c>
      <c r="J174" s="353" t="s">
        <v>302</v>
      </c>
      <c r="K174" s="155">
        <v>46094</v>
      </c>
      <c r="L174" s="43" t="s">
        <v>2164</v>
      </c>
      <c r="M174" s="43" t="s">
        <v>312</v>
      </c>
      <c r="N174" s="43" t="s">
        <v>3370</v>
      </c>
      <c r="O174" s="463">
        <v>46101</v>
      </c>
      <c r="P174" s="224" t="s">
        <v>3610</v>
      </c>
      <c r="Q174" s="91"/>
      <c r="R174" s="91"/>
      <c r="S174" s="91"/>
      <c r="T174" s="91"/>
      <c r="U174" s="91"/>
      <c r="V174" s="91"/>
      <c r="W174" s="91"/>
      <c r="X174" s="91"/>
      <c r="Y174" s="91"/>
      <c r="Z174" s="91"/>
      <c r="AA174" s="91"/>
      <c r="AB174" s="91"/>
      <c r="AC174" s="91"/>
      <c r="AD174" s="91"/>
      <c r="AE174" s="91"/>
      <c r="AF174" s="91"/>
      <c r="AG174" s="91"/>
      <c r="AH174" s="91"/>
      <c r="AI174" s="91"/>
    </row>
    <row r="175" spans="1:35" ht="15" customHeight="1">
      <c r="A175" s="229"/>
      <c r="B175" s="156">
        <v>173</v>
      </c>
      <c r="C175" s="156">
        <v>523930</v>
      </c>
      <c r="D175" s="156">
        <v>16012153</v>
      </c>
      <c r="E175" s="156" t="s">
        <v>3611</v>
      </c>
      <c r="F175" s="156">
        <v>49</v>
      </c>
      <c r="G175" s="156" t="s">
        <v>3612</v>
      </c>
      <c r="H175" s="156" t="s">
        <v>461</v>
      </c>
      <c r="I175" s="156" t="s">
        <v>3613</v>
      </c>
      <c r="J175" s="353" t="s">
        <v>162</v>
      </c>
      <c r="K175" s="155">
        <v>46094</v>
      </c>
      <c r="L175" s="43" t="s">
        <v>3614</v>
      </c>
      <c r="M175" s="43" t="s">
        <v>312</v>
      </c>
      <c r="N175" s="43" t="s">
        <v>3370</v>
      </c>
      <c r="O175" s="680">
        <v>46098</v>
      </c>
      <c r="P175" s="51" t="s">
        <v>3559</v>
      </c>
      <c r="Q175" s="877" t="s">
        <v>358</v>
      </c>
      <c r="R175" s="837"/>
      <c r="S175" s="837"/>
      <c r="T175" s="837"/>
      <c r="U175" s="837"/>
      <c r="V175" s="837"/>
      <c r="W175" s="837"/>
      <c r="X175" s="837"/>
      <c r="Y175" s="837"/>
      <c r="Z175" s="837"/>
      <c r="AA175" s="837"/>
      <c r="AB175" s="837"/>
      <c r="AC175" s="837"/>
      <c r="AD175" s="837"/>
      <c r="AE175" s="837"/>
      <c r="AF175" s="837"/>
      <c r="AG175" s="837"/>
      <c r="AH175" s="837"/>
      <c r="AI175" s="837"/>
    </row>
    <row r="176" spans="1:35" ht="15" customHeight="1">
      <c r="A176" s="229"/>
      <c r="B176" s="156">
        <v>174</v>
      </c>
      <c r="C176" s="156">
        <v>523931</v>
      </c>
      <c r="D176" s="156">
        <v>15749153</v>
      </c>
      <c r="E176" s="156" t="s">
        <v>3615</v>
      </c>
      <c r="F176" s="156">
        <v>51</v>
      </c>
      <c r="G176" s="156" t="s">
        <v>3616</v>
      </c>
      <c r="H176" s="156" t="s">
        <v>461</v>
      </c>
      <c r="I176" s="156" t="s">
        <v>3617</v>
      </c>
      <c r="J176" s="353" t="s">
        <v>162</v>
      </c>
      <c r="K176" s="155">
        <v>46094</v>
      </c>
      <c r="L176" s="43" t="s">
        <v>1156</v>
      </c>
      <c r="M176" s="43" t="s">
        <v>230</v>
      </c>
      <c r="N176" s="43" t="s">
        <v>3487</v>
      </c>
      <c r="O176" s="680">
        <v>46098</v>
      </c>
      <c r="P176" s="51" t="s">
        <v>3559</v>
      </c>
      <c r="Q176" s="875" t="s">
        <v>358</v>
      </c>
      <c r="R176" s="838"/>
      <c r="S176" s="838"/>
      <c r="T176" s="838"/>
      <c r="U176" s="838"/>
      <c r="V176" s="838"/>
      <c r="W176" s="838"/>
      <c r="X176" s="838"/>
      <c r="Y176" s="838"/>
      <c r="Z176" s="838"/>
      <c r="AA176" s="838"/>
      <c r="AB176" s="838"/>
      <c r="AC176" s="838"/>
      <c r="AD176" s="838"/>
      <c r="AE176" s="838"/>
      <c r="AF176" s="838"/>
      <c r="AG176" s="838"/>
      <c r="AH176" s="838"/>
      <c r="AI176" s="838"/>
    </row>
    <row r="177" spans="1:35">
      <c r="A177" s="224"/>
      <c r="B177" s="156">
        <v>175</v>
      </c>
      <c r="C177" s="156">
        <v>113481</v>
      </c>
      <c r="D177" s="156">
        <v>41646574</v>
      </c>
      <c r="E177" s="156" t="s">
        <v>3618</v>
      </c>
      <c r="F177" s="156">
        <v>42</v>
      </c>
      <c r="G177" s="156" t="s">
        <v>3619</v>
      </c>
      <c r="H177" s="156" t="s">
        <v>278</v>
      </c>
      <c r="I177" s="156">
        <v>951323499</v>
      </c>
      <c r="J177" s="353" t="s">
        <v>384</v>
      </c>
      <c r="K177" s="155">
        <v>46094</v>
      </c>
      <c r="L177" s="43" t="s">
        <v>584</v>
      </c>
      <c r="M177" s="43" t="s">
        <v>260</v>
      </c>
      <c r="N177" s="43" t="s">
        <v>3487</v>
      </c>
      <c r="O177" s="764">
        <v>46101</v>
      </c>
      <c r="P177" s="224" t="s">
        <v>3125</v>
      </c>
      <c r="Q177" s="91"/>
      <c r="R177" s="91"/>
      <c r="S177" s="91"/>
      <c r="T177" s="91"/>
      <c r="U177" s="91"/>
      <c r="V177" s="91"/>
      <c r="W177" s="91"/>
      <c r="X177" s="91"/>
      <c r="Y177" s="91"/>
      <c r="Z177" s="91"/>
      <c r="AA177" s="91"/>
      <c r="AB177" s="91"/>
      <c r="AC177" s="91"/>
      <c r="AD177" s="91"/>
      <c r="AE177" s="91"/>
      <c r="AF177" s="91"/>
      <c r="AG177" s="91"/>
      <c r="AH177" s="91"/>
      <c r="AI177" s="91"/>
    </row>
    <row r="178" spans="1:35" ht="15" customHeight="1">
      <c r="A178" s="229"/>
      <c r="B178" s="156">
        <v>176</v>
      </c>
      <c r="C178" s="156">
        <v>523939</v>
      </c>
      <c r="D178" s="156" t="s">
        <v>3620</v>
      </c>
      <c r="E178" s="156" t="s">
        <v>3621</v>
      </c>
      <c r="F178" s="156">
        <v>60</v>
      </c>
      <c r="G178" s="156" t="s">
        <v>3622</v>
      </c>
      <c r="H178" s="156" t="s">
        <v>271</v>
      </c>
      <c r="I178" s="156">
        <v>987981121</v>
      </c>
      <c r="J178" s="353" t="s">
        <v>167</v>
      </c>
      <c r="K178" s="155">
        <v>46094</v>
      </c>
      <c r="L178" s="43" t="s">
        <v>2865</v>
      </c>
      <c r="M178" s="43" t="s">
        <v>260</v>
      </c>
      <c r="N178" s="43" t="s">
        <v>3487</v>
      </c>
      <c r="O178" s="680">
        <v>46098</v>
      </c>
      <c r="P178" s="732"/>
      <c r="Q178" s="879" t="s">
        <v>358</v>
      </c>
      <c r="R178" s="839"/>
      <c r="S178" s="839"/>
      <c r="T178" s="839"/>
      <c r="U178" s="839"/>
      <c r="V178" s="839"/>
      <c r="W178" s="839"/>
      <c r="X178" s="839"/>
      <c r="Y178" s="839"/>
      <c r="Z178" s="839"/>
      <c r="AA178" s="839"/>
      <c r="AB178" s="839"/>
      <c r="AC178" s="839"/>
      <c r="AD178" s="839"/>
      <c r="AE178" s="839"/>
      <c r="AF178" s="839"/>
      <c r="AG178" s="839"/>
      <c r="AH178" s="839"/>
      <c r="AI178" s="839"/>
    </row>
    <row r="179" spans="1:35">
      <c r="A179" s="224"/>
      <c r="B179" s="156">
        <v>177</v>
      </c>
      <c r="C179" s="156">
        <v>485130</v>
      </c>
      <c r="D179" s="237">
        <v>46982041</v>
      </c>
      <c r="E179" s="63" t="s">
        <v>3623</v>
      </c>
      <c r="F179" s="63">
        <v>40</v>
      </c>
      <c r="G179" s="156" t="s">
        <v>3624</v>
      </c>
      <c r="H179" s="156" t="s">
        <v>301</v>
      </c>
      <c r="I179" s="63">
        <v>973778560</v>
      </c>
      <c r="J179" s="353" t="s">
        <v>302</v>
      </c>
      <c r="K179" s="155">
        <v>46094</v>
      </c>
      <c r="L179" s="43" t="s">
        <v>584</v>
      </c>
      <c r="M179" s="43" t="s">
        <v>230</v>
      </c>
      <c r="N179" s="43" t="s">
        <v>241</v>
      </c>
      <c r="O179" s="463">
        <v>46101</v>
      </c>
      <c r="P179" s="224" t="s">
        <v>3610</v>
      </c>
      <c r="Q179" s="91"/>
      <c r="R179" s="91"/>
      <c r="S179" s="91"/>
      <c r="T179" s="91"/>
      <c r="U179" s="91"/>
      <c r="V179" s="91"/>
      <c r="W179" s="91"/>
      <c r="X179" s="91"/>
      <c r="Y179" s="91"/>
      <c r="Z179" s="91"/>
      <c r="AA179" s="91"/>
      <c r="AB179" s="91"/>
      <c r="AC179" s="91"/>
      <c r="AD179" s="91"/>
      <c r="AE179" s="91"/>
      <c r="AF179" s="91"/>
      <c r="AG179" s="91"/>
      <c r="AH179" s="91"/>
      <c r="AI179" s="91"/>
    </row>
    <row r="180" spans="1:35" ht="15" customHeight="1">
      <c r="A180" s="229"/>
      <c r="B180" s="156">
        <v>178</v>
      </c>
      <c r="C180" s="156">
        <v>523942</v>
      </c>
      <c r="D180" s="156">
        <v>40161980</v>
      </c>
      <c r="E180" s="156" t="s">
        <v>3625</v>
      </c>
      <c r="F180" s="156">
        <v>46</v>
      </c>
      <c r="G180" s="156" t="s">
        <v>3626</v>
      </c>
      <c r="H180" s="156" t="s">
        <v>461</v>
      </c>
      <c r="I180" s="156">
        <v>940734843</v>
      </c>
      <c r="J180" s="353" t="s">
        <v>162</v>
      </c>
      <c r="K180" s="155">
        <v>46094</v>
      </c>
      <c r="L180" s="43" t="s">
        <v>584</v>
      </c>
      <c r="M180" s="43" t="s">
        <v>260</v>
      </c>
      <c r="N180" s="43" t="s">
        <v>3487</v>
      </c>
      <c r="O180" s="680">
        <v>46098</v>
      </c>
      <c r="P180" s="51" t="s">
        <v>3559</v>
      </c>
      <c r="Q180" s="879" t="s">
        <v>358</v>
      </c>
      <c r="R180" s="839"/>
      <c r="S180" s="839"/>
      <c r="T180" s="839"/>
      <c r="U180" s="839"/>
      <c r="V180" s="839"/>
      <c r="W180" s="839"/>
      <c r="X180" s="839"/>
      <c r="Y180" s="839"/>
      <c r="Z180" s="839"/>
      <c r="AA180" s="839"/>
      <c r="AB180" s="839"/>
      <c r="AC180" s="839"/>
      <c r="AD180" s="839"/>
      <c r="AE180" s="839"/>
      <c r="AF180" s="839"/>
      <c r="AG180" s="839"/>
      <c r="AH180" s="839"/>
      <c r="AI180" s="839"/>
    </row>
    <row r="181" spans="1:35" ht="15" customHeight="1">
      <c r="A181" s="229"/>
      <c r="B181" s="156">
        <v>179</v>
      </c>
      <c r="C181" s="156">
        <v>32650</v>
      </c>
      <c r="D181" s="156">
        <v>15594730</v>
      </c>
      <c r="E181" s="156" t="s">
        <v>3627</v>
      </c>
      <c r="F181" s="156">
        <v>61</v>
      </c>
      <c r="G181" s="156" t="s">
        <v>3628</v>
      </c>
      <c r="H181" s="156" t="s">
        <v>222</v>
      </c>
      <c r="I181" s="156" t="s">
        <v>3629</v>
      </c>
      <c r="J181" s="353" t="s">
        <v>238</v>
      </c>
      <c r="K181" s="155">
        <v>46094</v>
      </c>
      <c r="L181" s="43" t="s">
        <v>790</v>
      </c>
      <c r="M181" s="43" t="s">
        <v>312</v>
      </c>
      <c r="N181" s="43" t="s">
        <v>317</v>
      </c>
      <c r="O181" s="680">
        <v>46100</v>
      </c>
      <c r="P181" s="732"/>
      <c r="Q181" s="91"/>
      <c r="R181" s="91"/>
      <c r="S181" s="91"/>
      <c r="T181" s="91"/>
      <c r="U181" s="91"/>
      <c r="V181" s="91"/>
      <c r="W181" s="91"/>
      <c r="X181" s="91"/>
      <c r="Y181" s="91"/>
      <c r="Z181" s="91"/>
      <c r="AA181" s="91"/>
      <c r="AB181" s="91"/>
      <c r="AC181" s="91"/>
      <c r="AD181" s="91"/>
      <c r="AE181" s="91"/>
      <c r="AF181" s="91"/>
      <c r="AG181" s="91"/>
      <c r="AH181" s="91"/>
      <c r="AI181" s="91"/>
    </row>
    <row r="182" spans="1:35">
      <c r="A182" s="229"/>
      <c r="B182" s="156">
        <v>180</v>
      </c>
      <c r="C182" s="156">
        <v>125098</v>
      </c>
      <c r="D182" s="156">
        <v>15720215</v>
      </c>
      <c r="E182" s="156" t="s">
        <v>3630</v>
      </c>
      <c r="F182" s="156">
        <v>56</v>
      </c>
      <c r="G182" s="156" t="s">
        <v>3631</v>
      </c>
      <c r="H182" s="156" t="s">
        <v>288</v>
      </c>
      <c r="I182" s="156">
        <v>981029823</v>
      </c>
      <c r="J182" s="353" t="s">
        <v>429</v>
      </c>
      <c r="K182" s="155">
        <v>46094</v>
      </c>
      <c r="L182" s="43" t="s">
        <v>2865</v>
      </c>
      <c r="M182" s="43" t="s">
        <v>230</v>
      </c>
      <c r="N182" s="43" t="s">
        <v>3370</v>
      </c>
      <c r="O182" s="437">
        <v>46101</v>
      </c>
      <c r="P182" s="50" t="s">
        <v>3632</v>
      </c>
      <c r="Q182" s="877" t="s">
        <v>358</v>
      </c>
      <c r="R182" s="837"/>
      <c r="S182" s="837"/>
      <c r="T182" s="837"/>
      <c r="U182" s="837"/>
      <c r="V182" s="837"/>
      <c r="W182" s="837"/>
      <c r="X182" s="837"/>
      <c r="Y182" s="837"/>
      <c r="Z182" s="837"/>
      <c r="AA182" s="837"/>
      <c r="AB182" s="837"/>
      <c r="AC182" s="837"/>
      <c r="AD182" s="837"/>
      <c r="AE182" s="837"/>
      <c r="AF182" s="837"/>
      <c r="AG182" s="837"/>
      <c r="AH182" s="837"/>
      <c r="AI182" s="837"/>
    </row>
    <row r="183" spans="1:35" ht="15" customHeight="1">
      <c r="A183" s="229"/>
      <c r="B183" s="156">
        <v>181</v>
      </c>
      <c r="C183" s="156">
        <v>523946</v>
      </c>
      <c r="D183" s="156">
        <v>16020154</v>
      </c>
      <c r="E183" s="156" t="s">
        <v>3633</v>
      </c>
      <c r="F183" s="156">
        <v>49</v>
      </c>
      <c r="G183" s="156" t="s">
        <v>3634</v>
      </c>
      <c r="H183" s="156" t="s">
        <v>271</v>
      </c>
      <c r="I183" s="156" t="s">
        <v>3635</v>
      </c>
      <c r="J183" s="353" t="s">
        <v>164</v>
      </c>
      <c r="K183" s="155">
        <v>46094</v>
      </c>
      <c r="L183" s="43" t="s">
        <v>3636</v>
      </c>
      <c r="M183" s="43" t="s">
        <v>260</v>
      </c>
      <c r="N183" s="43" t="s">
        <v>3487</v>
      </c>
      <c r="O183" s="680">
        <v>46098</v>
      </c>
      <c r="P183" s="51" t="s">
        <v>3559</v>
      </c>
      <c r="Q183" s="875" t="s">
        <v>358</v>
      </c>
      <c r="R183" s="838"/>
      <c r="S183" s="838"/>
      <c r="T183" s="838"/>
      <c r="U183" s="838"/>
      <c r="V183" s="838"/>
      <c r="W183" s="838"/>
      <c r="X183" s="838"/>
      <c r="Y183" s="838"/>
      <c r="Z183" s="838"/>
      <c r="AA183" s="838"/>
      <c r="AB183" s="838"/>
      <c r="AC183" s="838"/>
      <c r="AD183" s="838"/>
      <c r="AE183" s="838"/>
      <c r="AF183" s="838"/>
      <c r="AG183" s="838"/>
      <c r="AH183" s="838"/>
      <c r="AI183" s="838"/>
    </row>
    <row r="184" spans="1:35" ht="15" customHeight="1">
      <c r="A184" s="229"/>
      <c r="B184" s="156">
        <v>182</v>
      </c>
      <c r="C184" s="156">
        <v>21121</v>
      </c>
      <c r="D184" s="156">
        <v>15614438</v>
      </c>
      <c r="E184" s="156" t="s">
        <v>3637</v>
      </c>
      <c r="F184" s="156">
        <v>64</v>
      </c>
      <c r="G184" s="156" t="s">
        <v>3638</v>
      </c>
      <c r="H184" s="156" t="s">
        <v>278</v>
      </c>
      <c r="I184" s="156" t="s">
        <v>3639</v>
      </c>
      <c r="J184" s="353" t="s">
        <v>238</v>
      </c>
      <c r="K184" s="155">
        <v>46094</v>
      </c>
      <c r="L184" s="43" t="s">
        <v>3640</v>
      </c>
      <c r="M184" s="43" t="s">
        <v>260</v>
      </c>
      <c r="N184" s="43" t="s">
        <v>3487</v>
      </c>
      <c r="O184" s="680">
        <v>46098</v>
      </c>
      <c r="P184" s="732"/>
      <c r="Q184" s="91"/>
      <c r="R184" s="91"/>
      <c r="S184" s="91"/>
      <c r="T184" s="91"/>
      <c r="U184" s="91"/>
      <c r="V184" s="91"/>
      <c r="W184" s="91"/>
      <c r="X184" s="91"/>
      <c r="Y184" s="91"/>
      <c r="Z184" s="91"/>
      <c r="AA184" s="91"/>
      <c r="AB184" s="91"/>
      <c r="AC184" s="91"/>
      <c r="AD184" s="91"/>
      <c r="AE184" s="91"/>
      <c r="AF184" s="91"/>
      <c r="AG184" s="91"/>
      <c r="AH184" s="91"/>
      <c r="AI184" s="91"/>
    </row>
    <row r="185" spans="1:35" ht="15" customHeight="1">
      <c r="A185" s="229"/>
      <c r="B185" s="156">
        <v>183</v>
      </c>
      <c r="C185" s="156">
        <v>179076</v>
      </c>
      <c r="D185" s="156">
        <v>15640916</v>
      </c>
      <c r="E185" s="156" t="s">
        <v>3641</v>
      </c>
      <c r="F185" s="156">
        <v>55</v>
      </c>
      <c r="G185" s="156" t="s">
        <v>3642</v>
      </c>
      <c r="H185" s="156" t="s">
        <v>222</v>
      </c>
      <c r="I185" s="156" t="s">
        <v>3643</v>
      </c>
      <c r="J185" s="353" t="s">
        <v>238</v>
      </c>
      <c r="K185" s="155">
        <v>46094</v>
      </c>
      <c r="L185" s="43" t="s">
        <v>2946</v>
      </c>
      <c r="M185" s="43" t="s">
        <v>260</v>
      </c>
      <c r="N185" s="43" t="s">
        <v>3487</v>
      </c>
      <c r="O185" s="680">
        <v>46098</v>
      </c>
      <c r="P185" s="732"/>
      <c r="Q185" s="91"/>
      <c r="R185" s="91"/>
      <c r="S185" s="91"/>
      <c r="T185" s="91"/>
      <c r="U185" s="91"/>
      <c r="V185" s="91"/>
      <c r="W185" s="91"/>
      <c r="X185" s="91"/>
      <c r="Y185" s="91"/>
      <c r="Z185" s="91"/>
      <c r="AA185" s="91"/>
      <c r="AB185" s="91"/>
      <c r="AC185" s="91"/>
      <c r="AD185" s="91"/>
      <c r="AE185" s="91"/>
      <c r="AF185" s="91"/>
      <c r="AG185" s="91"/>
      <c r="AH185" s="91"/>
      <c r="AI185" s="91"/>
    </row>
    <row r="186" spans="1:35" ht="15" customHeight="1">
      <c r="A186" s="229"/>
      <c r="B186" s="156">
        <v>184</v>
      </c>
      <c r="C186" s="156">
        <v>301021</v>
      </c>
      <c r="D186" s="156">
        <v>80283038</v>
      </c>
      <c r="E186" s="156" t="s">
        <v>3644</v>
      </c>
      <c r="F186" s="156">
        <v>54</v>
      </c>
      <c r="G186" s="156" t="s">
        <v>3645</v>
      </c>
      <c r="H186" s="156" t="s">
        <v>278</v>
      </c>
      <c r="I186" s="156">
        <v>966872474</v>
      </c>
      <c r="J186" s="353" t="s">
        <v>238</v>
      </c>
      <c r="K186" s="155">
        <v>46094</v>
      </c>
      <c r="L186" s="43" t="s">
        <v>2164</v>
      </c>
      <c r="M186" s="43" t="s">
        <v>312</v>
      </c>
      <c r="N186" s="43" t="s">
        <v>3487</v>
      </c>
      <c r="O186" s="680">
        <v>46098</v>
      </c>
      <c r="P186" s="732"/>
      <c r="Q186" s="91"/>
      <c r="R186" s="91"/>
      <c r="S186" s="91"/>
      <c r="T186" s="91"/>
      <c r="U186" s="91"/>
      <c r="V186" s="91"/>
      <c r="W186" s="91"/>
      <c r="X186" s="91"/>
      <c r="Y186" s="91"/>
      <c r="Z186" s="91"/>
      <c r="AA186" s="91"/>
      <c r="AB186" s="91"/>
      <c r="AC186" s="91"/>
      <c r="AD186" s="91"/>
      <c r="AE186" s="91"/>
      <c r="AF186" s="91"/>
      <c r="AG186" s="91"/>
      <c r="AH186" s="91"/>
      <c r="AI186" s="91"/>
    </row>
    <row r="187" spans="1:35">
      <c r="A187" s="227" t="s">
        <v>513</v>
      </c>
      <c r="B187" s="156">
        <v>185</v>
      </c>
      <c r="C187" s="156">
        <v>229423</v>
      </c>
      <c r="D187" s="156">
        <v>41210819</v>
      </c>
      <c r="E187" s="156" t="s">
        <v>3646</v>
      </c>
      <c r="F187" s="156">
        <v>43</v>
      </c>
      <c r="G187" s="156" t="s">
        <v>3647</v>
      </c>
      <c r="H187" s="156" t="s">
        <v>222</v>
      </c>
      <c r="I187" s="156">
        <v>955555765</v>
      </c>
      <c r="J187" s="353" t="s">
        <v>283</v>
      </c>
      <c r="K187" s="155">
        <v>46094</v>
      </c>
      <c r="L187" s="43" t="s">
        <v>3648</v>
      </c>
      <c r="M187" s="43" t="s">
        <v>312</v>
      </c>
      <c r="N187" s="43" t="s">
        <v>3253</v>
      </c>
      <c r="O187" s="448">
        <v>46101</v>
      </c>
      <c r="P187" s="732" t="s">
        <v>3649</v>
      </c>
      <c r="Q187" s="91"/>
      <c r="R187" s="91"/>
      <c r="S187" s="91"/>
      <c r="T187" s="91"/>
      <c r="U187" s="91"/>
      <c r="V187" s="91"/>
      <c r="W187" s="91"/>
      <c r="X187" s="91"/>
      <c r="Y187" s="91"/>
      <c r="Z187" s="91"/>
      <c r="AA187" s="91"/>
      <c r="AB187" s="91"/>
      <c r="AC187" s="91"/>
      <c r="AD187" s="91"/>
      <c r="AE187" s="91"/>
      <c r="AF187" s="91"/>
      <c r="AG187" s="91"/>
      <c r="AH187" s="91"/>
      <c r="AI187" s="91"/>
    </row>
    <row r="188" spans="1:35">
      <c r="A188" s="229"/>
      <c r="B188" s="156">
        <v>186</v>
      </c>
      <c r="C188" s="156">
        <v>316320</v>
      </c>
      <c r="D188" s="156">
        <v>15680366</v>
      </c>
      <c r="E188" s="156" t="s">
        <v>3650</v>
      </c>
      <c r="F188" s="156">
        <v>62</v>
      </c>
      <c r="G188" s="156" t="s">
        <v>3651</v>
      </c>
      <c r="H188" s="156" t="s">
        <v>301</v>
      </c>
      <c r="I188" s="156" t="s">
        <v>3652</v>
      </c>
      <c r="J188" s="353" t="s">
        <v>289</v>
      </c>
      <c r="K188" s="155">
        <v>46094</v>
      </c>
      <c r="L188" s="43" t="s">
        <v>3653</v>
      </c>
      <c r="M188" s="43" t="s">
        <v>260</v>
      </c>
      <c r="N188" s="43" t="s">
        <v>3487</v>
      </c>
      <c r="O188" s="463">
        <v>46105</v>
      </c>
      <c r="P188" s="224" t="s">
        <v>3409</v>
      </c>
      <c r="Q188" s="91"/>
      <c r="R188" s="91"/>
      <c r="S188" s="91"/>
      <c r="T188" s="91"/>
      <c r="U188" s="91"/>
      <c r="V188" s="91"/>
      <c r="W188" s="91"/>
      <c r="X188" s="91"/>
      <c r="Y188" s="91"/>
      <c r="Z188" s="91"/>
      <c r="AA188" s="91"/>
      <c r="AB188" s="91"/>
      <c r="AC188" s="91"/>
      <c r="AD188" s="91"/>
      <c r="AE188" s="91"/>
      <c r="AF188" s="91"/>
      <c r="AG188" s="91"/>
      <c r="AH188" s="91"/>
      <c r="AI188" s="91"/>
    </row>
    <row r="189" spans="1:35" ht="15" customHeight="1">
      <c r="A189" s="229"/>
      <c r="B189" s="156">
        <v>187</v>
      </c>
      <c r="C189" s="156"/>
      <c r="D189" s="156">
        <v>43033324</v>
      </c>
      <c r="E189" s="156" t="s">
        <v>3654</v>
      </c>
      <c r="F189" s="156">
        <v>40</v>
      </c>
      <c r="G189" s="156" t="s">
        <v>3655</v>
      </c>
      <c r="H189" s="156" t="s">
        <v>461</v>
      </c>
      <c r="I189" s="156">
        <v>917003688</v>
      </c>
      <c r="J189" s="353" t="s">
        <v>162</v>
      </c>
      <c r="K189" s="155">
        <v>46094</v>
      </c>
      <c r="L189" s="43" t="s">
        <v>584</v>
      </c>
      <c r="M189" s="43" t="s">
        <v>260</v>
      </c>
      <c r="N189" s="43" t="s">
        <v>3487</v>
      </c>
      <c r="O189" s="680">
        <v>46098</v>
      </c>
      <c r="P189" s="51" t="s">
        <v>3559</v>
      </c>
      <c r="Q189" s="879" t="s">
        <v>358</v>
      </c>
      <c r="R189" s="839"/>
      <c r="S189" s="839"/>
      <c r="T189" s="839"/>
      <c r="U189" s="839"/>
      <c r="V189" s="839"/>
      <c r="W189" s="839"/>
      <c r="X189" s="839"/>
      <c r="Y189" s="839"/>
      <c r="Z189" s="839"/>
      <c r="AA189" s="839"/>
      <c r="AB189" s="839"/>
      <c r="AC189" s="839"/>
      <c r="AD189" s="839"/>
      <c r="AE189" s="839"/>
      <c r="AF189" s="839"/>
      <c r="AG189" s="839"/>
      <c r="AH189" s="839"/>
      <c r="AI189" s="839"/>
    </row>
    <row r="190" spans="1:35">
      <c r="A190" s="229"/>
      <c r="B190" s="156">
        <v>188</v>
      </c>
      <c r="C190" s="156">
        <v>465962</v>
      </c>
      <c r="D190" s="156">
        <v>48467846</v>
      </c>
      <c r="E190" s="156" t="s">
        <v>3656</v>
      </c>
      <c r="F190" s="156">
        <v>50</v>
      </c>
      <c r="G190" s="156" t="s">
        <v>3657</v>
      </c>
      <c r="H190" s="156" t="s">
        <v>278</v>
      </c>
      <c r="I190" s="156" t="s">
        <v>3658</v>
      </c>
      <c r="J190" s="353" t="s">
        <v>223</v>
      </c>
      <c r="K190" s="155">
        <v>46094</v>
      </c>
      <c r="L190" s="43" t="s">
        <v>3659</v>
      </c>
      <c r="M190" s="43" t="s">
        <v>312</v>
      </c>
      <c r="N190" s="43" t="s">
        <v>3253</v>
      </c>
      <c r="O190" s="448">
        <v>46104</v>
      </c>
      <c r="P190" s="732" t="s">
        <v>3488</v>
      </c>
      <c r="Q190" s="91"/>
      <c r="R190" s="91"/>
      <c r="S190" s="91"/>
      <c r="T190" s="91"/>
      <c r="U190" s="91"/>
      <c r="V190" s="91"/>
      <c r="W190" s="91"/>
      <c r="X190" s="91"/>
      <c r="Y190" s="91"/>
      <c r="Z190" s="91"/>
      <c r="AA190" s="91"/>
      <c r="AB190" s="91"/>
      <c r="AC190" s="91"/>
      <c r="AD190" s="91"/>
      <c r="AE190" s="91"/>
      <c r="AF190" s="91"/>
      <c r="AG190" s="91"/>
      <c r="AH190" s="91"/>
      <c r="AI190" s="91"/>
    </row>
    <row r="191" spans="1:35">
      <c r="A191" s="229"/>
      <c r="B191" s="156">
        <v>189</v>
      </c>
      <c r="C191" s="156">
        <v>44123</v>
      </c>
      <c r="D191" s="156">
        <v>15614971</v>
      </c>
      <c r="E191" s="156" t="s">
        <v>3660</v>
      </c>
      <c r="F191" s="156">
        <v>67</v>
      </c>
      <c r="G191" s="156" t="s">
        <v>3661</v>
      </c>
      <c r="H191" s="156" t="s">
        <v>222</v>
      </c>
      <c r="I191" s="156" t="s">
        <v>3662</v>
      </c>
      <c r="J191" s="353" t="s">
        <v>223</v>
      </c>
      <c r="K191" s="155">
        <v>46094</v>
      </c>
      <c r="L191" s="43" t="s">
        <v>747</v>
      </c>
      <c r="M191" s="43" t="s">
        <v>230</v>
      </c>
      <c r="N191" s="43" t="s">
        <v>317</v>
      </c>
      <c r="O191" s="448">
        <v>46104</v>
      </c>
      <c r="P191" s="732" t="s">
        <v>3488</v>
      </c>
      <c r="Q191" s="91"/>
      <c r="R191" s="91"/>
      <c r="S191" s="91"/>
      <c r="T191" s="91"/>
      <c r="U191" s="91"/>
      <c r="V191" s="91"/>
      <c r="W191" s="91"/>
      <c r="X191" s="91"/>
      <c r="Y191" s="91"/>
      <c r="Z191" s="91"/>
      <c r="AA191" s="91"/>
      <c r="AB191" s="91"/>
      <c r="AC191" s="91"/>
      <c r="AD191" s="91"/>
      <c r="AE191" s="91"/>
      <c r="AF191" s="91"/>
      <c r="AG191" s="91"/>
      <c r="AH191" s="91"/>
      <c r="AI191" s="91"/>
    </row>
    <row r="192" spans="1:35">
      <c r="A192" s="224"/>
      <c r="B192" s="156">
        <v>190</v>
      </c>
      <c r="C192" s="156">
        <v>212672</v>
      </c>
      <c r="D192" s="156">
        <v>15764220</v>
      </c>
      <c r="E192" s="156" t="s">
        <v>3663</v>
      </c>
      <c r="F192" s="156">
        <v>48</v>
      </c>
      <c r="G192" s="156" t="s">
        <v>3664</v>
      </c>
      <c r="H192" s="156" t="s">
        <v>222</v>
      </c>
      <c r="I192" s="156">
        <v>982075832</v>
      </c>
      <c r="J192" s="353" t="s">
        <v>223</v>
      </c>
      <c r="K192" s="155">
        <v>46094</v>
      </c>
      <c r="L192" s="43" t="s">
        <v>584</v>
      </c>
      <c r="M192" s="43" t="s">
        <v>260</v>
      </c>
      <c r="N192" s="43" t="s">
        <v>3487</v>
      </c>
      <c r="O192" s="448">
        <v>46104</v>
      </c>
      <c r="P192" s="732" t="s">
        <v>3488</v>
      </c>
      <c r="Q192" s="91"/>
      <c r="R192" s="91"/>
      <c r="S192" s="91"/>
      <c r="T192" s="91"/>
      <c r="U192" s="91"/>
      <c r="V192" s="91"/>
      <c r="W192" s="91"/>
      <c r="X192" s="91"/>
      <c r="Y192" s="91"/>
      <c r="Z192" s="91"/>
      <c r="AA192" s="91"/>
      <c r="AB192" s="91"/>
      <c r="AC192" s="91"/>
      <c r="AD192" s="91"/>
      <c r="AE192" s="91"/>
      <c r="AF192" s="91"/>
      <c r="AG192" s="91"/>
      <c r="AH192" s="91"/>
      <c r="AI192" s="91"/>
    </row>
    <row r="193" spans="1:35" ht="15.75">
      <c r="A193" s="229"/>
      <c r="B193" s="156">
        <v>191</v>
      </c>
      <c r="C193" s="156">
        <v>98247</v>
      </c>
      <c r="D193" s="238">
        <v>15763503</v>
      </c>
      <c r="E193" s="236" t="s">
        <v>3665</v>
      </c>
      <c r="F193" s="156">
        <v>47</v>
      </c>
      <c r="G193" s="156" t="s">
        <v>3666</v>
      </c>
      <c r="H193" s="156" t="s">
        <v>1152</v>
      </c>
      <c r="I193" s="156">
        <v>921210410</v>
      </c>
      <c r="J193" s="353" t="s">
        <v>742</v>
      </c>
      <c r="K193" s="155">
        <v>46094</v>
      </c>
      <c r="L193" s="43" t="s">
        <v>1915</v>
      </c>
      <c r="M193" s="43" t="s">
        <v>260</v>
      </c>
      <c r="N193" s="43" t="s">
        <v>3487</v>
      </c>
      <c r="O193" s="448">
        <v>46101</v>
      </c>
      <c r="P193" s="732" t="s">
        <v>3667</v>
      </c>
      <c r="Q193" s="91"/>
      <c r="R193" s="91"/>
      <c r="S193" s="91"/>
      <c r="T193" s="91"/>
      <c r="U193" s="91"/>
      <c r="V193" s="91"/>
      <c r="W193" s="91"/>
      <c r="X193" s="91"/>
      <c r="Y193" s="91"/>
      <c r="Z193" s="91"/>
      <c r="AA193" s="91"/>
      <c r="AB193" s="91"/>
      <c r="AC193" s="91"/>
      <c r="AD193" s="91"/>
      <c r="AE193" s="91"/>
      <c r="AF193" s="91"/>
      <c r="AG193" s="91"/>
      <c r="AH193" s="91"/>
      <c r="AI193" s="91"/>
    </row>
    <row r="194" spans="1:35">
      <c r="A194" s="224"/>
      <c r="B194" s="156">
        <v>192</v>
      </c>
      <c r="C194" s="156">
        <v>168676</v>
      </c>
      <c r="D194" s="156">
        <v>15720062</v>
      </c>
      <c r="E194" s="156" t="s">
        <v>3668</v>
      </c>
      <c r="F194" s="156">
        <v>56</v>
      </c>
      <c r="G194" s="156" t="s">
        <v>3669</v>
      </c>
      <c r="H194" s="156" t="s">
        <v>326</v>
      </c>
      <c r="I194" s="156">
        <v>997603987</v>
      </c>
      <c r="J194" s="353" t="s">
        <v>375</v>
      </c>
      <c r="K194" s="155">
        <v>46094</v>
      </c>
      <c r="L194" s="43" t="s">
        <v>1902</v>
      </c>
      <c r="M194" s="43" t="s">
        <v>312</v>
      </c>
      <c r="N194" s="43" t="s">
        <v>3487</v>
      </c>
      <c r="O194" s="463">
        <v>46101</v>
      </c>
      <c r="P194" s="224" t="s">
        <v>3670</v>
      </c>
      <c r="Q194" s="91"/>
      <c r="R194" s="91"/>
      <c r="S194" s="91"/>
      <c r="T194" s="91"/>
      <c r="U194" s="91"/>
      <c r="V194" s="91"/>
      <c r="W194" s="91"/>
      <c r="X194" s="91"/>
      <c r="Y194" s="91"/>
      <c r="Z194" s="91"/>
      <c r="AA194" s="91"/>
      <c r="AB194" s="91"/>
      <c r="AC194" s="91"/>
      <c r="AD194" s="91"/>
      <c r="AE194" s="91"/>
      <c r="AF194" s="91"/>
      <c r="AG194" s="91"/>
      <c r="AH194" s="91"/>
      <c r="AI194" s="91"/>
    </row>
    <row r="195" spans="1:35">
      <c r="A195" s="224"/>
      <c r="B195" s="156">
        <v>193</v>
      </c>
      <c r="C195" s="156">
        <v>17741</v>
      </c>
      <c r="D195" s="156">
        <v>15648995</v>
      </c>
      <c r="E195" s="156" t="s">
        <v>3671</v>
      </c>
      <c r="F195" s="156">
        <v>52</v>
      </c>
      <c r="G195" s="156" t="s">
        <v>3672</v>
      </c>
      <c r="H195" s="156" t="s">
        <v>222</v>
      </c>
      <c r="I195" s="156">
        <v>972490772</v>
      </c>
      <c r="J195" s="353" t="s">
        <v>223</v>
      </c>
      <c r="K195" s="155">
        <v>46094</v>
      </c>
      <c r="L195" s="43" t="s">
        <v>584</v>
      </c>
      <c r="M195" s="43" t="s">
        <v>230</v>
      </c>
      <c r="N195" s="43" t="s">
        <v>3487</v>
      </c>
      <c r="O195" s="448">
        <v>46104</v>
      </c>
      <c r="P195" s="732" t="s">
        <v>3488</v>
      </c>
      <c r="Q195" s="91"/>
      <c r="R195" s="91"/>
      <c r="S195" s="91"/>
      <c r="T195" s="91"/>
      <c r="U195" s="91"/>
      <c r="V195" s="91"/>
      <c r="W195" s="91"/>
      <c r="X195" s="91"/>
      <c r="Y195" s="91"/>
      <c r="Z195" s="91"/>
      <c r="AA195" s="91"/>
      <c r="AB195" s="91"/>
      <c r="AC195" s="91"/>
      <c r="AD195" s="91"/>
      <c r="AE195" s="91"/>
      <c r="AF195" s="91"/>
      <c r="AG195" s="91"/>
      <c r="AH195" s="91"/>
      <c r="AI195" s="91"/>
    </row>
    <row r="196" spans="1:35" ht="15" customHeight="1">
      <c r="A196" s="229"/>
      <c r="B196" s="156">
        <v>194</v>
      </c>
      <c r="C196" s="156">
        <v>170258</v>
      </c>
      <c r="D196" s="156">
        <v>41500817</v>
      </c>
      <c r="E196" s="156" t="s">
        <v>3673</v>
      </c>
      <c r="F196" s="156">
        <v>43</v>
      </c>
      <c r="G196" s="156" t="s">
        <v>3674</v>
      </c>
      <c r="H196" s="156" t="s">
        <v>301</v>
      </c>
      <c r="I196" s="156">
        <v>987288114</v>
      </c>
      <c r="J196" s="353" t="s">
        <v>238</v>
      </c>
      <c r="K196" s="155">
        <v>46094</v>
      </c>
      <c r="L196" s="43" t="s">
        <v>3675</v>
      </c>
      <c r="M196" s="43" t="s">
        <v>230</v>
      </c>
      <c r="N196" s="43" t="s">
        <v>317</v>
      </c>
      <c r="O196" s="680">
        <v>46098</v>
      </c>
      <c r="P196" s="733"/>
      <c r="Q196" s="242"/>
      <c r="R196" s="91"/>
      <c r="S196" s="91"/>
      <c r="T196" s="91"/>
      <c r="U196" s="91"/>
      <c r="V196" s="91"/>
      <c r="W196" s="91"/>
      <c r="X196" s="91"/>
      <c r="Y196" s="91"/>
      <c r="Z196" s="91"/>
      <c r="AA196" s="91"/>
      <c r="AB196" s="91"/>
      <c r="AC196" s="91"/>
      <c r="AD196" s="91"/>
      <c r="AE196" s="91"/>
      <c r="AF196" s="91"/>
      <c r="AG196" s="91"/>
      <c r="AH196" s="91"/>
      <c r="AI196" s="91"/>
    </row>
    <row r="197" spans="1:35" ht="15" customHeight="1">
      <c r="A197" s="261">
        <v>46095</v>
      </c>
      <c r="B197" s="156">
        <v>195</v>
      </c>
      <c r="C197" s="43">
        <v>523964</v>
      </c>
      <c r="D197" s="43">
        <v>41922688</v>
      </c>
      <c r="E197" s="156" t="s">
        <v>3676</v>
      </c>
      <c r="F197" s="43">
        <v>43</v>
      </c>
      <c r="G197" s="43" t="s">
        <v>3677</v>
      </c>
      <c r="H197" s="43" t="s">
        <v>461</v>
      </c>
      <c r="I197" s="42">
        <v>939118277</v>
      </c>
      <c r="J197" s="353" t="s">
        <v>421</v>
      </c>
      <c r="K197" s="44">
        <v>46095</v>
      </c>
      <c r="L197" s="43" t="s">
        <v>1663</v>
      </c>
      <c r="M197" s="43" t="s">
        <v>260</v>
      </c>
      <c r="N197" s="428" t="s">
        <v>3487</v>
      </c>
      <c r="O197" s="152">
        <v>46098</v>
      </c>
      <c r="P197" s="51" t="s">
        <v>3559</v>
      </c>
      <c r="Q197" s="877" t="s">
        <v>358</v>
      </c>
      <c r="R197" s="837"/>
      <c r="S197" s="837"/>
      <c r="T197" s="837"/>
      <c r="U197" s="837"/>
      <c r="V197" s="837"/>
      <c r="W197" s="837"/>
      <c r="X197" s="837"/>
      <c r="Y197" s="837"/>
      <c r="Z197" s="837"/>
      <c r="AA197" s="837"/>
      <c r="AB197" s="837"/>
      <c r="AC197" s="837"/>
      <c r="AD197" s="837"/>
      <c r="AE197" s="837"/>
      <c r="AF197" s="837"/>
      <c r="AG197" s="837"/>
      <c r="AH197" s="837"/>
      <c r="AI197" s="837"/>
    </row>
    <row r="198" spans="1:35" ht="15" customHeight="1">
      <c r="A198" s="206"/>
      <c r="B198" s="156">
        <v>196</v>
      </c>
      <c r="C198" s="43">
        <v>462451</v>
      </c>
      <c r="D198" s="43">
        <v>16015040</v>
      </c>
      <c r="E198" s="156" t="s">
        <v>3678</v>
      </c>
      <c r="F198" s="43">
        <v>61</v>
      </c>
      <c r="G198" s="43" t="s">
        <v>3679</v>
      </c>
      <c r="H198" s="43" t="s">
        <v>271</v>
      </c>
      <c r="I198" s="42">
        <v>916549059</v>
      </c>
      <c r="J198" s="353" t="s">
        <v>164</v>
      </c>
      <c r="K198" s="44">
        <v>46095</v>
      </c>
      <c r="L198" s="43" t="s">
        <v>3680</v>
      </c>
      <c r="M198" s="43" t="s">
        <v>323</v>
      </c>
      <c r="N198" s="428" t="s">
        <v>3370</v>
      </c>
      <c r="O198" s="157">
        <v>46098</v>
      </c>
      <c r="P198" s="51" t="s">
        <v>3559</v>
      </c>
      <c r="Q198" s="471" t="s">
        <v>358</v>
      </c>
      <c r="R198" s="91"/>
      <c r="S198" s="91"/>
      <c r="T198" s="91"/>
      <c r="U198" s="91"/>
      <c r="V198" s="91"/>
      <c r="W198" s="91"/>
      <c r="X198" s="91"/>
      <c r="Y198" s="91"/>
      <c r="Z198" s="91"/>
      <c r="AA198" s="91"/>
      <c r="AB198" s="91"/>
      <c r="AC198" s="91"/>
      <c r="AD198" s="91"/>
      <c r="AE198" s="91"/>
      <c r="AF198" s="91"/>
      <c r="AG198" s="91"/>
      <c r="AH198" s="91"/>
      <c r="AI198" s="91"/>
    </row>
    <row r="199" spans="1:35" ht="15" customHeight="1">
      <c r="A199" s="206"/>
      <c r="B199" s="156">
        <v>197</v>
      </c>
      <c r="C199" s="43">
        <v>523962</v>
      </c>
      <c r="D199" s="43">
        <v>15949517</v>
      </c>
      <c r="E199" s="156" t="s">
        <v>3681</v>
      </c>
      <c r="F199" s="43">
        <v>69</v>
      </c>
      <c r="G199" s="43" t="s">
        <v>3682</v>
      </c>
      <c r="H199" s="43" t="s">
        <v>461</v>
      </c>
      <c r="I199" s="42">
        <v>987398610</v>
      </c>
      <c r="J199" s="353" t="s">
        <v>162</v>
      </c>
      <c r="K199" s="44">
        <v>46095</v>
      </c>
      <c r="L199" s="43" t="s">
        <v>1098</v>
      </c>
      <c r="M199" s="43" t="s">
        <v>230</v>
      </c>
      <c r="N199" s="428" t="s">
        <v>3370</v>
      </c>
      <c r="O199" s="152">
        <v>46098</v>
      </c>
      <c r="P199" s="51" t="s">
        <v>3559</v>
      </c>
      <c r="Q199" s="471" t="s">
        <v>358</v>
      </c>
      <c r="R199" s="91"/>
      <c r="S199" s="91"/>
      <c r="T199" s="91"/>
      <c r="U199" s="91"/>
      <c r="V199" s="91"/>
      <c r="W199" s="91"/>
      <c r="X199" s="91"/>
      <c r="Y199" s="91"/>
      <c r="Z199" s="91"/>
      <c r="AA199" s="91"/>
      <c r="AB199" s="91"/>
      <c r="AC199" s="91"/>
      <c r="AD199" s="91"/>
      <c r="AE199" s="91"/>
      <c r="AF199" s="91"/>
      <c r="AG199" s="91"/>
      <c r="AH199" s="91"/>
      <c r="AI199" s="91"/>
    </row>
    <row r="200" spans="1:35" ht="15" customHeight="1">
      <c r="A200" s="206"/>
      <c r="B200" s="156">
        <v>198</v>
      </c>
      <c r="C200" s="43">
        <v>523963</v>
      </c>
      <c r="D200" s="43">
        <v>15747600</v>
      </c>
      <c r="E200" s="156" t="s">
        <v>3683</v>
      </c>
      <c r="F200" s="43">
        <v>54</v>
      </c>
      <c r="G200" s="43" t="s">
        <v>3684</v>
      </c>
      <c r="H200" s="43" t="s">
        <v>461</v>
      </c>
      <c r="I200" s="42">
        <v>930834521</v>
      </c>
      <c r="J200" s="353" t="s">
        <v>162</v>
      </c>
      <c r="K200" s="44">
        <v>46095</v>
      </c>
      <c r="L200" s="43" t="s">
        <v>3685</v>
      </c>
      <c r="M200" s="43" t="s">
        <v>323</v>
      </c>
      <c r="N200" s="428" t="s">
        <v>3370</v>
      </c>
      <c r="O200" s="157">
        <v>46098</v>
      </c>
      <c r="P200" s="51" t="s">
        <v>3559</v>
      </c>
      <c r="Q200" s="471" t="s">
        <v>358</v>
      </c>
      <c r="R200" s="91"/>
      <c r="S200" s="91"/>
      <c r="T200" s="91"/>
      <c r="U200" s="91"/>
      <c r="V200" s="91"/>
      <c r="W200" s="91"/>
      <c r="X200" s="91"/>
      <c r="Y200" s="91"/>
      <c r="Z200" s="91"/>
      <c r="AA200" s="91"/>
      <c r="AB200" s="91"/>
      <c r="AC200" s="91"/>
      <c r="AD200" s="91"/>
      <c r="AE200" s="91"/>
      <c r="AF200" s="91"/>
      <c r="AG200" s="91"/>
      <c r="AH200" s="91"/>
      <c r="AI200" s="91"/>
    </row>
    <row r="201" spans="1:35">
      <c r="A201" s="206"/>
      <c r="B201" s="156">
        <v>199</v>
      </c>
      <c r="C201" s="43">
        <v>385925</v>
      </c>
      <c r="D201" s="46">
        <v>40819051</v>
      </c>
      <c r="E201" s="156" t="s">
        <v>3686</v>
      </c>
      <c r="F201" s="46">
        <v>45</v>
      </c>
      <c r="G201" s="46" t="s">
        <v>3687</v>
      </c>
      <c r="H201" s="43" t="s">
        <v>461</v>
      </c>
      <c r="I201" s="122">
        <v>980866160</v>
      </c>
      <c r="J201" s="353" t="s">
        <v>162</v>
      </c>
      <c r="K201" s="44">
        <v>46095</v>
      </c>
      <c r="L201" s="43" t="s">
        <v>3688</v>
      </c>
      <c r="M201" s="43" t="s">
        <v>260</v>
      </c>
      <c r="N201" s="43" t="s">
        <v>3487</v>
      </c>
      <c r="O201" s="680">
        <v>46101</v>
      </c>
      <c r="P201" s="51" t="s">
        <v>3559</v>
      </c>
      <c r="Q201" s="875" t="s">
        <v>358</v>
      </c>
      <c r="R201" s="838"/>
      <c r="S201" s="838"/>
      <c r="T201" s="838"/>
      <c r="U201" s="838"/>
      <c r="V201" s="838"/>
      <c r="W201" s="838"/>
      <c r="X201" s="838"/>
      <c r="Y201" s="838"/>
      <c r="Z201" s="838"/>
      <c r="AA201" s="838"/>
      <c r="AB201" s="838"/>
      <c r="AC201" s="838"/>
      <c r="AD201" s="838"/>
      <c r="AE201" s="838"/>
      <c r="AF201" s="838"/>
      <c r="AG201" s="838"/>
      <c r="AH201" s="838"/>
      <c r="AI201" s="838"/>
    </row>
    <row r="202" spans="1:35" ht="15" customHeight="1">
      <c r="A202" s="261">
        <v>46097</v>
      </c>
      <c r="B202" s="156">
        <v>200</v>
      </c>
      <c r="C202" s="43">
        <v>157474</v>
      </c>
      <c r="D202" s="43">
        <v>15720686</v>
      </c>
      <c r="E202" s="156" t="s">
        <v>3689</v>
      </c>
      <c r="F202" s="43">
        <v>55</v>
      </c>
      <c r="G202" s="43" t="s">
        <v>3690</v>
      </c>
      <c r="H202" s="43" t="s">
        <v>326</v>
      </c>
      <c r="I202" s="42" t="s">
        <v>3691</v>
      </c>
      <c r="J202" s="353" t="s">
        <v>238</v>
      </c>
      <c r="K202" s="44">
        <v>46097</v>
      </c>
      <c r="L202" s="43" t="s">
        <v>584</v>
      </c>
      <c r="M202" s="43" t="s">
        <v>230</v>
      </c>
      <c r="N202" s="224" t="s">
        <v>3487</v>
      </c>
      <c r="O202" s="152">
        <v>46098</v>
      </c>
      <c r="P202" s="732"/>
      <c r="Q202" s="900" t="s">
        <v>3359</v>
      </c>
      <c r="R202" s="91"/>
      <c r="S202" s="91"/>
      <c r="T202" s="91"/>
      <c r="U202" s="91"/>
      <c r="V202" s="91"/>
      <c r="W202" s="91"/>
      <c r="X202" s="91"/>
      <c r="Y202" s="91"/>
      <c r="Z202" s="91"/>
      <c r="AA202" s="91"/>
      <c r="AB202" s="91"/>
      <c r="AC202" s="91"/>
      <c r="AD202" s="91"/>
      <c r="AE202" s="91"/>
      <c r="AF202" s="91"/>
      <c r="AG202" s="91"/>
      <c r="AH202" s="91"/>
      <c r="AI202" s="91"/>
    </row>
    <row r="203" spans="1:35" ht="15" customHeight="1">
      <c r="A203" s="43"/>
      <c r="B203" s="156">
        <v>201</v>
      </c>
      <c r="C203" s="43">
        <v>523999</v>
      </c>
      <c r="D203" s="46">
        <v>15961440</v>
      </c>
      <c r="E203" s="65" t="s">
        <v>3692</v>
      </c>
      <c r="F203" s="46">
        <v>64</v>
      </c>
      <c r="G203" s="46" t="s">
        <v>3693</v>
      </c>
      <c r="H203" s="43" t="s">
        <v>461</v>
      </c>
      <c r="I203" s="124">
        <v>922244388</v>
      </c>
      <c r="J203" s="353" t="s">
        <v>162</v>
      </c>
      <c r="K203" s="44">
        <v>46097</v>
      </c>
      <c r="L203" s="43" t="s">
        <v>1794</v>
      </c>
      <c r="M203" s="43" t="s">
        <v>312</v>
      </c>
      <c r="N203" s="428" t="s">
        <v>317</v>
      </c>
      <c r="O203" s="152">
        <v>46098</v>
      </c>
      <c r="P203" s="51" t="s">
        <v>3559</v>
      </c>
      <c r="Q203" s="879" t="s">
        <v>358</v>
      </c>
      <c r="R203" s="839"/>
      <c r="S203" s="839"/>
      <c r="T203" s="839"/>
      <c r="U203" s="839"/>
      <c r="V203" s="839"/>
      <c r="W203" s="839"/>
      <c r="X203" s="839"/>
      <c r="Y203" s="839"/>
      <c r="Z203" s="839"/>
      <c r="AA203" s="839"/>
      <c r="AB203" s="839"/>
      <c r="AC203" s="839"/>
      <c r="AD203" s="839"/>
      <c r="AE203" s="839"/>
      <c r="AF203" s="839"/>
      <c r="AG203" s="839"/>
      <c r="AH203" s="839"/>
      <c r="AI203" s="839"/>
    </row>
    <row r="204" spans="1:35" ht="15" customHeight="1">
      <c r="A204" s="43"/>
      <c r="B204" s="156">
        <v>202</v>
      </c>
      <c r="C204" s="43">
        <v>140490</v>
      </c>
      <c r="D204" s="43">
        <v>15616196</v>
      </c>
      <c r="E204" s="156" t="s">
        <v>3694</v>
      </c>
      <c r="F204" s="43">
        <v>59</v>
      </c>
      <c r="G204" s="43" t="s">
        <v>3695</v>
      </c>
      <c r="H204" s="43" t="s">
        <v>278</v>
      </c>
      <c r="I204" s="42">
        <v>971500098</v>
      </c>
      <c r="J204" s="353" t="s">
        <v>223</v>
      </c>
      <c r="K204" s="44">
        <v>46097</v>
      </c>
      <c r="L204" s="43" t="s">
        <v>747</v>
      </c>
      <c r="M204" s="43" t="s">
        <v>230</v>
      </c>
      <c r="N204" s="224" t="s">
        <v>317</v>
      </c>
      <c r="O204" s="152">
        <v>46104</v>
      </c>
      <c r="P204" s="732" t="s">
        <v>3488</v>
      </c>
      <c r="Q204" s="91"/>
      <c r="R204" s="91"/>
      <c r="S204" s="91"/>
      <c r="T204" s="91"/>
      <c r="U204" s="91"/>
      <c r="V204" s="91"/>
      <c r="W204" s="91"/>
      <c r="X204" s="91"/>
      <c r="Y204" s="91"/>
      <c r="Z204" s="91"/>
      <c r="AA204" s="91"/>
      <c r="AB204" s="91"/>
      <c r="AC204" s="91"/>
      <c r="AD204" s="91"/>
      <c r="AE204" s="91"/>
      <c r="AF204" s="91"/>
      <c r="AG204" s="91"/>
      <c r="AH204" s="91"/>
      <c r="AI204" s="91"/>
    </row>
    <row r="205" spans="1:35">
      <c r="A205" s="43"/>
      <c r="B205" s="156">
        <v>203</v>
      </c>
      <c r="C205" s="43">
        <v>171903</v>
      </c>
      <c r="D205" s="43">
        <v>15724366</v>
      </c>
      <c r="E205" s="156" t="s">
        <v>3696</v>
      </c>
      <c r="F205" s="43">
        <v>56</v>
      </c>
      <c r="G205" s="43" t="s">
        <v>3697</v>
      </c>
      <c r="H205" s="43" t="s">
        <v>237</v>
      </c>
      <c r="I205" s="42">
        <v>930554030</v>
      </c>
      <c r="J205" s="353" t="s">
        <v>1105</v>
      </c>
      <c r="K205" s="44">
        <v>46097</v>
      </c>
      <c r="L205" s="43" t="s">
        <v>3698</v>
      </c>
      <c r="M205" s="43" t="s">
        <v>260</v>
      </c>
      <c r="N205" s="224" t="s">
        <v>3487</v>
      </c>
      <c r="O205" s="155">
        <v>46101</v>
      </c>
      <c r="P205" s="224" t="s">
        <v>3221</v>
      </c>
      <c r="Q205" s="91"/>
      <c r="R205" s="91"/>
      <c r="S205" s="91"/>
      <c r="T205" s="91"/>
      <c r="U205" s="91"/>
      <c r="V205" s="91"/>
      <c r="W205" s="91"/>
      <c r="X205" s="91"/>
      <c r="Y205" s="91"/>
      <c r="Z205" s="91"/>
      <c r="AA205" s="91"/>
      <c r="AB205" s="91"/>
      <c r="AC205" s="91"/>
      <c r="AD205" s="91"/>
      <c r="AE205" s="91"/>
      <c r="AF205" s="91"/>
      <c r="AG205" s="91"/>
      <c r="AH205" s="91"/>
      <c r="AI205" s="91"/>
    </row>
    <row r="206" spans="1:35" ht="15" customHeight="1">
      <c r="A206" s="43"/>
      <c r="B206" s="156">
        <v>204</v>
      </c>
      <c r="C206" s="43">
        <v>231324</v>
      </c>
      <c r="D206" s="43">
        <v>42286949</v>
      </c>
      <c r="E206" s="156" t="s">
        <v>3699</v>
      </c>
      <c r="F206" s="43">
        <v>42</v>
      </c>
      <c r="G206" s="43" t="s">
        <v>3700</v>
      </c>
      <c r="H206" s="43" t="s">
        <v>3701</v>
      </c>
      <c r="I206" s="42">
        <v>982653877</v>
      </c>
      <c r="J206" s="353" t="s">
        <v>1209</v>
      </c>
      <c r="K206" s="44">
        <v>46097</v>
      </c>
      <c r="L206" s="43" t="s">
        <v>1663</v>
      </c>
      <c r="M206" s="43" t="s">
        <v>260</v>
      </c>
      <c r="N206" s="224" t="s">
        <v>3487</v>
      </c>
      <c r="O206" s="364">
        <v>46099</v>
      </c>
      <c r="P206" s="859" t="s">
        <v>3171</v>
      </c>
      <c r="Q206" s="91"/>
      <c r="R206" s="91"/>
      <c r="S206" s="91"/>
      <c r="T206" s="91"/>
      <c r="U206" s="91"/>
      <c r="V206" s="91"/>
      <c r="W206" s="91"/>
      <c r="X206" s="91"/>
      <c r="Y206" s="91"/>
      <c r="Z206" s="91"/>
      <c r="AA206" s="91"/>
      <c r="AB206" s="91"/>
      <c r="AC206" s="91"/>
      <c r="AD206" s="91"/>
      <c r="AE206" s="91"/>
      <c r="AF206" s="91"/>
      <c r="AG206" s="91"/>
      <c r="AH206" s="91"/>
      <c r="AI206" s="91"/>
    </row>
    <row r="207" spans="1:35">
      <c r="A207" s="43"/>
      <c r="B207" s="156">
        <v>205</v>
      </c>
      <c r="C207" s="43">
        <v>204865</v>
      </c>
      <c r="D207" s="43">
        <v>43266323</v>
      </c>
      <c r="E207" s="156" t="s">
        <v>3702</v>
      </c>
      <c r="F207" s="43">
        <v>40</v>
      </c>
      <c r="G207" s="43" t="s">
        <v>3703</v>
      </c>
      <c r="H207" s="43" t="s">
        <v>246</v>
      </c>
      <c r="I207" s="42">
        <v>965155935</v>
      </c>
      <c r="J207" s="353" t="s">
        <v>1483</v>
      </c>
      <c r="K207" s="44">
        <v>46097</v>
      </c>
      <c r="L207" s="43" t="s">
        <v>3704</v>
      </c>
      <c r="M207" s="43" t="s">
        <v>260</v>
      </c>
      <c r="N207" s="224" t="s">
        <v>3487</v>
      </c>
      <c r="O207" s="152">
        <v>46101</v>
      </c>
      <c r="P207" s="732" t="s">
        <v>3532</v>
      </c>
      <c r="Q207" s="91"/>
      <c r="R207" s="91"/>
      <c r="S207" s="91"/>
      <c r="T207" s="91"/>
      <c r="U207" s="91"/>
      <c r="V207" s="91"/>
      <c r="W207" s="91"/>
      <c r="X207" s="91"/>
      <c r="Y207" s="91"/>
      <c r="Z207" s="91"/>
      <c r="AA207" s="91"/>
      <c r="AB207" s="91"/>
      <c r="AC207" s="91"/>
      <c r="AD207" s="91"/>
      <c r="AE207" s="91"/>
      <c r="AF207" s="91"/>
      <c r="AG207" s="91"/>
      <c r="AH207" s="91"/>
      <c r="AI207" s="91"/>
    </row>
    <row r="208" spans="1:35" ht="15" customHeight="1">
      <c r="A208" s="43"/>
      <c r="B208" s="156">
        <v>206</v>
      </c>
      <c r="C208" s="43">
        <v>522457</v>
      </c>
      <c r="D208" s="43">
        <v>4204721</v>
      </c>
      <c r="E208" s="156" t="s">
        <v>3705</v>
      </c>
      <c r="F208" s="43">
        <v>58</v>
      </c>
      <c r="G208" s="43" t="s">
        <v>3706</v>
      </c>
      <c r="H208" s="43" t="s">
        <v>237</v>
      </c>
      <c r="I208" s="42">
        <v>942560577</v>
      </c>
      <c r="J208" s="353" t="s">
        <v>1105</v>
      </c>
      <c r="K208" s="44">
        <v>46097</v>
      </c>
      <c r="L208" s="43" t="s">
        <v>1156</v>
      </c>
      <c r="M208" s="43" t="s">
        <v>230</v>
      </c>
      <c r="N208" s="224" t="s">
        <v>3487</v>
      </c>
      <c r="O208" s="155">
        <v>46101</v>
      </c>
      <c r="P208" s="224" t="s">
        <v>3221</v>
      </c>
      <c r="Q208" s="91"/>
      <c r="R208" s="91"/>
      <c r="S208" s="91"/>
      <c r="T208" s="91"/>
      <c r="U208" s="91"/>
      <c r="V208" s="91"/>
      <c r="W208" s="91"/>
      <c r="X208" s="91"/>
      <c r="Y208" s="91"/>
      <c r="Z208" s="91"/>
      <c r="AA208" s="91"/>
      <c r="AB208" s="91"/>
      <c r="AC208" s="91"/>
      <c r="AD208" s="91"/>
      <c r="AE208" s="91"/>
      <c r="AF208" s="91"/>
      <c r="AG208" s="91"/>
      <c r="AH208" s="91"/>
      <c r="AI208" s="91"/>
    </row>
    <row r="209" spans="1:35">
      <c r="A209" s="206"/>
      <c r="B209" s="156">
        <v>207</v>
      </c>
      <c r="C209" s="43">
        <v>524003</v>
      </c>
      <c r="D209" s="43" t="s">
        <v>3707</v>
      </c>
      <c r="E209" s="156" t="s">
        <v>3708</v>
      </c>
      <c r="F209" s="43">
        <v>66</v>
      </c>
      <c r="G209" s="43" t="s">
        <v>3709</v>
      </c>
      <c r="H209" s="43" t="s">
        <v>246</v>
      </c>
      <c r="I209" s="42" t="s">
        <v>3710</v>
      </c>
      <c r="J209" s="353" t="s">
        <v>3202</v>
      </c>
      <c r="K209" s="44">
        <v>46097</v>
      </c>
      <c r="L209" s="43" t="s">
        <v>747</v>
      </c>
      <c r="M209" s="43" t="s">
        <v>230</v>
      </c>
      <c r="N209" s="224" t="s">
        <v>317</v>
      </c>
      <c r="O209" s="152">
        <v>46101</v>
      </c>
      <c r="P209" s="732" t="s">
        <v>3203</v>
      </c>
      <c r="Q209" s="91"/>
      <c r="R209" s="91"/>
      <c r="S209" s="91"/>
      <c r="T209" s="91"/>
      <c r="U209" s="91"/>
      <c r="V209" s="91"/>
      <c r="W209" s="91"/>
      <c r="X209" s="91"/>
      <c r="Y209" s="91"/>
      <c r="Z209" s="91"/>
      <c r="AA209" s="91"/>
      <c r="AB209" s="91"/>
      <c r="AC209" s="91"/>
      <c r="AD209" s="91"/>
      <c r="AE209" s="91"/>
      <c r="AF209" s="91"/>
      <c r="AG209" s="91"/>
      <c r="AH209" s="91"/>
      <c r="AI209" s="91"/>
    </row>
    <row r="210" spans="1:35" ht="15" customHeight="1">
      <c r="A210" s="43"/>
      <c r="B210" s="156">
        <v>208</v>
      </c>
      <c r="C210" s="43">
        <v>222472</v>
      </c>
      <c r="D210" s="43">
        <v>15724888</v>
      </c>
      <c r="E210" s="156" t="s">
        <v>3711</v>
      </c>
      <c r="F210" s="43">
        <v>56</v>
      </c>
      <c r="G210" s="43" t="s">
        <v>3712</v>
      </c>
      <c r="H210" s="43" t="s">
        <v>222</v>
      </c>
      <c r="I210" s="42">
        <v>965654180</v>
      </c>
      <c r="J210" s="353" t="s">
        <v>746</v>
      </c>
      <c r="K210" s="44">
        <v>46097</v>
      </c>
      <c r="L210" s="43" t="s">
        <v>1156</v>
      </c>
      <c r="M210" s="43" t="s">
        <v>260</v>
      </c>
      <c r="N210" s="224" t="s">
        <v>3487</v>
      </c>
      <c r="O210" s="155">
        <v>46101</v>
      </c>
      <c r="P210" s="224" t="s">
        <v>3421</v>
      </c>
      <c r="Q210" s="91"/>
      <c r="R210" s="91"/>
      <c r="S210" s="91"/>
      <c r="T210" s="91"/>
      <c r="U210" s="91"/>
      <c r="V210" s="91"/>
      <c r="W210" s="91"/>
      <c r="X210" s="91"/>
      <c r="Y210" s="91"/>
      <c r="Z210" s="91"/>
      <c r="AA210" s="91"/>
      <c r="AB210" s="91"/>
      <c r="AC210" s="91"/>
      <c r="AD210" s="91"/>
      <c r="AE210" s="91"/>
      <c r="AF210" s="91"/>
      <c r="AG210" s="91"/>
      <c r="AH210" s="91"/>
      <c r="AI210" s="91"/>
    </row>
    <row r="211" spans="1:35">
      <c r="A211" s="43"/>
      <c r="B211" s="156">
        <v>209</v>
      </c>
      <c r="C211" s="43">
        <v>228523</v>
      </c>
      <c r="D211" s="43">
        <v>42502057</v>
      </c>
      <c r="E211" s="156" t="s">
        <v>3713</v>
      </c>
      <c r="F211" s="43">
        <v>42</v>
      </c>
      <c r="G211" s="43" t="s">
        <v>3714</v>
      </c>
      <c r="H211" s="43" t="s">
        <v>288</v>
      </c>
      <c r="I211" s="42">
        <v>912891665</v>
      </c>
      <c r="J211" s="353" t="s">
        <v>289</v>
      </c>
      <c r="K211" s="44">
        <v>46097</v>
      </c>
      <c r="L211" s="43" t="s">
        <v>2164</v>
      </c>
      <c r="M211" s="43" t="s">
        <v>260</v>
      </c>
      <c r="N211" s="224" t="s">
        <v>3487</v>
      </c>
      <c r="O211" s="155">
        <v>46105</v>
      </c>
      <c r="P211" s="428" t="s">
        <v>3409</v>
      </c>
      <c r="Q211" s="91"/>
      <c r="R211" s="91"/>
      <c r="S211" s="91"/>
      <c r="T211" s="91"/>
      <c r="U211" s="91"/>
      <c r="V211" s="91"/>
      <c r="W211" s="91"/>
      <c r="X211" s="91"/>
      <c r="Y211" s="91"/>
      <c r="Z211" s="91"/>
      <c r="AA211" s="91"/>
      <c r="AB211" s="91"/>
      <c r="AC211" s="91"/>
      <c r="AD211" s="91"/>
      <c r="AE211" s="91"/>
      <c r="AF211" s="91"/>
      <c r="AG211" s="91"/>
      <c r="AH211" s="91"/>
      <c r="AI211" s="91"/>
    </row>
    <row r="212" spans="1:35" ht="15" customHeight="1">
      <c r="A212" s="43"/>
      <c r="B212" s="156">
        <v>210</v>
      </c>
      <c r="C212" s="43">
        <v>524005</v>
      </c>
      <c r="D212" s="46">
        <v>41945039</v>
      </c>
      <c r="E212" s="65" t="s">
        <v>3715</v>
      </c>
      <c r="F212" s="46">
        <v>42</v>
      </c>
      <c r="G212" s="46" t="s">
        <v>3716</v>
      </c>
      <c r="H212" s="43" t="s">
        <v>461</v>
      </c>
      <c r="I212" s="124">
        <v>981587137</v>
      </c>
      <c r="J212" s="353" t="s">
        <v>162</v>
      </c>
      <c r="K212" s="44">
        <v>46097</v>
      </c>
      <c r="L212" s="43" t="s">
        <v>1156</v>
      </c>
      <c r="M212" s="43" t="s">
        <v>230</v>
      </c>
      <c r="N212" s="428" t="s">
        <v>3487</v>
      </c>
      <c r="O212" s="152">
        <v>46098</v>
      </c>
      <c r="P212" s="51" t="s">
        <v>3559</v>
      </c>
      <c r="Q212" s="877" t="s">
        <v>358</v>
      </c>
      <c r="R212" s="837"/>
      <c r="S212" s="837"/>
      <c r="T212" s="837"/>
      <c r="U212" s="837"/>
      <c r="V212" s="837"/>
      <c r="W212" s="837"/>
      <c r="X212" s="837"/>
      <c r="Y212" s="837"/>
      <c r="Z212" s="837"/>
      <c r="AA212" s="837"/>
      <c r="AB212" s="837"/>
      <c r="AC212" s="837"/>
      <c r="AD212" s="837"/>
      <c r="AE212" s="837"/>
      <c r="AF212" s="837"/>
      <c r="AG212" s="837"/>
      <c r="AH212" s="837"/>
      <c r="AI212" s="837"/>
    </row>
    <row r="213" spans="1:35" ht="15" customHeight="1">
      <c r="A213" s="43"/>
      <c r="B213" s="156">
        <v>211</v>
      </c>
      <c r="C213" s="43">
        <v>524008</v>
      </c>
      <c r="D213" s="46" t="s">
        <v>3717</v>
      </c>
      <c r="E213" s="65" t="s">
        <v>3718</v>
      </c>
      <c r="F213" s="46">
        <v>60</v>
      </c>
      <c r="G213" s="46" t="s">
        <v>3719</v>
      </c>
      <c r="H213" s="43" t="s">
        <v>461</v>
      </c>
      <c r="I213" s="122">
        <v>925453542</v>
      </c>
      <c r="J213" s="353" t="s">
        <v>162</v>
      </c>
      <c r="K213" s="44">
        <v>46097</v>
      </c>
      <c r="L213" s="43" t="s">
        <v>2164</v>
      </c>
      <c r="M213" s="43" t="s">
        <v>312</v>
      </c>
      <c r="N213" s="428" t="s">
        <v>3487</v>
      </c>
      <c r="O213" s="152">
        <v>46098</v>
      </c>
      <c r="P213" s="51" t="s">
        <v>3559</v>
      </c>
      <c r="Q213" s="875" t="s">
        <v>358</v>
      </c>
      <c r="R213" s="838"/>
      <c r="S213" s="838"/>
      <c r="T213" s="838"/>
      <c r="U213" s="838"/>
      <c r="V213" s="838"/>
      <c r="W213" s="838"/>
      <c r="X213" s="838"/>
      <c r="Y213" s="838"/>
      <c r="Z213" s="838"/>
      <c r="AA213" s="838"/>
      <c r="AB213" s="838"/>
      <c r="AC213" s="838"/>
      <c r="AD213" s="838"/>
      <c r="AE213" s="838"/>
      <c r="AF213" s="838"/>
      <c r="AG213" s="838"/>
      <c r="AH213" s="838"/>
      <c r="AI213" s="838"/>
    </row>
    <row r="214" spans="1:35">
      <c r="A214" s="262" t="s">
        <v>513</v>
      </c>
      <c r="B214" s="156">
        <v>212</v>
      </c>
      <c r="C214" s="43">
        <v>305809</v>
      </c>
      <c r="D214" s="43">
        <v>42406897</v>
      </c>
      <c r="E214" s="156" t="s">
        <v>3720</v>
      </c>
      <c r="F214" s="43">
        <v>41</v>
      </c>
      <c r="G214" s="43" t="s">
        <v>3721</v>
      </c>
      <c r="H214" s="43" t="s">
        <v>1735</v>
      </c>
      <c r="I214" s="42">
        <v>983289769</v>
      </c>
      <c r="J214" s="353" t="s">
        <v>1364</v>
      </c>
      <c r="K214" s="44">
        <v>46097</v>
      </c>
      <c r="L214" s="883" t="s">
        <v>1156</v>
      </c>
      <c r="M214" s="43" t="s">
        <v>230</v>
      </c>
      <c r="N214" s="224" t="s">
        <v>241</v>
      </c>
      <c r="O214" s="425">
        <v>46101</v>
      </c>
      <c r="P214" s="860" t="s">
        <v>3722</v>
      </c>
      <c r="Q214" s="91"/>
      <c r="R214" s="91"/>
      <c r="S214" s="91"/>
      <c r="T214" s="91"/>
      <c r="U214" s="91"/>
      <c r="V214" s="91"/>
      <c r="W214" s="91"/>
      <c r="X214" s="91"/>
      <c r="Y214" s="91"/>
      <c r="Z214" s="91"/>
      <c r="AA214" s="91"/>
      <c r="AB214" s="91"/>
      <c r="AC214" s="91"/>
      <c r="AD214" s="91"/>
      <c r="AE214" s="91"/>
      <c r="AF214" s="91"/>
      <c r="AG214" s="91"/>
      <c r="AH214" s="91"/>
      <c r="AI214" s="91"/>
    </row>
    <row r="215" spans="1:35">
      <c r="A215" s="206"/>
      <c r="B215" s="156">
        <v>213</v>
      </c>
      <c r="C215" s="43">
        <v>419035</v>
      </c>
      <c r="D215" s="43">
        <v>48339137</v>
      </c>
      <c r="E215" s="156" t="s">
        <v>3723</v>
      </c>
      <c r="F215" s="43">
        <v>43</v>
      </c>
      <c r="G215" s="43" t="s">
        <v>3724</v>
      </c>
      <c r="H215" s="43" t="s">
        <v>3725</v>
      </c>
      <c r="I215" s="42" t="s">
        <v>3726</v>
      </c>
      <c r="J215" s="353" t="s">
        <v>1364</v>
      </c>
      <c r="K215" s="44">
        <v>46097</v>
      </c>
      <c r="L215" s="43" t="s">
        <v>2164</v>
      </c>
      <c r="M215" s="43" t="s">
        <v>260</v>
      </c>
      <c r="N215" s="224" t="s">
        <v>241</v>
      </c>
      <c r="O215" s="425">
        <v>46101</v>
      </c>
      <c r="P215" s="860" t="s">
        <v>3722</v>
      </c>
      <c r="Q215" s="91"/>
      <c r="R215" s="91"/>
      <c r="S215" s="91"/>
      <c r="T215" s="91"/>
      <c r="U215" s="91"/>
      <c r="V215" s="91"/>
      <c r="W215" s="91"/>
      <c r="X215" s="91"/>
      <c r="Y215" s="91"/>
      <c r="Z215" s="91"/>
      <c r="AA215" s="91"/>
      <c r="AB215" s="91"/>
      <c r="AC215" s="91"/>
      <c r="AD215" s="91"/>
      <c r="AE215" s="91"/>
      <c r="AF215" s="91"/>
      <c r="AG215" s="91"/>
      <c r="AH215" s="91"/>
      <c r="AI215" s="91"/>
    </row>
    <row r="216" spans="1:35" ht="37.5" customHeight="1">
      <c r="A216" s="206"/>
      <c r="B216" s="156">
        <v>214</v>
      </c>
      <c r="C216" s="43">
        <v>63771</v>
      </c>
      <c r="D216" s="43">
        <v>15648129</v>
      </c>
      <c r="E216" s="156" t="s">
        <v>3727</v>
      </c>
      <c r="F216" s="43">
        <v>66</v>
      </c>
      <c r="G216" s="43" t="s">
        <v>3728</v>
      </c>
      <c r="H216" s="43" t="s">
        <v>278</v>
      </c>
      <c r="I216" s="42">
        <v>958472799</v>
      </c>
      <c r="J216" s="353" t="s">
        <v>283</v>
      </c>
      <c r="K216" s="44">
        <v>46097</v>
      </c>
      <c r="L216" s="43" t="s">
        <v>3729</v>
      </c>
      <c r="M216" s="43" t="s">
        <v>260</v>
      </c>
      <c r="N216" s="224" t="s">
        <v>601</v>
      </c>
      <c r="O216" s="425">
        <v>46101</v>
      </c>
      <c r="P216" s="860" t="s">
        <v>3730</v>
      </c>
      <c r="Q216" s="91"/>
      <c r="R216" s="91"/>
      <c r="S216" s="91"/>
      <c r="T216" s="91"/>
      <c r="U216" s="91"/>
      <c r="V216" s="91"/>
      <c r="W216" s="91"/>
      <c r="X216" s="91"/>
      <c r="Y216" s="91"/>
      <c r="Z216" s="91"/>
      <c r="AA216" s="91"/>
      <c r="AB216" s="91"/>
      <c r="AC216" s="91"/>
      <c r="AD216" s="91"/>
      <c r="AE216" s="91"/>
      <c r="AF216" s="91"/>
      <c r="AG216" s="91"/>
      <c r="AH216" s="91"/>
      <c r="AI216" s="91"/>
    </row>
    <row r="217" spans="1:35">
      <c r="A217" s="206"/>
      <c r="B217" s="156">
        <v>215</v>
      </c>
      <c r="C217" s="43">
        <v>287979</v>
      </c>
      <c r="D217" s="43">
        <v>80063948</v>
      </c>
      <c r="E217" s="156" t="s">
        <v>3731</v>
      </c>
      <c r="F217" s="43">
        <v>48</v>
      </c>
      <c r="G217" s="43" t="s">
        <v>3732</v>
      </c>
      <c r="H217" s="43" t="s">
        <v>222</v>
      </c>
      <c r="I217" s="42">
        <v>938489983</v>
      </c>
      <c r="J217" s="353" t="s">
        <v>223</v>
      </c>
      <c r="K217" s="44">
        <v>46097</v>
      </c>
      <c r="L217" s="883" t="s">
        <v>1040</v>
      </c>
      <c r="M217" s="43" t="s">
        <v>230</v>
      </c>
      <c r="N217" s="224" t="s">
        <v>317</v>
      </c>
      <c r="O217" s="425">
        <v>46104</v>
      </c>
      <c r="P217" s="860" t="s">
        <v>3488</v>
      </c>
      <c r="Q217" s="91"/>
      <c r="R217" s="91"/>
      <c r="S217" s="91"/>
      <c r="T217" s="91"/>
      <c r="U217" s="91"/>
      <c r="V217" s="91"/>
      <c r="W217" s="91"/>
      <c r="X217" s="91"/>
      <c r="Y217" s="91"/>
      <c r="Z217" s="91"/>
      <c r="AA217" s="91"/>
      <c r="AB217" s="91"/>
      <c r="AC217" s="91"/>
      <c r="AD217" s="91"/>
      <c r="AE217" s="91"/>
      <c r="AF217" s="91"/>
      <c r="AG217" s="91"/>
      <c r="AH217" s="91"/>
      <c r="AI217" s="91"/>
    </row>
    <row r="218" spans="1:35" ht="37.5" customHeight="1">
      <c r="A218" s="206"/>
      <c r="B218" s="156">
        <v>216</v>
      </c>
      <c r="C218" s="43">
        <v>201607</v>
      </c>
      <c r="D218" s="43">
        <v>41131124</v>
      </c>
      <c r="E218" s="156" t="s">
        <v>3733</v>
      </c>
      <c r="F218" s="43">
        <v>44</v>
      </c>
      <c r="G218" s="43" t="s">
        <v>3734</v>
      </c>
      <c r="H218" s="43" t="s">
        <v>278</v>
      </c>
      <c r="I218" s="42">
        <v>986428362</v>
      </c>
      <c r="J218" s="353" t="s">
        <v>238</v>
      </c>
      <c r="K218" s="44">
        <v>46097</v>
      </c>
      <c r="L218" s="43" t="s">
        <v>3479</v>
      </c>
      <c r="M218" s="43" t="s">
        <v>230</v>
      </c>
      <c r="N218" s="224" t="s">
        <v>601</v>
      </c>
      <c r="O218" s="425">
        <v>46100</v>
      </c>
      <c r="P218" s="860"/>
      <c r="Q218" s="91"/>
      <c r="R218" s="91"/>
      <c r="S218" s="91"/>
      <c r="T218" s="91"/>
      <c r="U218" s="91"/>
      <c r="V218" s="91"/>
      <c r="W218" s="91"/>
      <c r="X218" s="91"/>
      <c r="Y218" s="91"/>
      <c r="Z218" s="91"/>
      <c r="AA218" s="91"/>
      <c r="AB218" s="91"/>
      <c r="AC218" s="91"/>
      <c r="AD218" s="91"/>
      <c r="AE218" s="91"/>
      <c r="AF218" s="91"/>
      <c r="AG218" s="91"/>
      <c r="AH218" s="91"/>
      <c r="AI218" s="91"/>
    </row>
    <row r="219" spans="1:35" ht="37.5" customHeight="1">
      <c r="A219" s="206"/>
      <c r="B219" s="156">
        <v>217</v>
      </c>
      <c r="C219" s="43">
        <v>295943</v>
      </c>
      <c r="D219" s="43">
        <v>41987973</v>
      </c>
      <c r="E219" s="156" t="s">
        <v>3735</v>
      </c>
      <c r="F219" s="43">
        <v>49</v>
      </c>
      <c r="G219" s="43" t="s">
        <v>3736</v>
      </c>
      <c r="H219" s="43" t="s">
        <v>1735</v>
      </c>
      <c r="I219" s="42">
        <v>982266876</v>
      </c>
      <c r="J219" s="353" t="s">
        <v>1364</v>
      </c>
      <c r="K219" s="44">
        <v>46097</v>
      </c>
      <c r="L219" s="43" t="s">
        <v>1098</v>
      </c>
      <c r="M219" s="43" t="s">
        <v>230</v>
      </c>
      <c r="N219" s="224" t="s">
        <v>601</v>
      </c>
      <c r="O219" s="425">
        <v>46101</v>
      </c>
      <c r="P219" s="860" t="s">
        <v>3722</v>
      </c>
      <c r="Q219" s="91"/>
      <c r="R219" s="91"/>
      <c r="S219" s="91"/>
      <c r="T219" s="91"/>
      <c r="U219" s="91"/>
      <c r="V219" s="91"/>
      <c r="W219" s="91"/>
      <c r="X219" s="91"/>
      <c r="Y219" s="91"/>
      <c r="Z219" s="91"/>
      <c r="AA219" s="91"/>
      <c r="AB219" s="91"/>
      <c r="AC219" s="91"/>
      <c r="AD219" s="91"/>
      <c r="AE219" s="91"/>
      <c r="AF219" s="91"/>
      <c r="AG219" s="91"/>
      <c r="AH219" s="91"/>
      <c r="AI219" s="91"/>
    </row>
    <row r="220" spans="1:35" ht="37.5" customHeight="1">
      <c r="A220" s="206"/>
      <c r="B220" s="156">
        <v>218</v>
      </c>
      <c r="C220" s="43">
        <v>256927</v>
      </c>
      <c r="D220" s="43">
        <v>31939366</v>
      </c>
      <c r="E220" s="156" t="s">
        <v>3737</v>
      </c>
      <c r="F220" s="43">
        <v>56</v>
      </c>
      <c r="G220" s="43" t="s">
        <v>3738</v>
      </c>
      <c r="H220" s="43" t="s">
        <v>237</v>
      </c>
      <c r="I220" s="140">
        <v>945375726</v>
      </c>
      <c r="J220" s="353" t="s">
        <v>223</v>
      </c>
      <c r="K220" s="44">
        <v>46097</v>
      </c>
      <c r="L220" s="43" t="s">
        <v>3739</v>
      </c>
      <c r="M220" s="883" t="s">
        <v>3122</v>
      </c>
      <c r="N220" s="224" t="s">
        <v>601</v>
      </c>
      <c r="O220" s="425">
        <v>46104</v>
      </c>
      <c r="P220" s="871" t="s">
        <v>3488</v>
      </c>
      <c r="Q220" s="91"/>
      <c r="R220" s="91"/>
      <c r="S220" s="91"/>
      <c r="T220" s="91"/>
      <c r="U220" s="91"/>
      <c r="V220" s="91"/>
      <c r="W220" s="91"/>
      <c r="X220" s="91"/>
      <c r="Y220" s="91"/>
      <c r="Z220" s="91"/>
      <c r="AA220" s="91"/>
      <c r="AB220" s="91"/>
      <c r="AC220" s="91"/>
      <c r="AD220" s="91"/>
      <c r="AE220" s="91"/>
      <c r="AF220" s="91"/>
      <c r="AG220" s="91"/>
      <c r="AH220" s="91"/>
      <c r="AI220" s="91"/>
    </row>
    <row r="221" spans="1:35">
      <c r="A221" s="206"/>
      <c r="B221" s="156">
        <v>219</v>
      </c>
      <c r="C221" s="43">
        <v>415371</v>
      </c>
      <c r="D221" s="43">
        <v>15685627</v>
      </c>
      <c r="E221" s="156" t="s">
        <v>3740</v>
      </c>
      <c r="F221" s="43">
        <v>60</v>
      </c>
      <c r="G221" s="43" t="s">
        <v>3741</v>
      </c>
      <c r="H221" s="43" t="s">
        <v>237</v>
      </c>
      <c r="I221" s="42">
        <v>975248533</v>
      </c>
      <c r="J221" s="353" t="s">
        <v>238</v>
      </c>
      <c r="K221" s="44">
        <v>46097</v>
      </c>
      <c r="L221" s="884" t="s">
        <v>3742</v>
      </c>
      <c r="M221" s="306" t="s">
        <v>3104</v>
      </c>
      <c r="N221" s="224" t="s">
        <v>241</v>
      </c>
      <c r="O221" s="425">
        <v>46100</v>
      </c>
      <c r="P221" s="860"/>
      <c r="Q221" s="900" t="s">
        <v>3363</v>
      </c>
      <c r="R221" s="91"/>
      <c r="S221" s="91"/>
      <c r="T221" s="91"/>
      <c r="U221" s="91"/>
      <c r="V221" s="91"/>
      <c r="W221" s="91"/>
      <c r="X221" s="91"/>
      <c r="Y221" s="91"/>
      <c r="Z221" s="91"/>
      <c r="AA221" s="91"/>
      <c r="AB221" s="91"/>
      <c r="AC221" s="91"/>
      <c r="AD221" s="91"/>
      <c r="AE221" s="91"/>
      <c r="AF221" s="91"/>
      <c r="AG221" s="91"/>
      <c r="AH221" s="91"/>
      <c r="AI221" s="91"/>
    </row>
    <row r="222" spans="1:35">
      <c r="A222" s="206"/>
      <c r="B222" s="156">
        <v>220</v>
      </c>
      <c r="C222" s="43">
        <v>176631</v>
      </c>
      <c r="D222" s="43">
        <v>40360055</v>
      </c>
      <c r="E222" s="156" t="s">
        <v>3743</v>
      </c>
      <c r="F222" s="43">
        <v>47</v>
      </c>
      <c r="G222" s="43" t="s">
        <v>3744</v>
      </c>
      <c r="H222" s="43" t="s">
        <v>237</v>
      </c>
      <c r="I222" s="42">
        <v>922924733</v>
      </c>
      <c r="J222" s="353" t="s">
        <v>238</v>
      </c>
      <c r="K222" s="44">
        <v>46097</v>
      </c>
      <c r="L222" s="43" t="s">
        <v>376</v>
      </c>
      <c r="M222" s="43" t="s">
        <v>230</v>
      </c>
      <c r="N222" s="224" t="s">
        <v>317</v>
      </c>
      <c r="O222" s="425">
        <v>46100</v>
      </c>
      <c r="P222" s="860"/>
      <c r="Q222" s="900" t="s">
        <v>3363</v>
      </c>
      <c r="R222" s="91"/>
      <c r="S222" s="91"/>
      <c r="T222" s="91"/>
      <c r="U222" s="91"/>
      <c r="V222" s="91"/>
      <c r="W222" s="91"/>
      <c r="X222" s="91"/>
      <c r="Y222" s="91"/>
      <c r="Z222" s="91"/>
      <c r="AA222" s="91"/>
      <c r="AB222" s="91"/>
      <c r="AC222" s="91"/>
      <c r="AD222" s="91"/>
      <c r="AE222" s="91"/>
      <c r="AF222" s="91"/>
      <c r="AG222" s="91"/>
      <c r="AH222" s="91"/>
      <c r="AI222" s="91"/>
    </row>
    <row r="223" spans="1:35">
      <c r="A223" s="206"/>
      <c r="B223" s="156">
        <v>221</v>
      </c>
      <c r="C223" s="43">
        <v>322131</v>
      </c>
      <c r="D223" s="43">
        <v>15758545</v>
      </c>
      <c r="E223" s="156" t="s">
        <v>3745</v>
      </c>
      <c r="F223" s="43">
        <v>49</v>
      </c>
      <c r="G223" s="43" t="s">
        <v>3746</v>
      </c>
      <c r="H223" s="43" t="s">
        <v>222</v>
      </c>
      <c r="I223" s="42" t="s">
        <v>3747</v>
      </c>
      <c r="J223" s="353" t="s">
        <v>238</v>
      </c>
      <c r="K223" s="44">
        <v>46097</v>
      </c>
      <c r="L223" s="43" t="s">
        <v>388</v>
      </c>
      <c r="M223" s="43" t="s">
        <v>230</v>
      </c>
      <c r="N223" s="224" t="s">
        <v>241</v>
      </c>
      <c r="O223" s="425">
        <v>46100</v>
      </c>
      <c r="P223" s="860"/>
      <c r="Q223" s="900" t="s">
        <v>3363</v>
      </c>
      <c r="R223" s="91"/>
      <c r="S223" s="91"/>
      <c r="T223" s="91"/>
      <c r="U223" s="91"/>
      <c r="V223" s="91"/>
      <c r="W223" s="91"/>
      <c r="X223" s="91"/>
      <c r="Y223" s="91"/>
      <c r="Z223" s="91"/>
      <c r="AA223" s="91"/>
      <c r="AB223" s="91"/>
      <c r="AC223" s="91"/>
      <c r="AD223" s="91"/>
      <c r="AE223" s="91"/>
      <c r="AF223" s="91"/>
      <c r="AG223" s="91"/>
      <c r="AH223" s="91"/>
      <c r="AI223" s="91"/>
    </row>
    <row r="224" spans="1:35">
      <c r="A224" s="206"/>
      <c r="B224" s="156">
        <v>222</v>
      </c>
      <c r="C224" s="43">
        <v>312249</v>
      </c>
      <c r="D224" s="43">
        <v>40270290</v>
      </c>
      <c r="E224" s="156" t="s">
        <v>3748</v>
      </c>
      <c r="F224" s="43">
        <v>47</v>
      </c>
      <c r="G224" s="43" t="s">
        <v>3749</v>
      </c>
      <c r="H224" s="43" t="s">
        <v>222</v>
      </c>
      <c r="I224" s="42">
        <v>953578916</v>
      </c>
      <c r="J224" s="353" t="s">
        <v>238</v>
      </c>
      <c r="K224" s="44">
        <v>46097</v>
      </c>
      <c r="L224" s="43" t="s">
        <v>388</v>
      </c>
      <c r="M224" s="43" t="s">
        <v>230</v>
      </c>
      <c r="N224" s="224" t="s">
        <v>241</v>
      </c>
      <c r="O224" s="425">
        <v>46100</v>
      </c>
      <c r="P224" s="860"/>
      <c r="Q224" s="91"/>
      <c r="R224" s="91"/>
      <c r="S224" s="91"/>
      <c r="T224" s="91"/>
      <c r="U224" s="91"/>
      <c r="V224" s="91"/>
      <c r="W224" s="91"/>
      <c r="X224" s="91"/>
      <c r="Y224" s="91"/>
      <c r="Z224" s="91"/>
      <c r="AA224" s="91"/>
      <c r="AB224" s="91"/>
      <c r="AC224" s="91"/>
      <c r="AD224" s="91"/>
      <c r="AE224" s="91"/>
      <c r="AF224" s="91"/>
      <c r="AG224" s="91"/>
      <c r="AH224" s="91"/>
      <c r="AI224" s="91"/>
    </row>
    <row r="225" spans="1:35">
      <c r="A225" s="206"/>
      <c r="B225" s="156">
        <v>223</v>
      </c>
      <c r="C225" s="43">
        <v>1946</v>
      </c>
      <c r="D225" s="43">
        <v>15648009</v>
      </c>
      <c r="E225" s="156" t="s">
        <v>263</v>
      </c>
      <c r="F225" s="43">
        <v>56</v>
      </c>
      <c r="G225" s="43" t="s">
        <v>264</v>
      </c>
      <c r="H225" s="43" t="s">
        <v>222</v>
      </c>
      <c r="I225" s="140">
        <v>945564882</v>
      </c>
      <c r="J225" s="353" t="s">
        <v>238</v>
      </c>
      <c r="K225" s="44">
        <v>46097</v>
      </c>
      <c r="L225" s="43" t="s">
        <v>265</v>
      </c>
      <c r="M225" s="267" t="s">
        <v>266</v>
      </c>
      <c r="N225" s="224" t="s">
        <v>267</v>
      </c>
      <c r="O225" s="425">
        <v>46101</v>
      </c>
      <c r="P225" s="91"/>
      <c r="Q225" s="839" t="s">
        <v>2759</v>
      </c>
      <c r="R225" s="839"/>
      <c r="S225" s="839"/>
      <c r="T225" s="839"/>
      <c r="U225" s="839"/>
      <c r="V225" s="839"/>
      <c r="W225" s="839"/>
      <c r="X225" s="839"/>
      <c r="Y225" s="839"/>
      <c r="Z225" s="839"/>
      <c r="AA225" s="839"/>
      <c r="AB225" s="839"/>
      <c r="AC225" s="839"/>
      <c r="AD225" s="839"/>
      <c r="AE225" s="839"/>
      <c r="AF225" s="839"/>
      <c r="AG225" s="839"/>
      <c r="AH225" s="839"/>
      <c r="AI225" s="839"/>
    </row>
    <row r="226" spans="1:35" ht="37.5" customHeight="1">
      <c r="A226" s="206"/>
      <c r="B226" s="156">
        <v>224</v>
      </c>
      <c r="C226" s="43">
        <v>524020</v>
      </c>
      <c r="D226" s="43">
        <v>15718903</v>
      </c>
      <c r="E226" s="156" t="s">
        <v>3750</v>
      </c>
      <c r="F226" s="43">
        <v>59</v>
      </c>
      <c r="G226" s="43" t="s">
        <v>3751</v>
      </c>
      <c r="H226" s="43" t="s">
        <v>1764</v>
      </c>
      <c r="I226" s="140">
        <v>925927913</v>
      </c>
      <c r="J226" s="353" t="s">
        <v>238</v>
      </c>
      <c r="K226" s="44">
        <v>46097</v>
      </c>
      <c r="L226" s="43" t="s">
        <v>3305</v>
      </c>
      <c r="M226" s="267" t="s">
        <v>323</v>
      </c>
      <c r="N226" s="854" t="s">
        <v>3752</v>
      </c>
      <c r="O226" s="425">
        <v>46101</v>
      </c>
      <c r="P226" s="871"/>
      <c r="Q226" s="91"/>
      <c r="R226" s="91"/>
      <c r="S226" s="91"/>
      <c r="T226" s="91"/>
      <c r="U226" s="91"/>
      <c r="V226" s="91"/>
      <c r="W226" s="91"/>
      <c r="X226" s="91"/>
      <c r="Y226" s="91"/>
      <c r="Z226" s="91"/>
      <c r="AA226" s="91"/>
      <c r="AB226" s="91"/>
      <c r="AC226" s="91"/>
      <c r="AD226" s="91"/>
      <c r="AE226" s="91"/>
      <c r="AF226" s="91"/>
      <c r="AG226" s="91"/>
      <c r="AH226" s="91"/>
      <c r="AI226" s="91"/>
    </row>
    <row r="227" spans="1:35">
      <c r="A227" s="206"/>
      <c r="B227" s="156">
        <v>225</v>
      </c>
      <c r="C227" s="43">
        <v>192402</v>
      </c>
      <c r="D227" s="43">
        <v>41935123</v>
      </c>
      <c r="E227" s="156" t="s">
        <v>3753</v>
      </c>
      <c r="F227" s="43">
        <v>42</v>
      </c>
      <c r="G227" s="43" t="s">
        <v>3754</v>
      </c>
      <c r="H227" s="43" t="s">
        <v>326</v>
      </c>
      <c r="I227" s="42">
        <v>999123626</v>
      </c>
      <c r="J227" s="353" t="s">
        <v>238</v>
      </c>
      <c r="K227" s="44">
        <v>46097</v>
      </c>
      <c r="L227" s="43" t="s">
        <v>376</v>
      </c>
      <c r="M227" s="43" t="s">
        <v>230</v>
      </c>
      <c r="N227" s="224" t="s">
        <v>317</v>
      </c>
      <c r="O227" s="425">
        <v>46101</v>
      </c>
      <c r="P227" s="860"/>
      <c r="Q227" s="91"/>
      <c r="R227" s="91"/>
      <c r="S227" s="91"/>
      <c r="T227" s="91"/>
      <c r="U227" s="91"/>
      <c r="V227" s="91"/>
      <c r="W227" s="91"/>
      <c r="X227" s="91"/>
      <c r="Y227" s="91"/>
      <c r="Z227" s="91"/>
      <c r="AA227" s="91"/>
      <c r="AB227" s="91"/>
      <c r="AC227" s="91"/>
      <c r="AD227" s="91"/>
      <c r="AE227" s="91"/>
      <c r="AF227" s="91"/>
      <c r="AG227" s="91"/>
      <c r="AH227" s="91"/>
      <c r="AI227" s="91"/>
    </row>
    <row r="228" spans="1:35" ht="37.5" customHeight="1">
      <c r="A228" s="263">
        <v>46098</v>
      </c>
      <c r="B228" s="156">
        <v>226</v>
      </c>
      <c r="C228" s="43">
        <v>236047</v>
      </c>
      <c r="D228" s="264">
        <v>42484881</v>
      </c>
      <c r="E228" s="367" t="s">
        <v>3755</v>
      </c>
      <c r="F228" s="264">
        <v>42</v>
      </c>
      <c r="G228" s="43" t="s">
        <v>3756</v>
      </c>
      <c r="H228" s="43" t="s">
        <v>301</v>
      </c>
      <c r="I228" s="291">
        <v>959317354</v>
      </c>
      <c r="J228" s="353" t="s">
        <v>302</v>
      </c>
      <c r="K228" s="44">
        <v>46098</v>
      </c>
      <c r="L228" s="43" t="s">
        <v>1098</v>
      </c>
      <c r="M228" s="43" t="s">
        <v>230</v>
      </c>
      <c r="N228" s="224" t="s">
        <v>601</v>
      </c>
      <c r="O228" s="155">
        <v>46101</v>
      </c>
      <c r="P228" s="224" t="s">
        <v>3610</v>
      </c>
      <c r="Q228" s="91"/>
      <c r="R228" s="91"/>
      <c r="S228" s="91"/>
      <c r="T228" s="91"/>
      <c r="U228" s="91"/>
      <c r="V228" s="91"/>
      <c r="W228" s="91"/>
      <c r="X228" s="91"/>
      <c r="Y228" s="91"/>
      <c r="Z228" s="91"/>
      <c r="AA228" s="91"/>
      <c r="AB228" s="91"/>
      <c r="AC228" s="91"/>
      <c r="AD228" s="91"/>
      <c r="AE228" s="91"/>
      <c r="AF228" s="91"/>
      <c r="AG228" s="91"/>
      <c r="AH228" s="91"/>
      <c r="AI228" s="91"/>
    </row>
    <row r="229" spans="1:35" ht="37.5" customHeight="1">
      <c r="A229" s="43"/>
      <c r="B229" s="156">
        <v>227</v>
      </c>
      <c r="C229" s="43">
        <v>181302</v>
      </c>
      <c r="D229" s="264">
        <v>15732387</v>
      </c>
      <c r="E229" s="367" t="s">
        <v>3757</v>
      </c>
      <c r="F229" s="264">
        <v>53</v>
      </c>
      <c r="G229" s="43" t="s">
        <v>3758</v>
      </c>
      <c r="H229" s="43" t="s">
        <v>301</v>
      </c>
      <c r="I229" s="291">
        <v>962272810</v>
      </c>
      <c r="J229" s="353" t="s">
        <v>302</v>
      </c>
      <c r="K229" s="44">
        <v>46098</v>
      </c>
      <c r="L229" s="43" t="s">
        <v>1098</v>
      </c>
      <c r="M229" s="43" t="s">
        <v>230</v>
      </c>
      <c r="N229" s="224" t="s">
        <v>601</v>
      </c>
      <c r="O229" s="155">
        <v>46101</v>
      </c>
      <c r="P229" s="224" t="s">
        <v>3610</v>
      </c>
      <c r="Q229" s="91"/>
      <c r="R229" s="91"/>
      <c r="S229" s="91"/>
      <c r="T229" s="91"/>
      <c r="U229" s="91"/>
      <c r="V229" s="91"/>
      <c r="W229" s="91"/>
      <c r="X229" s="91"/>
      <c r="Y229" s="91"/>
      <c r="Z229" s="91"/>
      <c r="AA229" s="91"/>
      <c r="AB229" s="91"/>
      <c r="AC229" s="91"/>
      <c r="AD229" s="91"/>
      <c r="AE229" s="91"/>
      <c r="AF229" s="91"/>
      <c r="AG229" s="91"/>
      <c r="AH229" s="91"/>
      <c r="AI229" s="91"/>
    </row>
    <row r="230" spans="1:35" ht="37.5" customHeight="1">
      <c r="A230" s="43" t="s">
        <v>268</v>
      </c>
      <c r="B230" s="156">
        <v>228</v>
      </c>
      <c r="C230" s="43">
        <v>519669</v>
      </c>
      <c r="D230" s="43">
        <v>16016129</v>
      </c>
      <c r="E230" s="156" t="s">
        <v>269</v>
      </c>
      <c r="F230" s="43">
        <v>53</v>
      </c>
      <c r="G230" s="43" t="s">
        <v>270</v>
      </c>
      <c r="H230" s="43" t="s">
        <v>271</v>
      </c>
      <c r="I230" s="42">
        <v>978191427</v>
      </c>
      <c r="J230" s="353" t="s">
        <v>238</v>
      </c>
      <c r="K230" s="298">
        <v>46098</v>
      </c>
      <c r="L230" s="43" t="s">
        <v>272</v>
      </c>
      <c r="M230" s="267" t="s">
        <v>266</v>
      </c>
      <c r="N230" s="854" t="s">
        <v>273</v>
      </c>
      <c r="O230" s="152">
        <v>46101</v>
      </c>
      <c r="P230" s="150"/>
      <c r="Q230" s="91"/>
      <c r="R230" s="91"/>
      <c r="S230" s="91"/>
      <c r="T230" s="91"/>
      <c r="U230" s="91"/>
      <c r="V230" s="91"/>
      <c r="W230" s="91"/>
      <c r="X230" s="91"/>
      <c r="Y230" s="91"/>
      <c r="Z230" s="91"/>
      <c r="AA230" s="91"/>
      <c r="AB230" s="91"/>
      <c r="AC230" s="91"/>
      <c r="AD230" s="91"/>
      <c r="AE230" s="91"/>
      <c r="AF230" s="91"/>
      <c r="AG230" s="91"/>
      <c r="AH230" s="91"/>
      <c r="AI230" s="91"/>
    </row>
    <row r="231" spans="1:35">
      <c r="A231" s="43"/>
      <c r="B231" s="156">
        <v>229</v>
      </c>
      <c r="C231" s="43">
        <v>83387</v>
      </c>
      <c r="D231" s="264">
        <v>15731970</v>
      </c>
      <c r="E231" s="367" t="s">
        <v>3759</v>
      </c>
      <c r="F231" s="264">
        <v>54</v>
      </c>
      <c r="G231" s="43" t="s">
        <v>3760</v>
      </c>
      <c r="H231" s="43" t="s">
        <v>301</v>
      </c>
      <c r="I231" s="291">
        <v>924464921</v>
      </c>
      <c r="J231" s="353" t="s">
        <v>302</v>
      </c>
      <c r="K231" s="298">
        <v>46098</v>
      </c>
      <c r="L231" s="43" t="s">
        <v>376</v>
      </c>
      <c r="M231" s="43" t="s">
        <v>230</v>
      </c>
      <c r="N231" s="224" t="s">
        <v>317</v>
      </c>
      <c r="O231" s="155">
        <v>46101</v>
      </c>
      <c r="P231" s="224" t="s">
        <v>3610</v>
      </c>
      <c r="Q231" s="91"/>
      <c r="R231" s="91"/>
      <c r="S231" s="91"/>
      <c r="T231" s="91"/>
      <c r="U231" s="91"/>
      <c r="V231" s="91"/>
      <c r="W231" s="91"/>
      <c r="X231" s="91"/>
      <c r="Y231" s="91"/>
      <c r="Z231" s="91"/>
      <c r="AA231" s="91"/>
      <c r="AB231" s="91"/>
      <c r="AC231" s="91"/>
      <c r="AD231" s="91"/>
      <c r="AE231" s="91"/>
      <c r="AF231" s="91"/>
      <c r="AG231" s="91"/>
      <c r="AH231" s="91"/>
      <c r="AI231" s="91"/>
    </row>
    <row r="232" spans="1:35">
      <c r="A232" s="265"/>
      <c r="B232" s="156">
        <v>230</v>
      </c>
      <c r="C232" s="43">
        <v>524031</v>
      </c>
      <c r="D232" s="43">
        <v>43403178</v>
      </c>
      <c r="E232" s="156" t="s">
        <v>3761</v>
      </c>
      <c r="F232" s="43">
        <v>57</v>
      </c>
      <c r="G232" s="43" t="s">
        <v>3762</v>
      </c>
      <c r="H232" s="43" t="s">
        <v>911</v>
      </c>
      <c r="I232" s="42">
        <v>981718606</v>
      </c>
      <c r="J232" s="353" t="s">
        <v>421</v>
      </c>
      <c r="K232" s="44">
        <v>46098</v>
      </c>
      <c r="L232" s="43" t="s">
        <v>388</v>
      </c>
      <c r="M232" s="43" t="s">
        <v>230</v>
      </c>
      <c r="N232" s="428" t="s">
        <v>241</v>
      </c>
      <c r="O232" s="155">
        <v>46100</v>
      </c>
      <c r="P232" s="51" t="s">
        <v>3559</v>
      </c>
      <c r="Q232" s="879" t="s">
        <v>358</v>
      </c>
      <c r="R232" s="839"/>
      <c r="S232" s="839"/>
      <c r="T232" s="839"/>
      <c r="U232" s="839"/>
      <c r="V232" s="839"/>
      <c r="W232" s="839"/>
      <c r="X232" s="839"/>
      <c r="Y232" s="839"/>
      <c r="Z232" s="839"/>
      <c r="AA232" s="839"/>
      <c r="AB232" s="839"/>
      <c r="AC232" s="839"/>
      <c r="AD232" s="839"/>
      <c r="AE232" s="839"/>
      <c r="AF232" s="839"/>
      <c r="AG232" s="839"/>
      <c r="AH232" s="839"/>
      <c r="AI232" s="839"/>
    </row>
    <row r="233" spans="1:35">
      <c r="A233" s="43"/>
      <c r="B233" s="156">
        <v>231</v>
      </c>
      <c r="C233" s="43">
        <v>89827</v>
      </c>
      <c r="D233" s="264">
        <v>15657174</v>
      </c>
      <c r="E233" s="367" t="s">
        <v>3763</v>
      </c>
      <c r="F233" s="264">
        <v>66</v>
      </c>
      <c r="G233" s="43" t="s">
        <v>3764</v>
      </c>
      <c r="H233" s="43" t="s">
        <v>301</v>
      </c>
      <c r="I233" s="291">
        <v>943725581</v>
      </c>
      <c r="J233" s="353" t="s">
        <v>302</v>
      </c>
      <c r="K233" s="298">
        <v>46098</v>
      </c>
      <c r="L233" s="43" t="s">
        <v>388</v>
      </c>
      <c r="M233" s="43" t="s">
        <v>230</v>
      </c>
      <c r="N233" s="224" t="s">
        <v>241</v>
      </c>
      <c r="O233" s="155">
        <v>46101</v>
      </c>
      <c r="P233" s="224" t="s">
        <v>3610</v>
      </c>
      <c r="Q233" s="91"/>
      <c r="R233" s="91"/>
      <c r="S233" s="91"/>
      <c r="T233" s="91"/>
      <c r="U233" s="91"/>
      <c r="V233" s="91"/>
      <c r="W233" s="91"/>
      <c r="X233" s="91"/>
      <c r="Y233" s="91"/>
      <c r="Z233" s="91"/>
      <c r="AA233" s="91"/>
      <c r="AB233" s="91"/>
      <c r="AC233" s="91"/>
      <c r="AD233" s="91"/>
      <c r="AE233" s="91"/>
      <c r="AF233" s="91"/>
      <c r="AG233" s="91"/>
      <c r="AH233" s="91"/>
      <c r="AI233" s="91"/>
    </row>
    <row r="234" spans="1:35">
      <c r="A234" s="206"/>
      <c r="B234" s="156">
        <v>232</v>
      </c>
      <c r="C234" s="43">
        <v>217857</v>
      </c>
      <c r="D234" s="43">
        <v>15734827</v>
      </c>
      <c r="E234" s="156" t="s">
        <v>3765</v>
      </c>
      <c r="F234" s="43">
        <v>50</v>
      </c>
      <c r="G234" s="43" t="s">
        <v>3766</v>
      </c>
      <c r="H234" s="43" t="s">
        <v>246</v>
      </c>
      <c r="I234" s="42" t="s">
        <v>3767</v>
      </c>
      <c r="J234" s="353" t="s">
        <v>247</v>
      </c>
      <c r="K234" s="44">
        <v>46098</v>
      </c>
      <c r="L234" s="43" t="s">
        <v>3768</v>
      </c>
      <c r="M234" s="43" t="s">
        <v>323</v>
      </c>
      <c r="N234" s="224" t="s">
        <v>317</v>
      </c>
      <c r="O234" s="157">
        <v>46101</v>
      </c>
      <c r="P234" s="861" t="s">
        <v>3769</v>
      </c>
      <c r="Q234" s="91"/>
      <c r="R234" s="91"/>
      <c r="S234" s="91"/>
      <c r="T234" s="91"/>
      <c r="U234" s="91"/>
      <c r="V234" s="91"/>
      <c r="W234" s="91"/>
      <c r="X234" s="91"/>
      <c r="Y234" s="91"/>
      <c r="Z234" s="91"/>
      <c r="AA234" s="91"/>
      <c r="AB234" s="91"/>
      <c r="AC234" s="91"/>
      <c r="AD234" s="91"/>
      <c r="AE234" s="91"/>
      <c r="AF234" s="91"/>
      <c r="AG234" s="91"/>
      <c r="AH234" s="91"/>
      <c r="AI234" s="91"/>
    </row>
    <row r="235" spans="1:35">
      <c r="A235" s="43"/>
      <c r="B235" s="156">
        <v>233</v>
      </c>
      <c r="C235" s="43">
        <v>117457</v>
      </c>
      <c r="D235" s="45">
        <v>15740678</v>
      </c>
      <c r="E235" s="156" t="s">
        <v>3770</v>
      </c>
      <c r="F235" s="45">
        <v>52</v>
      </c>
      <c r="G235" s="43" t="s">
        <v>3771</v>
      </c>
      <c r="H235" s="43" t="s">
        <v>222</v>
      </c>
      <c r="I235" s="147">
        <v>971129902</v>
      </c>
      <c r="J235" s="353" t="s">
        <v>223</v>
      </c>
      <c r="K235" s="44">
        <v>46083</v>
      </c>
      <c r="L235" s="43" t="s">
        <v>3772</v>
      </c>
      <c r="M235" s="43" t="s">
        <v>323</v>
      </c>
      <c r="N235" s="224" t="s">
        <v>317</v>
      </c>
      <c r="O235" s="152">
        <v>46104</v>
      </c>
      <c r="P235" s="732" t="s">
        <v>3488</v>
      </c>
      <c r="Q235" s="91"/>
      <c r="R235" s="91"/>
      <c r="S235" s="91"/>
      <c r="T235" s="91"/>
      <c r="U235" s="91"/>
      <c r="V235" s="91"/>
      <c r="W235" s="91"/>
      <c r="X235" s="91"/>
      <c r="Y235" s="91"/>
      <c r="Z235" s="91"/>
      <c r="AA235" s="91"/>
      <c r="AB235" s="91"/>
      <c r="AC235" s="91"/>
      <c r="AD235" s="91"/>
      <c r="AE235" s="91"/>
      <c r="AF235" s="91"/>
      <c r="AG235" s="91"/>
      <c r="AH235" s="91"/>
      <c r="AI235" s="91"/>
    </row>
    <row r="236" spans="1:35">
      <c r="A236" s="266"/>
      <c r="B236" s="156">
        <v>234</v>
      </c>
      <c r="C236" s="43">
        <v>2040009</v>
      </c>
      <c r="D236" s="264">
        <v>15762594</v>
      </c>
      <c r="E236" s="367" t="s">
        <v>3773</v>
      </c>
      <c r="F236" s="264">
        <v>48</v>
      </c>
      <c r="G236" s="43" t="s">
        <v>3774</v>
      </c>
      <c r="H236" s="43" t="s">
        <v>301</v>
      </c>
      <c r="I236" s="291">
        <v>977145159</v>
      </c>
      <c r="J236" s="353" t="s">
        <v>302</v>
      </c>
      <c r="K236" s="298">
        <v>46098</v>
      </c>
      <c r="L236" s="43" t="s">
        <v>376</v>
      </c>
      <c r="M236" s="43" t="s">
        <v>230</v>
      </c>
      <c r="N236" s="224" t="s">
        <v>317</v>
      </c>
      <c r="O236" s="155">
        <v>46101</v>
      </c>
      <c r="P236" s="224" t="s">
        <v>3610</v>
      </c>
      <c r="Q236" s="91"/>
      <c r="R236" s="91"/>
      <c r="S236" s="91"/>
      <c r="T236" s="91"/>
      <c r="U236" s="91"/>
      <c r="V236" s="91"/>
      <c r="W236" s="91"/>
      <c r="X236" s="91"/>
      <c r="Y236" s="91"/>
      <c r="Z236" s="91"/>
      <c r="AA236" s="91"/>
      <c r="AB236" s="91"/>
      <c r="AC236" s="91"/>
      <c r="AD236" s="91"/>
      <c r="AE236" s="91"/>
      <c r="AF236" s="91"/>
      <c r="AG236" s="91"/>
      <c r="AH236" s="91"/>
      <c r="AI236" s="91"/>
    </row>
    <row r="237" spans="1:35">
      <c r="A237" s="206"/>
      <c r="B237" s="156">
        <v>235</v>
      </c>
      <c r="C237" s="43">
        <v>361059</v>
      </c>
      <c r="D237" s="43">
        <v>15960245</v>
      </c>
      <c r="E237" s="156" t="s">
        <v>3775</v>
      </c>
      <c r="F237" s="43">
        <v>61</v>
      </c>
      <c r="G237" s="43" t="s">
        <v>3776</v>
      </c>
      <c r="H237" s="43" t="s">
        <v>461</v>
      </c>
      <c r="I237" s="140">
        <v>990348100</v>
      </c>
      <c r="J237" s="353" t="s">
        <v>162</v>
      </c>
      <c r="K237" s="44">
        <v>46098</v>
      </c>
      <c r="L237" s="43" t="s">
        <v>3777</v>
      </c>
      <c r="M237" s="43" t="s">
        <v>323</v>
      </c>
      <c r="N237" s="224" t="s">
        <v>317</v>
      </c>
      <c r="O237" s="157">
        <v>46100</v>
      </c>
      <c r="P237" s="51" t="s">
        <v>3559</v>
      </c>
      <c r="Q237" s="877" t="s">
        <v>358</v>
      </c>
      <c r="R237" s="837"/>
      <c r="S237" s="837"/>
      <c r="T237" s="837"/>
      <c r="U237" s="837"/>
      <c r="V237" s="837"/>
      <c r="W237" s="837"/>
      <c r="X237" s="837"/>
      <c r="Y237" s="837"/>
      <c r="Z237" s="837"/>
      <c r="AA237" s="837"/>
      <c r="AB237" s="837"/>
      <c r="AC237" s="837"/>
      <c r="AD237" s="837"/>
      <c r="AE237" s="837"/>
      <c r="AF237" s="837"/>
      <c r="AG237" s="837"/>
      <c r="AH237" s="837"/>
      <c r="AI237" s="837"/>
    </row>
    <row r="238" spans="1:35">
      <c r="A238" s="206"/>
      <c r="B238" s="156">
        <v>236</v>
      </c>
      <c r="C238" s="43">
        <v>524039</v>
      </c>
      <c r="D238" s="43">
        <v>15748539</v>
      </c>
      <c r="E238" s="156" t="s">
        <v>3778</v>
      </c>
      <c r="F238" s="43">
        <v>55</v>
      </c>
      <c r="G238" s="43" t="s">
        <v>3779</v>
      </c>
      <c r="H238" s="43" t="s">
        <v>461</v>
      </c>
      <c r="I238" s="140">
        <v>953069503</v>
      </c>
      <c r="J238" s="353" t="s">
        <v>162</v>
      </c>
      <c r="K238" s="298">
        <v>46098</v>
      </c>
      <c r="L238" s="43" t="s">
        <v>3780</v>
      </c>
      <c r="M238" s="43" t="s">
        <v>323</v>
      </c>
      <c r="N238" s="224" t="s">
        <v>241</v>
      </c>
      <c r="O238" s="157">
        <v>46100</v>
      </c>
      <c r="P238" s="51" t="s">
        <v>3559</v>
      </c>
      <c r="Q238" s="875" t="s">
        <v>358</v>
      </c>
      <c r="R238" s="838"/>
      <c r="S238" s="838"/>
      <c r="T238" s="838"/>
      <c r="U238" s="838"/>
      <c r="V238" s="838"/>
      <c r="W238" s="838"/>
      <c r="X238" s="838"/>
      <c r="Y238" s="838"/>
      <c r="Z238" s="838"/>
      <c r="AA238" s="838"/>
      <c r="AB238" s="838"/>
      <c r="AC238" s="838"/>
      <c r="AD238" s="838"/>
      <c r="AE238" s="838"/>
      <c r="AF238" s="838"/>
      <c r="AG238" s="838"/>
      <c r="AH238" s="838"/>
      <c r="AI238" s="838"/>
    </row>
    <row r="239" spans="1:35" ht="15" customHeight="1">
      <c r="A239" s="267" t="s">
        <v>275</v>
      </c>
      <c r="B239" s="156">
        <v>237</v>
      </c>
      <c r="C239" s="267">
        <v>203819</v>
      </c>
      <c r="D239" s="267">
        <v>32806584</v>
      </c>
      <c r="E239" s="368" t="s">
        <v>276</v>
      </c>
      <c r="F239" s="267">
        <v>62</v>
      </c>
      <c r="G239" s="267" t="s">
        <v>277</v>
      </c>
      <c r="H239" s="267" t="s">
        <v>278</v>
      </c>
      <c r="I239" s="292">
        <v>922343401</v>
      </c>
      <c r="J239" s="355" t="s">
        <v>238</v>
      </c>
      <c r="K239" s="299">
        <v>46098</v>
      </c>
      <c r="L239" s="267" t="s">
        <v>279</v>
      </c>
      <c r="M239" s="267" t="s">
        <v>266</v>
      </c>
      <c r="N239" s="854" t="s">
        <v>241</v>
      </c>
      <c r="O239" s="153">
        <v>46010</v>
      </c>
      <c r="P239" s="862"/>
      <c r="Q239" s="862">
        <v>46036</v>
      </c>
      <c r="R239" s="908">
        <v>46036</v>
      </c>
      <c r="S239" s="907" t="s">
        <v>3781</v>
      </c>
      <c r="T239" s="907" t="s">
        <v>230</v>
      </c>
      <c r="U239" s="908">
        <v>46098</v>
      </c>
      <c r="V239" s="908">
        <v>46098</v>
      </c>
      <c r="W239" s="909" t="s">
        <v>3782</v>
      </c>
      <c r="X239" s="907" t="s">
        <v>312</v>
      </c>
      <c r="Y239" s="907" t="s">
        <v>317</v>
      </c>
      <c r="Z239" s="911">
        <v>46111</v>
      </c>
      <c r="AA239" s="919"/>
      <c r="AB239" s="919"/>
      <c r="AC239" s="907"/>
      <c r="AD239" s="91"/>
      <c r="AE239" s="91"/>
      <c r="AF239" s="91"/>
      <c r="AG239" s="91"/>
      <c r="AH239" s="91"/>
      <c r="AI239" s="91"/>
    </row>
    <row r="240" spans="1:35">
      <c r="A240" s="206"/>
      <c r="B240" s="156">
        <v>238</v>
      </c>
      <c r="C240" s="43">
        <v>228424</v>
      </c>
      <c r="D240" s="43">
        <v>15217672</v>
      </c>
      <c r="E240" s="156" t="s">
        <v>3783</v>
      </c>
      <c r="F240" s="43">
        <v>49</v>
      </c>
      <c r="G240" s="43" t="s">
        <v>3784</v>
      </c>
      <c r="H240" s="43" t="s">
        <v>278</v>
      </c>
      <c r="I240" s="42">
        <v>940166328</v>
      </c>
      <c r="J240" s="353" t="s">
        <v>238</v>
      </c>
      <c r="K240" s="298">
        <v>46098</v>
      </c>
      <c r="L240" s="43" t="s">
        <v>388</v>
      </c>
      <c r="M240" s="43" t="s">
        <v>230</v>
      </c>
      <c r="N240" s="224" t="s">
        <v>241</v>
      </c>
      <c r="O240" s="152">
        <v>46101</v>
      </c>
      <c r="P240" s="228"/>
      <c r="Q240" s="91"/>
      <c r="R240" s="91"/>
      <c r="S240" s="91"/>
      <c r="T240" s="91"/>
      <c r="U240" s="91"/>
      <c r="V240" s="91"/>
      <c r="W240" s="91"/>
      <c r="X240" s="91"/>
      <c r="Y240" s="91"/>
      <c r="Z240" s="91"/>
      <c r="AA240" s="91"/>
      <c r="AB240" s="91"/>
      <c r="AC240" s="91"/>
      <c r="AD240" s="91"/>
      <c r="AE240" s="91"/>
      <c r="AF240" s="91"/>
      <c r="AG240" s="91"/>
      <c r="AH240" s="91"/>
      <c r="AI240" s="91"/>
    </row>
    <row r="241" spans="1:35">
      <c r="A241" s="206"/>
      <c r="B241" s="156">
        <v>239</v>
      </c>
      <c r="C241" s="43">
        <v>187199</v>
      </c>
      <c r="D241" s="43">
        <v>48118302</v>
      </c>
      <c r="E241" s="156" t="s">
        <v>3785</v>
      </c>
      <c r="F241" s="43">
        <v>69</v>
      </c>
      <c r="G241" s="43" t="s">
        <v>3786</v>
      </c>
      <c r="H241" s="43" t="s">
        <v>237</v>
      </c>
      <c r="I241" s="42">
        <v>903286257</v>
      </c>
      <c r="J241" s="353" t="s">
        <v>238</v>
      </c>
      <c r="K241" s="44">
        <v>46098</v>
      </c>
      <c r="L241" s="43" t="s">
        <v>2395</v>
      </c>
      <c r="M241" s="43" t="s">
        <v>312</v>
      </c>
      <c r="N241" s="428" t="s">
        <v>317</v>
      </c>
      <c r="O241" s="152">
        <v>46101</v>
      </c>
      <c r="P241" s="244"/>
      <c r="Q241" s="882" t="s">
        <v>2279</v>
      </c>
      <c r="R241" s="837"/>
      <c r="S241" s="837"/>
      <c r="T241" s="837"/>
      <c r="U241" s="837"/>
      <c r="V241" s="837"/>
      <c r="W241" s="837"/>
      <c r="X241" s="837"/>
      <c r="Y241" s="837"/>
      <c r="Z241" s="837"/>
      <c r="AA241" s="837"/>
      <c r="AB241" s="837"/>
      <c r="AC241" s="837"/>
      <c r="AD241" s="837"/>
      <c r="AE241" s="837"/>
      <c r="AF241" s="837"/>
      <c r="AG241" s="837"/>
      <c r="AH241" s="837"/>
      <c r="AI241" s="837"/>
    </row>
    <row r="242" spans="1:35" ht="24.75">
      <c r="A242" s="268" t="s">
        <v>513</v>
      </c>
      <c r="B242" s="156">
        <v>240</v>
      </c>
      <c r="C242" s="132">
        <v>217258</v>
      </c>
      <c r="D242" s="132">
        <v>42367655</v>
      </c>
      <c r="E242" s="159" t="s">
        <v>3787</v>
      </c>
      <c r="F242" s="132">
        <v>42</v>
      </c>
      <c r="G242" s="132" t="s">
        <v>3788</v>
      </c>
      <c r="H242" s="132" t="s">
        <v>237</v>
      </c>
      <c r="I242" s="116">
        <v>992336828</v>
      </c>
      <c r="J242" s="355" t="s">
        <v>238</v>
      </c>
      <c r="K242" s="133">
        <v>46098</v>
      </c>
      <c r="L242" s="132" t="s">
        <v>3789</v>
      </c>
      <c r="M242" s="132" t="s">
        <v>260</v>
      </c>
      <c r="N242" s="429" t="s">
        <v>950</v>
      </c>
      <c r="O242" s="155">
        <v>46101</v>
      </c>
      <c r="P242" s="244"/>
      <c r="Q242" s="876" t="s">
        <v>2759</v>
      </c>
      <c r="R242" s="926">
        <v>9567</v>
      </c>
      <c r="S242" s="897" t="s">
        <v>3790</v>
      </c>
      <c r="T242" s="897" t="s">
        <v>323</v>
      </c>
      <c r="U242" s="897" t="s">
        <v>3791</v>
      </c>
      <c r="V242" s="926">
        <v>46104</v>
      </c>
      <c r="W242" s="838"/>
      <c r="X242" s="838"/>
      <c r="Y242" s="838"/>
      <c r="Z242" s="838"/>
      <c r="AA242" s="838"/>
      <c r="AB242" s="838"/>
      <c r="AC242" s="838"/>
      <c r="AD242" s="838"/>
      <c r="AE242" s="838"/>
      <c r="AF242" s="838"/>
      <c r="AG242" s="838"/>
      <c r="AH242" s="838"/>
      <c r="AI242" s="838"/>
    </row>
    <row r="243" spans="1:35">
      <c r="A243" s="206"/>
      <c r="B243" s="156">
        <v>241</v>
      </c>
      <c r="C243" s="43">
        <v>44521</v>
      </c>
      <c r="D243" s="43">
        <v>15756243</v>
      </c>
      <c r="E243" s="156" t="s">
        <v>3792</v>
      </c>
      <c r="F243" s="43">
        <v>51</v>
      </c>
      <c r="G243" s="43" t="s">
        <v>3793</v>
      </c>
      <c r="H243" s="43" t="s">
        <v>278</v>
      </c>
      <c r="I243" s="42">
        <v>994427750</v>
      </c>
      <c r="J243" s="353" t="s">
        <v>1012</v>
      </c>
      <c r="K243" s="44">
        <v>46098</v>
      </c>
      <c r="L243" s="43" t="s">
        <v>376</v>
      </c>
      <c r="M243" s="43" t="s">
        <v>230</v>
      </c>
      <c r="N243" s="224" t="s">
        <v>317</v>
      </c>
      <c r="O243" s="152">
        <v>46104</v>
      </c>
      <c r="P243" s="732" t="s">
        <v>3794</v>
      </c>
      <c r="Q243" s="91"/>
      <c r="R243" s="91"/>
      <c r="S243" s="91"/>
      <c r="T243" s="91"/>
      <c r="U243" s="91"/>
      <c r="V243" s="91"/>
      <c r="W243" s="91"/>
      <c r="X243" s="91"/>
      <c r="Y243" s="91"/>
      <c r="Z243" s="91"/>
      <c r="AA243" s="91"/>
      <c r="AB243" s="91"/>
      <c r="AC243" s="91"/>
      <c r="AD243" s="91"/>
      <c r="AE243" s="91"/>
      <c r="AF243" s="91"/>
      <c r="AG243" s="91"/>
      <c r="AH243" s="91"/>
      <c r="AI243" s="91"/>
    </row>
    <row r="244" spans="1:35">
      <c r="A244" s="206"/>
      <c r="B244" s="156">
        <v>242</v>
      </c>
      <c r="C244" s="43">
        <v>408640</v>
      </c>
      <c r="D244" s="43">
        <v>41512946</v>
      </c>
      <c r="E244" s="156" t="s">
        <v>3795</v>
      </c>
      <c r="F244" s="43">
        <v>43</v>
      </c>
      <c r="G244" s="43" t="s">
        <v>3796</v>
      </c>
      <c r="H244" s="43" t="s">
        <v>222</v>
      </c>
      <c r="I244" s="42">
        <v>980832765</v>
      </c>
      <c r="J244" s="353" t="s">
        <v>238</v>
      </c>
      <c r="K244" s="44">
        <v>46098</v>
      </c>
      <c r="L244" s="43" t="s">
        <v>413</v>
      </c>
      <c r="M244" s="43" t="s">
        <v>230</v>
      </c>
      <c r="N244" s="224" t="s">
        <v>241</v>
      </c>
      <c r="O244" s="152">
        <v>46101</v>
      </c>
      <c r="P244" s="732"/>
      <c r="Q244" s="900" t="s">
        <v>3797</v>
      </c>
      <c r="R244" s="91"/>
      <c r="S244" s="91"/>
      <c r="T244" s="91"/>
      <c r="U244" s="91"/>
      <c r="V244" s="91"/>
      <c r="W244" s="91"/>
      <c r="X244" s="91"/>
      <c r="Y244" s="91"/>
      <c r="Z244" s="91"/>
      <c r="AA244" s="91"/>
      <c r="AB244" s="91"/>
      <c r="AC244" s="91"/>
      <c r="AD244" s="91"/>
      <c r="AE244" s="91"/>
      <c r="AF244" s="91"/>
      <c r="AG244" s="91"/>
      <c r="AH244" s="91"/>
      <c r="AI244" s="91"/>
    </row>
    <row r="245" spans="1:35">
      <c r="A245" s="206"/>
      <c r="B245" s="156">
        <v>243</v>
      </c>
      <c r="C245" s="43">
        <v>128376</v>
      </c>
      <c r="D245" s="43">
        <v>42985353</v>
      </c>
      <c r="E245" s="156" t="s">
        <v>3798</v>
      </c>
      <c r="F245" s="43">
        <v>40</v>
      </c>
      <c r="G245" s="43" t="s">
        <v>3799</v>
      </c>
      <c r="H245" s="43" t="s">
        <v>278</v>
      </c>
      <c r="I245" s="42" t="s">
        <v>3800</v>
      </c>
      <c r="J245" s="353" t="s">
        <v>223</v>
      </c>
      <c r="K245" s="44">
        <v>46098</v>
      </c>
      <c r="L245" s="43" t="s">
        <v>3801</v>
      </c>
      <c r="M245" s="43" t="s">
        <v>312</v>
      </c>
      <c r="N245" s="224" t="s">
        <v>317</v>
      </c>
      <c r="O245" s="152">
        <v>46104</v>
      </c>
      <c r="P245" s="732" t="s">
        <v>3488</v>
      </c>
      <c r="Q245" s="91"/>
      <c r="R245" s="91"/>
      <c r="S245" s="91"/>
      <c r="T245" s="91"/>
      <c r="U245" s="91"/>
      <c r="V245" s="91"/>
      <c r="W245" s="91"/>
      <c r="X245" s="91"/>
      <c r="Y245" s="91"/>
      <c r="Z245" s="91"/>
      <c r="AA245" s="91"/>
      <c r="AB245" s="91"/>
      <c r="AC245" s="91"/>
      <c r="AD245" s="91"/>
      <c r="AE245" s="91"/>
      <c r="AF245" s="91"/>
      <c r="AG245" s="91"/>
      <c r="AH245" s="91"/>
      <c r="AI245" s="91"/>
    </row>
    <row r="246" spans="1:35">
      <c r="A246" s="43"/>
      <c r="B246" s="156">
        <v>244</v>
      </c>
      <c r="C246" s="43">
        <v>2286</v>
      </c>
      <c r="D246" s="43">
        <v>15616614</v>
      </c>
      <c r="E246" s="156" t="s">
        <v>3802</v>
      </c>
      <c r="F246" s="43">
        <v>58</v>
      </c>
      <c r="G246" s="43" t="s">
        <v>3803</v>
      </c>
      <c r="H246" s="43" t="s">
        <v>222</v>
      </c>
      <c r="I246" s="42">
        <v>994896293</v>
      </c>
      <c r="J246" s="353" t="s">
        <v>223</v>
      </c>
      <c r="K246" s="300">
        <v>46098</v>
      </c>
      <c r="L246" s="43" t="s">
        <v>376</v>
      </c>
      <c r="M246" s="43" t="s">
        <v>230</v>
      </c>
      <c r="N246" s="224" t="s">
        <v>317</v>
      </c>
      <c r="O246" s="152">
        <v>46104</v>
      </c>
      <c r="P246" s="732" t="s">
        <v>3488</v>
      </c>
      <c r="Q246" s="91"/>
      <c r="R246" s="91"/>
      <c r="S246" s="91"/>
      <c r="T246" s="91"/>
      <c r="U246" s="91"/>
      <c r="V246" s="91"/>
      <c r="W246" s="91"/>
      <c r="X246" s="91"/>
      <c r="Y246" s="91"/>
      <c r="Z246" s="91"/>
      <c r="AA246" s="91"/>
      <c r="AB246" s="91"/>
      <c r="AC246" s="91"/>
      <c r="AD246" s="91"/>
      <c r="AE246" s="91"/>
      <c r="AF246" s="91"/>
      <c r="AG246" s="91"/>
      <c r="AH246" s="91"/>
      <c r="AI246" s="91"/>
    </row>
    <row r="247" spans="1:35">
      <c r="A247" s="43"/>
      <c r="B247" s="156">
        <v>245</v>
      </c>
      <c r="C247" s="43">
        <v>77173</v>
      </c>
      <c r="D247" s="43">
        <v>15603456</v>
      </c>
      <c r="E247" s="156" t="s">
        <v>3804</v>
      </c>
      <c r="F247" s="43">
        <v>61</v>
      </c>
      <c r="G247" s="43" t="s">
        <v>3805</v>
      </c>
      <c r="H247" s="43" t="s">
        <v>237</v>
      </c>
      <c r="I247" s="42">
        <v>972725492</v>
      </c>
      <c r="J247" s="353" t="s">
        <v>289</v>
      </c>
      <c r="K247" s="300">
        <v>46098</v>
      </c>
      <c r="L247" s="43" t="s">
        <v>376</v>
      </c>
      <c r="M247" s="43" t="s">
        <v>230</v>
      </c>
      <c r="N247" s="224" t="s">
        <v>317</v>
      </c>
      <c r="O247" s="155">
        <v>46105</v>
      </c>
      <c r="P247" s="428" t="s">
        <v>3409</v>
      </c>
      <c r="Q247" s="91"/>
      <c r="R247" s="91"/>
      <c r="S247" s="91"/>
      <c r="T247" s="91"/>
      <c r="U247" s="91"/>
      <c r="V247" s="91"/>
      <c r="W247" s="91"/>
      <c r="X247" s="91"/>
      <c r="Y247" s="91"/>
      <c r="Z247" s="91"/>
      <c r="AA247" s="91"/>
      <c r="AB247" s="91"/>
      <c r="AC247" s="91"/>
      <c r="AD247" s="91"/>
      <c r="AE247" s="91"/>
      <c r="AF247" s="91"/>
      <c r="AG247" s="91"/>
      <c r="AH247" s="91"/>
      <c r="AI247" s="91"/>
    </row>
    <row r="248" spans="1:35">
      <c r="A248" s="43"/>
      <c r="B248" s="156">
        <v>246</v>
      </c>
      <c r="C248" s="43">
        <v>337479</v>
      </c>
      <c r="D248" s="43">
        <v>40831761</v>
      </c>
      <c r="E248" s="156" t="s">
        <v>3806</v>
      </c>
      <c r="F248" s="43">
        <v>46</v>
      </c>
      <c r="G248" s="43" t="s">
        <v>3807</v>
      </c>
      <c r="H248" s="43" t="s">
        <v>237</v>
      </c>
      <c r="I248" s="42">
        <v>982576542</v>
      </c>
      <c r="J248" s="353" t="s">
        <v>1105</v>
      </c>
      <c r="K248" s="300">
        <v>46098</v>
      </c>
      <c r="L248" s="43" t="s">
        <v>376</v>
      </c>
      <c r="M248" s="43" t="s">
        <v>230</v>
      </c>
      <c r="N248" s="224" t="s">
        <v>317</v>
      </c>
      <c r="O248" s="155">
        <v>46101</v>
      </c>
      <c r="P248" s="224" t="s">
        <v>3221</v>
      </c>
      <c r="Q248" s="91"/>
      <c r="R248" s="91"/>
      <c r="S248" s="91"/>
      <c r="T248" s="91"/>
      <c r="U248" s="91"/>
      <c r="V248" s="91"/>
      <c r="W248" s="91"/>
      <c r="X248" s="91"/>
      <c r="Y248" s="91"/>
      <c r="Z248" s="91"/>
      <c r="AA248" s="91"/>
      <c r="AB248" s="91"/>
      <c r="AC248" s="91"/>
      <c r="AD248" s="91"/>
      <c r="AE248" s="91"/>
      <c r="AF248" s="91"/>
      <c r="AG248" s="91"/>
      <c r="AH248" s="91"/>
      <c r="AI248" s="91"/>
    </row>
    <row r="249" spans="1:35">
      <c r="A249" s="43"/>
      <c r="B249" s="156">
        <v>247</v>
      </c>
      <c r="C249" s="43">
        <v>482422</v>
      </c>
      <c r="D249" s="269">
        <v>41082006</v>
      </c>
      <c r="E249" s="156" t="s">
        <v>3808</v>
      </c>
      <c r="F249" s="269">
        <v>44</v>
      </c>
      <c r="G249" s="269" t="s">
        <v>3809</v>
      </c>
      <c r="H249" s="269" t="s">
        <v>278</v>
      </c>
      <c r="I249" s="293">
        <v>941986840</v>
      </c>
      <c r="J249" s="356" t="s">
        <v>384</v>
      </c>
      <c r="K249" s="44">
        <v>46098</v>
      </c>
      <c r="L249" s="43" t="s">
        <v>376</v>
      </c>
      <c r="M249" s="43" t="s">
        <v>230</v>
      </c>
      <c r="N249" s="224" t="s">
        <v>317</v>
      </c>
      <c r="O249" s="424">
        <v>46101</v>
      </c>
      <c r="P249" s="224" t="s">
        <v>3125</v>
      </c>
      <c r="Q249" s="91"/>
      <c r="R249" s="91"/>
      <c r="S249" s="91"/>
      <c r="T249" s="91"/>
      <c r="U249" s="91"/>
      <c r="V249" s="91"/>
      <c r="W249" s="91"/>
      <c r="X249" s="91"/>
      <c r="Y249" s="91"/>
      <c r="Z249" s="91"/>
      <c r="AA249" s="91"/>
      <c r="AB249" s="91"/>
      <c r="AC249" s="91"/>
      <c r="AD249" s="91"/>
      <c r="AE249" s="91"/>
      <c r="AF249" s="91"/>
      <c r="AG249" s="91"/>
      <c r="AH249" s="91"/>
      <c r="AI249" s="91"/>
    </row>
    <row r="250" spans="1:35">
      <c r="A250" s="206"/>
      <c r="B250" s="156">
        <v>248</v>
      </c>
      <c r="C250" s="43">
        <v>5857</v>
      </c>
      <c r="D250" s="43">
        <v>15725295</v>
      </c>
      <c r="E250" s="156" t="s">
        <v>3810</v>
      </c>
      <c r="F250" s="43">
        <v>57</v>
      </c>
      <c r="G250" s="43" t="s">
        <v>3811</v>
      </c>
      <c r="H250" s="43" t="s">
        <v>3090</v>
      </c>
      <c r="I250" s="42">
        <v>980800702</v>
      </c>
      <c r="J250" s="353" t="s">
        <v>238</v>
      </c>
      <c r="K250" s="44">
        <v>46098</v>
      </c>
      <c r="L250" s="43" t="s">
        <v>376</v>
      </c>
      <c r="M250" s="43" t="s">
        <v>230</v>
      </c>
      <c r="N250" s="224" t="s">
        <v>317</v>
      </c>
      <c r="O250" s="152">
        <v>46101</v>
      </c>
      <c r="P250" s="732"/>
      <c r="Q250" s="91"/>
      <c r="R250" s="91"/>
      <c r="S250" s="91"/>
      <c r="T250" s="91"/>
      <c r="U250" s="91"/>
      <c r="V250" s="91"/>
      <c r="W250" s="91"/>
      <c r="X250" s="91"/>
      <c r="Y250" s="91"/>
      <c r="Z250" s="91"/>
      <c r="AA250" s="91"/>
      <c r="AB250" s="91"/>
      <c r="AC250" s="91"/>
      <c r="AD250" s="91"/>
      <c r="AE250" s="91"/>
      <c r="AF250" s="91"/>
      <c r="AG250" s="91"/>
      <c r="AH250" s="91"/>
      <c r="AI250" s="91"/>
    </row>
    <row r="251" spans="1:35">
      <c r="A251" s="206"/>
      <c r="B251" s="156">
        <v>249</v>
      </c>
      <c r="C251" s="43">
        <v>48572</v>
      </c>
      <c r="D251" s="43">
        <v>15712793</v>
      </c>
      <c r="E251" s="156" t="s">
        <v>3812</v>
      </c>
      <c r="F251" s="43">
        <v>61</v>
      </c>
      <c r="G251" s="43" t="s">
        <v>3813</v>
      </c>
      <c r="H251" s="43" t="s">
        <v>222</v>
      </c>
      <c r="I251" s="42">
        <v>908606017</v>
      </c>
      <c r="J251" s="353" t="s">
        <v>283</v>
      </c>
      <c r="K251" s="44">
        <v>46098</v>
      </c>
      <c r="L251" s="43" t="s">
        <v>3814</v>
      </c>
      <c r="M251" s="43" t="s">
        <v>323</v>
      </c>
      <c r="N251" s="224" t="s">
        <v>241</v>
      </c>
      <c r="O251" s="152">
        <v>46101</v>
      </c>
      <c r="P251" s="732" t="s">
        <v>3649</v>
      </c>
      <c r="Q251" s="91"/>
      <c r="R251" s="91"/>
      <c r="S251" s="91"/>
      <c r="T251" s="91"/>
      <c r="U251" s="91"/>
      <c r="V251" s="91"/>
      <c r="W251" s="91"/>
      <c r="X251" s="91"/>
      <c r="Y251" s="91"/>
      <c r="Z251" s="91"/>
      <c r="AA251" s="91"/>
      <c r="AB251" s="91"/>
      <c r="AC251" s="91"/>
      <c r="AD251" s="91"/>
      <c r="AE251" s="91"/>
      <c r="AF251" s="91"/>
      <c r="AG251" s="91"/>
      <c r="AH251" s="91"/>
      <c r="AI251" s="91"/>
    </row>
    <row r="252" spans="1:35">
      <c r="A252" s="206"/>
      <c r="B252" s="156">
        <v>250</v>
      </c>
      <c r="C252" s="43">
        <v>129533</v>
      </c>
      <c r="D252" s="43">
        <v>43075416</v>
      </c>
      <c r="E252" s="156" t="s">
        <v>3815</v>
      </c>
      <c r="F252" s="43">
        <v>40</v>
      </c>
      <c r="G252" s="43" t="s">
        <v>3813</v>
      </c>
      <c r="H252" s="43" t="s">
        <v>222</v>
      </c>
      <c r="I252" s="42" t="s">
        <v>3816</v>
      </c>
      <c r="J252" s="353" t="s">
        <v>283</v>
      </c>
      <c r="K252" s="44">
        <v>46098</v>
      </c>
      <c r="L252" s="43" t="s">
        <v>388</v>
      </c>
      <c r="M252" s="43" t="s">
        <v>230</v>
      </c>
      <c r="N252" s="224" t="s">
        <v>241</v>
      </c>
      <c r="O252" s="152">
        <v>46101</v>
      </c>
      <c r="P252" s="732" t="s">
        <v>3649</v>
      </c>
      <c r="Q252" s="91"/>
      <c r="R252" s="91"/>
      <c r="S252" s="91"/>
      <c r="T252" s="91"/>
      <c r="U252" s="91"/>
      <c r="V252" s="91"/>
      <c r="W252" s="91"/>
      <c r="X252" s="91"/>
      <c r="Y252" s="91"/>
      <c r="Z252" s="91"/>
      <c r="AA252" s="91"/>
      <c r="AB252" s="91"/>
      <c r="AC252" s="91"/>
      <c r="AD252" s="91"/>
      <c r="AE252" s="91"/>
      <c r="AF252" s="91"/>
      <c r="AG252" s="91"/>
      <c r="AH252" s="91"/>
      <c r="AI252" s="91"/>
    </row>
    <row r="253" spans="1:35">
      <c r="A253" s="206"/>
      <c r="B253" s="156">
        <v>251</v>
      </c>
      <c r="C253" s="43">
        <v>200527</v>
      </c>
      <c r="D253" s="43">
        <v>15759747</v>
      </c>
      <c r="E253" s="156" t="s">
        <v>3817</v>
      </c>
      <c r="F253" s="43">
        <v>65</v>
      </c>
      <c r="G253" s="43" t="s">
        <v>3818</v>
      </c>
      <c r="H253" s="43" t="s">
        <v>237</v>
      </c>
      <c r="I253" s="42">
        <v>956680749</v>
      </c>
      <c r="J253" s="353" t="s">
        <v>289</v>
      </c>
      <c r="K253" s="44">
        <v>46098</v>
      </c>
      <c r="L253" s="43" t="s">
        <v>376</v>
      </c>
      <c r="M253" s="43" t="s">
        <v>230</v>
      </c>
      <c r="N253" s="224" t="s">
        <v>317</v>
      </c>
      <c r="O253" s="155">
        <v>46105</v>
      </c>
      <c r="P253" s="428" t="s">
        <v>3409</v>
      </c>
      <c r="Q253" s="91"/>
      <c r="R253" s="91"/>
      <c r="S253" s="91"/>
      <c r="T253" s="91"/>
      <c r="U253" s="91"/>
      <c r="V253" s="91"/>
      <c r="W253" s="91"/>
      <c r="X253" s="91"/>
      <c r="Y253" s="91"/>
      <c r="Z253" s="91"/>
      <c r="AA253" s="91"/>
      <c r="AB253" s="91"/>
      <c r="AC253" s="91"/>
      <c r="AD253" s="91"/>
      <c r="AE253" s="91"/>
      <c r="AF253" s="91"/>
      <c r="AG253" s="91"/>
      <c r="AH253" s="91"/>
      <c r="AI253" s="91"/>
    </row>
    <row r="254" spans="1:35">
      <c r="A254" s="206"/>
      <c r="B254" s="156">
        <v>252</v>
      </c>
      <c r="C254" s="43">
        <v>37086</v>
      </c>
      <c r="D254" s="43">
        <v>15583281</v>
      </c>
      <c r="E254" s="156" t="s">
        <v>3819</v>
      </c>
      <c r="F254" s="43">
        <v>62</v>
      </c>
      <c r="G254" s="43" t="s">
        <v>3820</v>
      </c>
      <c r="H254" s="43" t="s">
        <v>3821</v>
      </c>
      <c r="I254" s="42">
        <v>936757194</v>
      </c>
      <c r="J254" s="353" t="s">
        <v>238</v>
      </c>
      <c r="K254" s="44">
        <v>46098</v>
      </c>
      <c r="L254" s="43" t="s">
        <v>3822</v>
      </c>
      <c r="M254" s="43" t="s">
        <v>312</v>
      </c>
      <c r="N254" s="428" t="s">
        <v>317</v>
      </c>
      <c r="O254" s="152">
        <v>46101</v>
      </c>
      <c r="P254" s="242"/>
      <c r="Q254" s="878" t="s">
        <v>2759</v>
      </c>
      <c r="R254" s="839"/>
      <c r="S254" s="839"/>
      <c r="T254" s="839"/>
      <c r="U254" s="839"/>
      <c r="V254" s="839"/>
      <c r="W254" s="839"/>
      <c r="X254" s="839"/>
      <c r="Y254" s="839"/>
      <c r="Z254" s="839"/>
      <c r="AA254" s="839"/>
      <c r="AB254" s="839"/>
      <c r="AC254" s="839"/>
      <c r="AD254" s="839"/>
      <c r="AE254" s="839"/>
      <c r="AF254" s="839"/>
      <c r="AG254" s="839"/>
      <c r="AH254" s="839"/>
      <c r="AI254" s="839"/>
    </row>
    <row r="255" spans="1:35">
      <c r="A255" s="207"/>
      <c r="B255" s="156">
        <v>253</v>
      </c>
      <c r="C255" s="132">
        <v>109134</v>
      </c>
      <c r="D255" s="132">
        <v>42572218</v>
      </c>
      <c r="E255" s="159" t="s">
        <v>3823</v>
      </c>
      <c r="F255" s="132">
        <v>43</v>
      </c>
      <c r="G255" s="132" t="s">
        <v>3824</v>
      </c>
      <c r="H255" s="132" t="s">
        <v>278</v>
      </c>
      <c r="I255" s="116">
        <v>997384499</v>
      </c>
      <c r="J255" s="355" t="s">
        <v>238</v>
      </c>
      <c r="K255" s="133">
        <v>46098</v>
      </c>
      <c r="L255" s="132" t="s">
        <v>1469</v>
      </c>
      <c r="M255" s="132" t="s">
        <v>260</v>
      </c>
      <c r="N255" s="150" t="s">
        <v>950</v>
      </c>
      <c r="O255" s="152">
        <v>46101</v>
      </c>
      <c r="P255" s="863"/>
      <c r="Q255" s="91"/>
      <c r="R255" s="91"/>
      <c r="S255" s="91"/>
      <c r="T255" s="91"/>
      <c r="U255" s="91"/>
      <c r="V255" s="91"/>
      <c r="W255" s="91"/>
      <c r="X255" s="91"/>
      <c r="Y255" s="91"/>
      <c r="Z255" s="91"/>
      <c r="AA255" s="91"/>
      <c r="AB255" s="91"/>
      <c r="AC255" s="91"/>
      <c r="AD255" s="91"/>
      <c r="AE255" s="91"/>
      <c r="AF255" s="91"/>
      <c r="AG255" s="91"/>
      <c r="AH255" s="91"/>
      <c r="AI255" s="91"/>
    </row>
    <row r="256" spans="1:35">
      <c r="A256" s="206"/>
      <c r="B256" s="156">
        <v>254</v>
      </c>
      <c r="C256" s="43">
        <v>27831</v>
      </c>
      <c r="D256" s="43">
        <v>15730572</v>
      </c>
      <c r="E256" s="156" t="s">
        <v>3825</v>
      </c>
      <c r="F256" s="43">
        <v>56</v>
      </c>
      <c r="G256" s="43" t="s">
        <v>3826</v>
      </c>
      <c r="H256" s="43" t="s">
        <v>278</v>
      </c>
      <c r="I256" s="42">
        <v>9974447826</v>
      </c>
      <c r="J256" s="353" t="s">
        <v>1012</v>
      </c>
      <c r="K256" s="44">
        <v>46098</v>
      </c>
      <c r="L256" s="43" t="s">
        <v>3827</v>
      </c>
      <c r="M256" s="43" t="s">
        <v>323</v>
      </c>
      <c r="N256" s="224" t="s">
        <v>317</v>
      </c>
      <c r="O256" s="898">
        <v>46108</v>
      </c>
      <c r="P256" s="900" t="s">
        <v>3794</v>
      </c>
      <c r="Q256" s="91"/>
      <c r="R256" s="91"/>
      <c r="S256" s="91"/>
      <c r="T256" s="91"/>
      <c r="U256" s="91"/>
      <c r="V256" s="91"/>
      <c r="W256" s="91"/>
      <c r="X256" s="91"/>
      <c r="Y256" s="91"/>
      <c r="Z256" s="91"/>
      <c r="AA256" s="91"/>
      <c r="AB256" s="91"/>
      <c r="AC256" s="91"/>
      <c r="AD256" s="91"/>
      <c r="AE256" s="91"/>
      <c r="AF256" s="91"/>
      <c r="AG256" s="91"/>
      <c r="AH256" s="91"/>
      <c r="AI256" s="91"/>
    </row>
    <row r="257" spans="1:35">
      <c r="A257" s="261">
        <v>46099</v>
      </c>
      <c r="B257" s="156">
        <v>255</v>
      </c>
      <c r="C257" s="43">
        <v>478186</v>
      </c>
      <c r="D257" s="270">
        <v>16020705</v>
      </c>
      <c r="E257" s="369" t="s">
        <v>3828</v>
      </c>
      <c r="F257" s="270">
        <v>48</v>
      </c>
      <c r="G257" s="270" t="s">
        <v>3829</v>
      </c>
      <c r="H257" s="294" t="s">
        <v>271</v>
      </c>
      <c r="I257" s="295">
        <v>920618803</v>
      </c>
      <c r="J257" s="353" t="s">
        <v>164</v>
      </c>
      <c r="K257" s="44">
        <v>46099</v>
      </c>
      <c r="L257" s="43" t="s">
        <v>388</v>
      </c>
      <c r="M257" s="43" t="s">
        <v>230</v>
      </c>
      <c r="N257" s="428" t="s">
        <v>241</v>
      </c>
      <c r="O257" s="155">
        <v>46100</v>
      </c>
      <c r="P257" s="51" t="s">
        <v>3559</v>
      </c>
      <c r="Q257" s="879" t="s">
        <v>358</v>
      </c>
      <c r="R257" s="839"/>
      <c r="S257" s="839"/>
      <c r="T257" s="839"/>
      <c r="U257" s="839"/>
      <c r="V257" s="839"/>
      <c r="W257" s="839"/>
      <c r="X257" s="839"/>
      <c r="Y257" s="839"/>
      <c r="Z257" s="839"/>
      <c r="AA257" s="839"/>
      <c r="AB257" s="839"/>
      <c r="AC257" s="839"/>
      <c r="AD257" s="839"/>
      <c r="AE257" s="839"/>
      <c r="AF257" s="839"/>
      <c r="AG257" s="839"/>
      <c r="AH257" s="839"/>
      <c r="AI257" s="839"/>
    </row>
    <row r="258" spans="1:35">
      <c r="A258" s="111"/>
      <c r="B258" s="156">
        <v>256</v>
      </c>
      <c r="C258" s="43">
        <v>118941</v>
      </c>
      <c r="D258" s="43">
        <v>42087174</v>
      </c>
      <c r="E258" s="156" t="s">
        <v>3830</v>
      </c>
      <c r="F258" s="43">
        <v>42</v>
      </c>
      <c r="G258" s="43" t="s">
        <v>3831</v>
      </c>
      <c r="H258" s="43" t="s">
        <v>3832</v>
      </c>
      <c r="I258" s="42">
        <v>923131242</v>
      </c>
      <c r="J258" s="353" t="s">
        <v>384</v>
      </c>
      <c r="K258" s="44">
        <v>46099</v>
      </c>
      <c r="L258" s="43" t="s">
        <v>376</v>
      </c>
      <c r="M258" s="43" t="s">
        <v>312</v>
      </c>
      <c r="N258" s="224" t="s">
        <v>317</v>
      </c>
      <c r="O258" s="424">
        <v>46101</v>
      </c>
      <c r="P258" s="224" t="s">
        <v>3125</v>
      </c>
      <c r="Q258" s="91"/>
      <c r="R258" s="91"/>
      <c r="S258" s="91"/>
      <c r="T258" s="91"/>
      <c r="U258" s="91"/>
      <c r="V258" s="91"/>
      <c r="W258" s="91"/>
      <c r="X258" s="91"/>
      <c r="Y258" s="91"/>
      <c r="Z258" s="91"/>
      <c r="AA258" s="91"/>
      <c r="AB258" s="91"/>
      <c r="AC258" s="91"/>
      <c r="AD258" s="91"/>
      <c r="AE258" s="91"/>
      <c r="AF258" s="91"/>
      <c r="AG258" s="91"/>
      <c r="AH258" s="91"/>
      <c r="AI258" s="91"/>
    </row>
    <row r="259" spans="1:35">
      <c r="A259" s="206"/>
      <c r="B259" s="156">
        <v>257</v>
      </c>
      <c r="C259" s="43">
        <v>422765</v>
      </c>
      <c r="D259" s="43">
        <v>80166655</v>
      </c>
      <c r="E259" s="156" t="s">
        <v>3833</v>
      </c>
      <c r="F259" s="43">
        <v>49</v>
      </c>
      <c r="G259" s="43" t="s">
        <v>3834</v>
      </c>
      <c r="H259" s="43" t="s">
        <v>246</v>
      </c>
      <c r="I259" s="42">
        <v>982487214</v>
      </c>
      <c r="J259" s="353" t="s">
        <v>579</v>
      </c>
      <c r="K259" s="44">
        <v>46099</v>
      </c>
      <c r="L259" s="43" t="s">
        <v>413</v>
      </c>
      <c r="M259" s="43" t="s">
        <v>230</v>
      </c>
      <c r="N259" s="224" t="s">
        <v>241</v>
      </c>
      <c r="O259" s="215">
        <v>46101</v>
      </c>
      <c r="P259" s="248" t="s">
        <v>3835</v>
      </c>
      <c r="Q259" s="91"/>
      <c r="R259" s="91"/>
      <c r="S259" s="91"/>
      <c r="T259" s="91"/>
      <c r="U259" s="91"/>
      <c r="V259" s="91"/>
      <c r="W259" s="91"/>
      <c r="X259" s="91"/>
      <c r="Y259" s="91"/>
      <c r="Z259" s="91"/>
      <c r="AA259" s="91"/>
      <c r="AB259" s="91"/>
      <c r="AC259" s="91"/>
      <c r="AD259" s="91"/>
      <c r="AE259" s="91"/>
      <c r="AF259" s="91"/>
      <c r="AG259" s="91"/>
      <c r="AH259" s="91"/>
      <c r="AI259" s="91"/>
    </row>
    <row r="260" spans="1:35">
      <c r="A260" s="271"/>
      <c r="B260" s="156">
        <v>258</v>
      </c>
      <c r="C260" s="43">
        <v>524070</v>
      </c>
      <c r="D260" s="43">
        <v>16003415</v>
      </c>
      <c r="E260" s="156" t="s">
        <v>3836</v>
      </c>
      <c r="F260" s="43">
        <v>55</v>
      </c>
      <c r="G260" s="43" t="s">
        <v>3837</v>
      </c>
      <c r="H260" s="43" t="s">
        <v>461</v>
      </c>
      <c r="I260" s="42">
        <v>995126248</v>
      </c>
      <c r="J260" s="353" t="s">
        <v>162</v>
      </c>
      <c r="K260" s="44">
        <v>46099</v>
      </c>
      <c r="L260" s="43" t="s">
        <v>2395</v>
      </c>
      <c r="M260" s="43" t="s">
        <v>312</v>
      </c>
      <c r="N260" s="428" t="s">
        <v>317</v>
      </c>
      <c r="O260" s="155">
        <v>46100</v>
      </c>
      <c r="P260" s="51" t="s">
        <v>3559</v>
      </c>
      <c r="Q260" s="879" t="s">
        <v>358</v>
      </c>
      <c r="R260" s="839"/>
      <c r="S260" s="839"/>
      <c r="T260" s="839"/>
      <c r="U260" s="839"/>
      <c r="V260" s="839"/>
      <c r="W260" s="839"/>
      <c r="X260" s="839"/>
      <c r="Y260" s="839"/>
      <c r="Z260" s="839"/>
      <c r="AA260" s="839"/>
      <c r="AB260" s="839"/>
      <c r="AC260" s="839"/>
      <c r="AD260" s="839"/>
      <c r="AE260" s="839"/>
      <c r="AF260" s="839"/>
      <c r="AG260" s="839"/>
      <c r="AH260" s="839"/>
      <c r="AI260" s="839"/>
    </row>
    <row r="261" spans="1:35">
      <c r="A261" s="244"/>
      <c r="B261" s="156">
        <v>259</v>
      </c>
      <c r="C261" s="43">
        <v>97217</v>
      </c>
      <c r="D261" s="43">
        <v>15594488</v>
      </c>
      <c r="E261" s="156" t="s">
        <v>3838</v>
      </c>
      <c r="F261" s="43">
        <v>66</v>
      </c>
      <c r="G261" s="45" t="s">
        <v>3839</v>
      </c>
      <c r="H261" s="43" t="s">
        <v>278</v>
      </c>
      <c r="I261" s="42">
        <v>980474434</v>
      </c>
      <c r="J261" s="353" t="s">
        <v>238</v>
      </c>
      <c r="K261" s="44">
        <v>46099</v>
      </c>
      <c r="L261" s="43" t="s">
        <v>376</v>
      </c>
      <c r="M261" s="43" t="s">
        <v>230</v>
      </c>
      <c r="N261" s="224" t="s">
        <v>317</v>
      </c>
      <c r="O261" s="152">
        <v>46101</v>
      </c>
      <c r="P261" s="224"/>
      <c r="Q261" s="91"/>
      <c r="R261" s="91"/>
      <c r="S261" s="91"/>
      <c r="T261" s="91"/>
      <c r="U261" s="91"/>
      <c r="V261" s="91"/>
      <c r="W261" s="91"/>
      <c r="X261" s="91"/>
      <c r="Y261" s="91"/>
      <c r="Z261" s="91"/>
      <c r="AA261" s="91"/>
      <c r="AB261" s="91"/>
      <c r="AC261" s="91"/>
      <c r="AD261" s="91"/>
      <c r="AE261" s="91"/>
      <c r="AF261" s="91"/>
      <c r="AG261" s="91"/>
      <c r="AH261" s="91"/>
      <c r="AI261" s="91"/>
    </row>
    <row r="262" spans="1:35">
      <c r="A262" s="271"/>
      <c r="B262" s="156">
        <v>260</v>
      </c>
      <c r="C262" s="43">
        <v>290240</v>
      </c>
      <c r="D262" s="43">
        <v>80646767</v>
      </c>
      <c r="E262" s="156" t="s">
        <v>3840</v>
      </c>
      <c r="F262" s="43">
        <v>49</v>
      </c>
      <c r="G262" s="43" t="s">
        <v>3841</v>
      </c>
      <c r="H262" s="43" t="s">
        <v>1546</v>
      </c>
      <c r="I262" s="42">
        <v>904806839</v>
      </c>
      <c r="J262" s="353" t="s">
        <v>302</v>
      </c>
      <c r="K262" s="44">
        <v>46099</v>
      </c>
      <c r="L262" s="43" t="s">
        <v>388</v>
      </c>
      <c r="M262" s="43" t="s">
        <v>230</v>
      </c>
      <c r="N262" s="224" t="s">
        <v>241</v>
      </c>
      <c r="O262" s="155">
        <v>46101</v>
      </c>
      <c r="P262" s="224" t="s">
        <v>3610</v>
      </c>
      <c r="Q262" s="91"/>
      <c r="R262" s="91"/>
      <c r="S262" s="91"/>
      <c r="T262" s="91"/>
      <c r="U262" s="91"/>
      <c r="V262" s="91"/>
      <c r="W262" s="91"/>
      <c r="X262" s="91"/>
      <c r="Y262" s="91"/>
      <c r="Z262" s="91"/>
      <c r="AA262" s="91"/>
      <c r="AB262" s="91"/>
      <c r="AC262" s="91"/>
      <c r="AD262" s="91"/>
      <c r="AE262" s="91"/>
      <c r="AF262" s="91"/>
      <c r="AG262" s="91"/>
      <c r="AH262" s="91"/>
      <c r="AI262" s="91"/>
    </row>
    <row r="263" spans="1:35">
      <c r="A263" s="244"/>
      <c r="B263" s="156">
        <v>261</v>
      </c>
      <c r="C263" s="43">
        <v>401465</v>
      </c>
      <c r="D263" s="272">
        <v>45344956</v>
      </c>
      <c r="E263" s="370" t="s">
        <v>3842</v>
      </c>
      <c r="F263" s="272">
        <v>41</v>
      </c>
      <c r="G263" s="43" t="s">
        <v>3843</v>
      </c>
      <c r="H263" s="43" t="s">
        <v>222</v>
      </c>
      <c r="I263" s="296">
        <v>935842965</v>
      </c>
      <c r="J263" s="353" t="s">
        <v>223</v>
      </c>
      <c r="K263" s="44">
        <v>46099</v>
      </c>
      <c r="L263" s="43" t="s">
        <v>388</v>
      </c>
      <c r="M263" s="43" t="s">
        <v>230</v>
      </c>
      <c r="N263" s="224" t="s">
        <v>241</v>
      </c>
      <c r="O263" s="152">
        <v>46104</v>
      </c>
      <c r="P263" s="732" t="s">
        <v>3488</v>
      </c>
      <c r="Q263" s="91"/>
      <c r="R263" s="91"/>
      <c r="S263" s="91"/>
      <c r="T263" s="91"/>
      <c r="U263" s="91"/>
      <c r="V263" s="91"/>
      <c r="W263" s="91"/>
      <c r="X263" s="91"/>
      <c r="Y263" s="91"/>
      <c r="Z263" s="91"/>
      <c r="AA263" s="91"/>
      <c r="AB263" s="91"/>
      <c r="AC263" s="91"/>
      <c r="AD263" s="91"/>
      <c r="AE263" s="91"/>
      <c r="AF263" s="91"/>
      <c r="AG263" s="91"/>
      <c r="AH263" s="91"/>
      <c r="AI263" s="91"/>
    </row>
    <row r="264" spans="1:35">
      <c r="A264" s="244"/>
      <c r="B264" s="156">
        <v>262</v>
      </c>
      <c r="C264" s="43">
        <v>173285</v>
      </c>
      <c r="D264" s="43">
        <v>15725597</v>
      </c>
      <c r="E264" s="156" t="s">
        <v>3844</v>
      </c>
      <c r="F264" s="43">
        <v>55</v>
      </c>
      <c r="G264" s="43" t="s">
        <v>3845</v>
      </c>
      <c r="H264" s="43" t="s">
        <v>237</v>
      </c>
      <c r="I264" s="42">
        <v>926957496</v>
      </c>
      <c r="J264" s="353" t="s">
        <v>1105</v>
      </c>
      <c r="K264" s="44">
        <v>46099</v>
      </c>
      <c r="L264" s="43" t="s">
        <v>376</v>
      </c>
      <c r="M264" s="43" t="s">
        <v>230</v>
      </c>
      <c r="N264" s="224" t="s">
        <v>317</v>
      </c>
      <c r="O264" s="155">
        <v>46101</v>
      </c>
      <c r="P264" s="224" t="s">
        <v>3221</v>
      </c>
      <c r="Q264" s="91"/>
      <c r="R264" s="91"/>
      <c r="S264" s="91"/>
      <c r="T264" s="91"/>
      <c r="U264" s="91"/>
      <c r="V264" s="91"/>
      <c r="W264" s="91"/>
      <c r="X264" s="91"/>
      <c r="Y264" s="91"/>
      <c r="Z264" s="91"/>
      <c r="AA264" s="91"/>
      <c r="AB264" s="91"/>
      <c r="AC264" s="91"/>
      <c r="AD264" s="91"/>
      <c r="AE264" s="91"/>
      <c r="AF264" s="91"/>
      <c r="AG264" s="91"/>
      <c r="AH264" s="91"/>
      <c r="AI264" s="91"/>
    </row>
    <row r="265" spans="1:35">
      <c r="A265" s="244"/>
      <c r="B265" s="156">
        <v>263</v>
      </c>
      <c r="C265" s="43">
        <v>310450</v>
      </c>
      <c r="D265" s="43">
        <v>15601518</v>
      </c>
      <c r="E265" s="156" t="s">
        <v>3846</v>
      </c>
      <c r="F265" s="43">
        <v>60</v>
      </c>
      <c r="G265" s="43" t="s">
        <v>3847</v>
      </c>
      <c r="H265" s="43" t="s">
        <v>237</v>
      </c>
      <c r="I265" s="42">
        <v>973447511</v>
      </c>
      <c r="J265" s="353" t="s">
        <v>1105</v>
      </c>
      <c r="K265" s="44">
        <v>46099</v>
      </c>
      <c r="L265" s="43" t="s">
        <v>3848</v>
      </c>
      <c r="M265" s="43" t="s">
        <v>312</v>
      </c>
      <c r="N265" s="224" t="s">
        <v>241</v>
      </c>
      <c r="O265" s="155">
        <v>46101</v>
      </c>
      <c r="P265" s="224" t="s">
        <v>3221</v>
      </c>
      <c r="Q265" s="91"/>
      <c r="R265" s="91"/>
      <c r="S265" s="91"/>
      <c r="T265" s="91"/>
      <c r="U265" s="91"/>
      <c r="V265" s="91"/>
      <c r="W265" s="91"/>
      <c r="X265" s="91"/>
      <c r="Y265" s="91"/>
      <c r="Z265" s="91"/>
      <c r="AA265" s="91"/>
      <c r="AB265" s="91"/>
      <c r="AC265" s="91"/>
      <c r="AD265" s="91"/>
      <c r="AE265" s="91"/>
      <c r="AF265" s="91"/>
      <c r="AG265" s="91"/>
      <c r="AH265" s="91"/>
      <c r="AI265" s="91"/>
    </row>
    <row r="266" spans="1:35">
      <c r="A266" s="43"/>
      <c r="B266" s="156">
        <v>264</v>
      </c>
      <c r="C266" s="43">
        <v>120800</v>
      </c>
      <c r="D266" s="43">
        <v>31827531</v>
      </c>
      <c r="E266" s="156" t="s">
        <v>3849</v>
      </c>
      <c r="F266" s="43">
        <v>60</v>
      </c>
      <c r="G266" s="43" t="s">
        <v>3850</v>
      </c>
      <c r="H266" s="43" t="s">
        <v>237</v>
      </c>
      <c r="I266" s="42">
        <v>936273662</v>
      </c>
      <c r="J266" s="353" t="s">
        <v>347</v>
      </c>
      <c r="K266" s="44">
        <v>46099</v>
      </c>
      <c r="L266" s="43" t="s">
        <v>376</v>
      </c>
      <c r="M266" s="43" t="s">
        <v>230</v>
      </c>
      <c r="N266" s="224" t="s">
        <v>317</v>
      </c>
      <c r="O266" s="152">
        <v>46101</v>
      </c>
      <c r="P266" s="732" t="s">
        <v>3592</v>
      </c>
      <c r="Q266" s="91"/>
      <c r="R266" s="91"/>
      <c r="S266" s="91"/>
      <c r="T266" s="91"/>
      <c r="U266" s="91"/>
      <c r="V266" s="91"/>
      <c r="W266" s="91"/>
      <c r="X266" s="91"/>
      <c r="Y266" s="91"/>
      <c r="Z266" s="91"/>
      <c r="AA266" s="91"/>
      <c r="AB266" s="91"/>
      <c r="AC266" s="91"/>
      <c r="AD266" s="91"/>
      <c r="AE266" s="91"/>
      <c r="AF266" s="91"/>
      <c r="AG266" s="91"/>
      <c r="AH266" s="91"/>
      <c r="AI266" s="91"/>
    </row>
    <row r="267" spans="1:35">
      <c r="A267" s="206"/>
      <c r="B267" s="156">
        <v>265</v>
      </c>
      <c r="C267" s="43">
        <v>437031</v>
      </c>
      <c r="D267" s="43">
        <v>48826564</v>
      </c>
      <c r="E267" s="156" t="s">
        <v>3851</v>
      </c>
      <c r="F267" s="43">
        <v>42</v>
      </c>
      <c r="G267" s="43" t="s">
        <v>3852</v>
      </c>
      <c r="H267" s="43" t="s">
        <v>237</v>
      </c>
      <c r="I267" s="42" t="s">
        <v>3853</v>
      </c>
      <c r="J267" s="353" t="s">
        <v>289</v>
      </c>
      <c r="K267" s="44">
        <v>46099</v>
      </c>
      <c r="L267" s="43" t="s">
        <v>388</v>
      </c>
      <c r="M267" s="43" t="s">
        <v>230</v>
      </c>
      <c r="N267" s="224" t="s">
        <v>241</v>
      </c>
      <c r="O267" s="155">
        <v>46105</v>
      </c>
      <c r="P267" s="428" t="s">
        <v>3409</v>
      </c>
      <c r="Q267" s="91"/>
      <c r="R267" s="91"/>
      <c r="S267" s="91"/>
      <c r="T267" s="91"/>
      <c r="U267" s="91"/>
      <c r="V267" s="91"/>
      <c r="W267" s="91"/>
      <c r="X267" s="91"/>
      <c r="Y267" s="91"/>
      <c r="Z267" s="91"/>
      <c r="AA267" s="91"/>
      <c r="AB267" s="91"/>
      <c r="AC267" s="91"/>
      <c r="AD267" s="91"/>
      <c r="AE267" s="91"/>
      <c r="AF267" s="91"/>
      <c r="AG267" s="91"/>
      <c r="AH267" s="91"/>
      <c r="AI267" s="91"/>
    </row>
    <row r="268" spans="1:35">
      <c r="A268" s="43"/>
      <c r="B268" s="156">
        <v>266</v>
      </c>
      <c r="C268" s="43">
        <v>524074</v>
      </c>
      <c r="D268" s="43">
        <v>42573877</v>
      </c>
      <c r="E268" s="156" t="s">
        <v>3854</v>
      </c>
      <c r="F268" s="43">
        <v>41</v>
      </c>
      <c r="G268" s="43" t="s">
        <v>3855</v>
      </c>
      <c r="H268" s="43" t="s">
        <v>271</v>
      </c>
      <c r="I268" s="42">
        <v>972265802</v>
      </c>
      <c r="J268" s="353" t="s">
        <v>164</v>
      </c>
      <c r="K268" s="44">
        <v>46099</v>
      </c>
      <c r="L268" s="43" t="s">
        <v>388</v>
      </c>
      <c r="M268" s="43" t="s">
        <v>230</v>
      </c>
      <c r="N268" s="428" t="s">
        <v>241</v>
      </c>
      <c r="O268" s="155">
        <v>46100</v>
      </c>
      <c r="P268" s="51" t="s">
        <v>3559</v>
      </c>
      <c r="Q268" s="879" t="s">
        <v>358</v>
      </c>
      <c r="R268" s="839"/>
      <c r="S268" s="839"/>
      <c r="T268" s="839"/>
      <c r="U268" s="839"/>
      <c r="V268" s="839"/>
      <c r="W268" s="839"/>
      <c r="X268" s="839"/>
      <c r="Y268" s="839"/>
      <c r="Z268" s="839"/>
      <c r="AA268" s="839"/>
      <c r="AB268" s="839"/>
      <c r="AC268" s="839"/>
      <c r="AD268" s="839"/>
      <c r="AE268" s="839"/>
      <c r="AF268" s="839"/>
      <c r="AG268" s="839"/>
      <c r="AH268" s="839"/>
      <c r="AI268" s="839"/>
    </row>
    <row r="269" spans="1:35">
      <c r="A269" s="206"/>
      <c r="B269" s="156">
        <v>267</v>
      </c>
      <c r="C269" s="43">
        <v>233855</v>
      </c>
      <c r="D269" s="43">
        <v>41433684</v>
      </c>
      <c r="E269" s="156" t="s">
        <v>3856</v>
      </c>
      <c r="F269" s="43">
        <v>43</v>
      </c>
      <c r="G269" s="43" t="s">
        <v>3857</v>
      </c>
      <c r="H269" s="43" t="s">
        <v>246</v>
      </c>
      <c r="I269" s="42">
        <v>952195826</v>
      </c>
      <c r="J269" s="353" t="s">
        <v>707</v>
      </c>
      <c r="K269" s="44">
        <v>46099</v>
      </c>
      <c r="L269" s="43" t="s">
        <v>376</v>
      </c>
      <c r="M269" s="43" t="s">
        <v>312</v>
      </c>
      <c r="N269" s="224" t="s">
        <v>317</v>
      </c>
      <c r="O269" s="152">
        <v>46101</v>
      </c>
      <c r="P269" s="732" t="s">
        <v>3135</v>
      </c>
      <c r="Q269" s="91"/>
      <c r="R269" s="91"/>
      <c r="S269" s="91"/>
      <c r="T269" s="91"/>
      <c r="U269" s="91"/>
      <c r="V269" s="91"/>
      <c r="W269" s="91"/>
      <c r="X269" s="91"/>
      <c r="Y269" s="91"/>
      <c r="Z269" s="91"/>
      <c r="AA269" s="91"/>
      <c r="AB269" s="91"/>
      <c r="AC269" s="91"/>
      <c r="AD269" s="91"/>
      <c r="AE269" s="91"/>
      <c r="AF269" s="91"/>
      <c r="AG269" s="91"/>
      <c r="AH269" s="91"/>
      <c r="AI269" s="91"/>
    </row>
    <row r="270" spans="1:35" ht="24.75">
      <c r="A270" s="273" t="s">
        <v>513</v>
      </c>
      <c r="B270" s="156">
        <v>268</v>
      </c>
      <c r="C270" s="43">
        <v>157655</v>
      </c>
      <c r="D270" s="43">
        <v>15759408</v>
      </c>
      <c r="E270" s="65" t="s">
        <v>3858</v>
      </c>
      <c r="F270" s="43">
        <v>63</v>
      </c>
      <c r="G270" s="45" t="s">
        <v>3859</v>
      </c>
      <c r="H270" s="43" t="s">
        <v>326</v>
      </c>
      <c r="I270" s="42">
        <v>993045846</v>
      </c>
      <c r="J270" s="353" t="s">
        <v>289</v>
      </c>
      <c r="K270" s="44">
        <v>46099</v>
      </c>
      <c r="L270" s="43" t="s">
        <v>388</v>
      </c>
      <c r="M270" s="43" t="s">
        <v>312</v>
      </c>
      <c r="N270" s="224" t="s">
        <v>241</v>
      </c>
      <c r="O270" s="155">
        <v>46105</v>
      </c>
      <c r="P270" s="428" t="s">
        <v>3409</v>
      </c>
      <c r="Q270" s="91"/>
      <c r="R270" s="91"/>
      <c r="S270" s="91"/>
      <c r="T270" s="91"/>
      <c r="U270" s="91"/>
      <c r="V270" s="91"/>
      <c r="W270" s="91"/>
      <c r="X270" s="91"/>
      <c r="Y270" s="91"/>
      <c r="Z270" s="91"/>
      <c r="AA270" s="91"/>
      <c r="AB270" s="91"/>
      <c r="AC270" s="91"/>
      <c r="AD270" s="91"/>
      <c r="AE270" s="91"/>
      <c r="AF270" s="91"/>
      <c r="AG270" s="91"/>
      <c r="AH270" s="91"/>
      <c r="AI270" s="91"/>
    </row>
    <row r="271" spans="1:35">
      <c r="A271" s="206"/>
      <c r="B271" s="156">
        <v>269</v>
      </c>
      <c r="C271" s="43">
        <v>433244</v>
      </c>
      <c r="D271" s="244">
        <v>32286702</v>
      </c>
      <c r="E271" s="65" t="s">
        <v>3860</v>
      </c>
      <c r="F271" s="244">
        <v>50</v>
      </c>
      <c r="G271" s="244" t="s">
        <v>3861</v>
      </c>
      <c r="H271" s="244" t="s">
        <v>1717</v>
      </c>
      <c r="I271" s="297">
        <v>998366901</v>
      </c>
      <c r="J271" s="357" t="s">
        <v>429</v>
      </c>
      <c r="K271" s="44">
        <v>46099</v>
      </c>
      <c r="L271" s="43" t="s">
        <v>376</v>
      </c>
      <c r="M271" s="43" t="s">
        <v>230</v>
      </c>
      <c r="N271" s="428" t="s">
        <v>317</v>
      </c>
      <c r="O271" s="215">
        <v>46101</v>
      </c>
      <c r="P271" s="50" t="s">
        <v>3862</v>
      </c>
      <c r="Q271" s="879" t="s">
        <v>358</v>
      </c>
      <c r="R271" s="839"/>
      <c r="S271" s="839"/>
      <c r="T271" s="839"/>
      <c r="U271" s="839"/>
      <c r="V271" s="839"/>
      <c r="W271" s="839"/>
      <c r="X271" s="839"/>
      <c r="Y271" s="839"/>
      <c r="Z271" s="839"/>
      <c r="AA271" s="839"/>
      <c r="AB271" s="839"/>
      <c r="AC271" s="839"/>
      <c r="AD271" s="839"/>
      <c r="AE271" s="839"/>
      <c r="AF271" s="839"/>
      <c r="AG271" s="839"/>
      <c r="AH271" s="839"/>
      <c r="AI271" s="839"/>
    </row>
    <row r="272" spans="1:35">
      <c r="A272" s="207"/>
      <c r="B272" s="156">
        <v>270</v>
      </c>
      <c r="C272" s="132">
        <v>380769</v>
      </c>
      <c r="D272" s="132">
        <v>41245672</v>
      </c>
      <c r="E272" s="159" t="s">
        <v>3863</v>
      </c>
      <c r="F272" s="132">
        <v>43</v>
      </c>
      <c r="G272" s="132" t="s">
        <v>3864</v>
      </c>
      <c r="H272" s="132" t="s">
        <v>237</v>
      </c>
      <c r="I272" s="116">
        <v>923249773</v>
      </c>
      <c r="J272" s="355" t="s">
        <v>742</v>
      </c>
      <c r="K272" s="133">
        <v>46099</v>
      </c>
      <c r="L272" s="132" t="s">
        <v>413</v>
      </c>
      <c r="M272" s="132" t="s">
        <v>260</v>
      </c>
      <c r="N272" s="150" t="s">
        <v>950</v>
      </c>
      <c r="O272" s="152">
        <v>46101</v>
      </c>
      <c r="P272" s="732" t="s">
        <v>3667</v>
      </c>
      <c r="Q272" s="91"/>
      <c r="R272" s="91"/>
      <c r="S272" s="91"/>
      <c r="T272" s="91"/>
      <c r="U272" s="91"/>
      <c r="V272" s="91"/>
      <c r="W272" s="91"/>
      <c r="X272" s="91"/>
      <c r="Y272" s="91"/>
      <c r="Z272" s="91"/>
      <c r="AA272" s="91"/>
      <c r="AB272" s="91"/>
      <c r="AC272" s="91"/>
      <c r="AD272" s="91"/>
      <c r="AE272" s="91"/>
      <c r="AF272" s="91"/>
      <c r="AG272" s="91"/>
      <c r="AH272" s="91"/>
      <c r="AI272" s="91"/>
    </row>
    <row r="273" spans="1:35">
      <c r="A273" s="206"/>
      <c r="B273" s="156">
        <v>271</v>
      </c>
      <c r="C273" s="43">
        <v>292651</v>
      </c>
      <c r="D273" s="244">
        <v>43963229</v>
      </c>
      <c r="E273" s="65" t="s">
        <v>3865</v>
      </c>
      <c r="F273" s="244">
        <v>45</v>
      </c>
      <c r="G273" s="244" t="s">
        <v>3866</v>
      </c>
      <c r="H273" s="244" t="s">
        <v>1717</v>
      </c>
      <c r="I273" s="297">
        <v>986270539</v>
      </c>
      <c r="J273" s="357" t="s">
        <v>429</v>
      </c>
      <c r="K273" s="44">
        <v>46099</v>
      </c>
      <c r="L273" s="43" t="s">
        <v>376</v>
      </c>
      <c r="M273" s="43" t="s">
        <v>230</v>
      </c>
      <c r="N273" s="428" t="s">
        <v>317</v>
      </c>
      <c r="O273" s="215">
        <v>46101</v>
      </c>
      <c r="P273" s="50" t="s">
        <v>3862</v>
      </c>
      <c r="Q273" s="879" t="s">
        <v>358</v>
      </c>
      <c r="R273" s="839"/>
      <c r="S273" s="839"/>
      <c r="T273" s="839"/>
      <c r="U273" s="839"/>
      <c r="V273" s="839"/>
      <c r="W273" s="839"/>
      <c r="X273" s="839"/>
      <c r="Y273" s="839"/>
      <c r="Z273" s="839"/>
      <c r="AA273" s="839"/>
      <c r="AB273" s="839"/>
      <c r="AC273" s="839"/>
      <c r="AD273" s="839"/>
      <c r="AE273" s="839"/>
      <c r="AF273" s="839"/>
      <c r="AG273" s="839"/>
      <c r="AH273" s="839"/>
      <c r="AI273" s="839"/>
    </row>
    <row r="274" spans="1:35">
      <c r="A274" s="206"/>
      <c r="B274" s="156">
        <v>272</v>
      </c>
      <c r="C274" s="43">
        <v>172772</v>
      </c>
      <c r="D274" s="274">
        <v>15728575</v>
      </c>
      <c r="E274" s="371" t="s">
        <v>3867</v>
      </c>
      <c r="F274" s="289">
        <v>54</v>
      </c>
      <c r="G274" s="289" t="s">
        <v>3868</v>
      </c>
      <c r="H274" s="289" t="s">
        <v>1657</v>
      </c>
      <c r="I274" s="289">
        <v>940547374</v>
      </c>
      <c r="J274" s="358" t="s">
        <v>289</v>
      </c>
      <c r="K274" s="44">
        <v>46099</v>
      </c>
      <c r="L274" s="43" t="s">
        <v>376</v>
      </c>
      <c r="M274" s="43" t="s">
        <v>230</v>
      </c>
      <c r="N274" s="224" t="s">
        <v>317</v>
      </c>
      <c r="O274" s="155">
        <v>46105</v>
      </c>
      <c r="P274" s="428" t="s">
        <v>3409</v>
      </c>
      <c r="Q274" s="91"/>
      <c r="R274" s="91"/>
      <c r="S274" s="91"/>
      <c r="T274" s="91"/>
      <c r="U274" s="91"/>
      <c r="V274" s="91"/>
      <c r="W274" s="91"/>
      <c r="X274" s="91"/>
      <c r="Y274" s="91"/>
      <c r="Z274" s="91"/>
      <c r="AA274" s="91"/>
      <c r="AB274" s="91"/>
      <c r="AC274" s="91"/>
      <c r="AD274" s="91"/>
      <c r="AE274" s="91"/>
      <c r="AF274" s="91"/>
      <c r="AG274" s="91"/>
      <c r="AH274" s="91"/>
      <c r="AI274" s="91"/>
    </row>
    <row r="275" spans="1:35">
      <c r="A275" s="206"/>
      <c r="B275" s="156">
        <v>273</v>
      </c>
      <c r="C275" s="43">
        <v>52514</v>
      </c>
      <c r="D275" s="275">
        <v>15737323</v>
      </c>
      <c r="E275" s="372" t="s">
        <v>3869</v>
      </c>
      <c r="F275" s="278">
        <v>50</v>
      </c>
      <c r="G275" s="278" t="s">
        <v>3870</v>
      </c>
      <c r="H275" s="278" t="s">
        <v>278</v>
      </c>
      <c r="I275" s="278">
        <v>991352724</v>
      </c>
      <c r="J275" s="358" t="s">
        <v>289</v>
      </c>
      <c r="K275" s="44">
        <v>46099</v>
      </c>
      <c r="L275" s="43" t="s">
        <v>3871</v>
      </c>
      <c r="M275" s="43" t="s">
        <v>312</v>
      </c>
      <c r="N275" s="224" t="s">
        <v>241</v>
      </c>
      <c r="O275" s="155">
        <v>46105</v>
      </c>
      <c r="P275" s="428" t="s">
        <v>3409</v>
      </c>
      <c r="Q275" s="91"/>
      <c r="R275" s="91"/>
      <c r="S275" s="91"/>
      <c r="T275" s="91"/>
      <c r="U275" s="91"/>
      <c r="V275" s="91"/>
      <c r="W275" s="91"/>
      <c r="X275" s="91"/>
      <c r="Y275" s="91"/>
      <c r="Z275" s="91"/>
      <c r="AA275" s="91"/>
      <c r="AB275" s="91"/>
      <c r="AC275" s="91"/>
      <c r="AD275" s="91"/>
      <c r="AE275" s="91"/>
      <c r="AF275" s="91"/>
      <c r="AG275" s="91"/>
      <c r="AH275" s="91"/>
      <c r="AI275" s="91"/>
    </row>
    <row r="276" spans="1:35">
      <c r="A276" s="206"/>
      <c r="B276" s="156">
        <v>274</v>
      </c>
      <c r="C276" s="43">
        <v>103455</v>
      </c>
      <c r="D276" s="275">
        <v>15640117</v>
      </c>
      <c r="E276" s="372" t="s">
        <v>3872</v>
      </c>
      <c r="F276" s="278">
        <v>62</v>
      </c>
      <c r="G276" s="278" t="s">
        <v>3873</v>
      </c>
      <c r="H276" s="278" t="s">
        <v>3874</v>
      </c>
      <c r="I276" s="278" t="s">
        <v>3875</v>
      </c>
      <c r="J276" s="358" t="s">
        <v>238</v>
      </c>
      <c r="K276" s="44">
        <v>46099</v>
      </c>
      <c r="L276" s="43" t="s">
        <v>376</v>
      </c>
      <c r="M276" s="43" t="s">
        <v>230</v>
      </c>
      <c r="N276" s="224" t="s">
        <v>317</v>
      </c>
      <c r="O276" s="152">
        <v>46101</v>
      </c>
      <c r="P276" s="732"/>
      <c r="Q276" s="91"/>
      <c r="R276" s="91"/>
      <c r="S276" s="91"/>
      <c r="T276" s="91"/>
      <c r="U276" s="91"/>
      <c r="V276" s="91"/>
      <c r="W276" s="91"/>
      <c r="X276" s="91"/>
      <c r="Y276" s="91"/>
      <c r="Z276" s="91"/>
      <c r="AA276" s="91"/>
      <c r="AB276" s="91"/>
      <c r="AC276" s="91"/>
      <c r="AD276" s="91"/>
      <c r="AE276" s="91"/>
      <c r="AF276" s="91"/>
      <c r="AG276" s="91"/>
      <c r="AH276" s="91"/>
      <c r="AI276" s="91"/>
    </row>
    <row r="277" spans="1:35">
      <c r="A277" s="206"/>
      <c r="B277" s="156">
        <v>275</v>
      </c>
      <c r="C277" s="43">
        <v>351494</v>
      </c>
      <c r="D277" s="275">
        <v>15763389</v>
      </c>
      <c r="E277" s="372" t="s">
        <v>3876</v>
      </c>
      <c r="F277" s="278">
        <v>48</v>
      </c>
      <c r="G277" s="278" t="s">
        <v>3877</v>
      </c>
      <c r="H277" s="278" t="s">
        <v>573</v>
      </c>
      <c r="I277" s="278">
        <v>974202255</v>
      </c>
      <c r="J277" s="358" t="s">
        <v>1105</v>
      </c>
      <c r="K277" s="44">
        <v>46099</v>
      </c>
      <c r="L277" s="43" t="s">
        <v>376</v>
      </c>
      <c r="M277" s="43" t="s">
        <v>230</v>
      </c>
      <c r="N277" s="224" t="s">
        <v>317</v>
      </c>
      <c r="O277" s="155">
        <v>46101</v>
      </c>
      <c r="P277" s="224" t="s">
        <v>3221</v>
      </c>
      <c r="Q277" s="91"/>
      <c r="R277" s="91"/>
      <c r="S277" s="91"/>
      <c r="T277" s="91"/>
      <c r="U277" s="91"/>
      <c r="V277" s="91"/>
      <c r="W277" s="91"/>
      <c r="X277" s="91"/>
      <c r="Y277" s="91"/>
      <c r="Z277" s="91"/>
      <c r="AA277" s="91"/>
      <c r="AB277" s="91"/>
      <c r="AC277" s="91"/>
      <c r="AD277" s="91"/>
      <c r="AE277" s="91"/>
      <c r="AF277" s="91"/>
      <c r="AG277" s="91"/>
      <c r="AH277" s="91"/>
      <c r="AI277" s="91"/>
    </row>
    <row r="278" spans="1:35">
      <c r="A278" s="206"/>
      <c r="B278" s="156">
        <v>276</v>
      </c>
      <c r="C278" s="43">
        <v>254469</v>
      </c>
      <c r="D278" s="275">
        <v>40805066</v>
      </c>
      <c r="E278" s="372" t="s">
        <v>3878</v>
      </c>
      <c r="F278" s="278">
        <v>46</v>
      </c>
      <c r="G278" s="278" t="s">
        <v>3879</v>
      </c>
      <c r="H278" s="278" t="s">
        <v>1860</v>
      </c>
      <c r="I278" s="278">
        <v>925498385</v>
      </c>
      <c r="J278" s="358" t="s">
        <v>1483</v>
      </c>
      <c r="K278" s="44">
        <v>46099</v>
      </c>
      <c r="L278" s="43" t="s">
        <v>3880</v>
      </c>
      <c r="M278" s="43" t="s">
        <v>312</v>
      </c>
      <c r="N278" s="224" t="s">
        <v>241</v>
      </c>
      <c r="O278" s="152">
        <v>46101</v>
      </c>
      <c r="P278" s="732" t="s">
        <v>3532</v>
      </c>
      <c r="Q278" s="91"/>
      <c r="R278" s="91"/>
      <c r="S278" s="91"/>
      <c r="T278" s="91"/>
      <c r="U278" s="91"/>
      <c r="V278" s="91"/>
      <c r="W278" s="91"/>
      <c r="X278" s="91"/>
      <c r="Y278" s="91"/>
      <c r="Z278" s="91"/>
      <c r="AA278" s="91"/>
      <c r="AB278" s="91"/>
      <c r="AC278" s="91"/>
      <c r="AD278" s="91"/>
      <c r="AE278" s="91"/>
      <c r="AF278" s="91"/>
      <c r="AG278" s="91"/>
      <c r="AH278" s="91"/>
      <c r="AI278" s="91"/>
    </row>
    <row r="279" spans="1:35">
      <c r="A279" s="206"/>
      <c r="B279" s="156">
        <v>277</v>
      </c>
      <c r="C279" s="43">
        <v>224559</v>
      </c>
      <c r="D279" s="275">
        <v>15222044</v>
      </c>
      <c r="E279" s="372" t="s">
        <v>3881</v>
      </c>
      <c r="F279" s="278">
        <v>50</v>
      </c>
      <c r="G279" s="278" t="s">
        <v>3882</v>
      </c>
      <c r="H279" s="278" t="s">
        <v>237</v>
      </c>
      <c r="I279" s="278">
        <v>974205518</v>
      </c>
      <c r="J279" s="358" t="s">
        <v>347</v>
      </c>
      <c r="K279" s="44">
        <v>46099</v>
      </c>
      <c r="L279" s="43" t="s">
        <v>376</v>
      </c>
      <c r="M279" s="43" t="s">
        <v>230</v>
      </c>
      <c r="N279" s="224" t="s">
        <v>317</v>
      </c>
      <c r="O279" s="152">
        <v>46101</v>
      </c>
      <c r="P279" s="732" t="s">
        <v>3592</v>
      </c>
      <c r="Q279" s="91"/>
      <c r="R279" s="91"/>
      <c r="S279" s="91"/>
      <c r="T279" s="91"/>
      <c r="U279" s="91"/>
      <c r="V279" s="91"/>
      <c r="W279" s="91"/>
      <c r="X279" s="91"/>
      <c r="Y279" s="91"/>
      <c r="Z279" s="91"/>
      <c r="AA279" s="91"/>
      <c r="AB279" s="91"/>
      <c r="AC279" s="91"/>
      <c r="AD279" s="91"/>
      <c r="AE279" s="91"/>
      <c r="AF279" s="91"/>
      <c r="AG279" s="91"/>
      <c r="AH279" s="91"/>
      <c r="AI279" s="91"/>
    </row>
    <row r="280" spans="1:35">
      <c r="A280" s="207"/>
      <c r="B280" s="156">
        <v>278</v>
      </c>
      <c r="C280" s="276">
        <v>128530</v>
      </c>
      <c r="D280" s="277">
        <v>42915349</v>
      </c>
      <c r="E280" s="373" t="s">
        <v>3883</v>
      </c>
      <c r="F280" s="290">
        <v>40</v>
      </c>
      <c r="G280" s="290" t="s">
        <v>3884</v>
      </c>
      <c r="H280" s="290" t="s">
        <v>1581</v>
      </c>
      <c r="I280" s="290">
        <v>901883943</v>
      </c>
      <c r="J280" s="359" t="s">
        <v>384</v>
      </c>
      <c r="K280" s="133">
        <v>46099</v>
      </c>
      <c r="L280" s="132" t="s">
        <v>1469</v>
      </c>
      <c r="M280" s="132" t="s">
        <v>260</v>
      </c>
      <c r="N280" s="150" t="s">
        <v>950</v>
      </c>
      <c r="O280" s="424">
        <v>46101</v>
      </c>
      <c r="P280" s="224" t="s">
        <v>3125</v>
      </c>
      <c r="Q280" s="91"/>
      <c r="R280" s="91"/>
      <c r="S280" s="91"/>
      <c r="T280" s="91"/>
      <c r="U280" s="91"/>
      <c r="V280" s="91"/>
      <c r="W280" s="91"/>
      <c r="X280" s="91"/>
      <c r="Y280" s="91"/>
      <c r="Z280" s="91"/>
      <c r="AA280" s="91"/>
      <c r="AB280" s="91"/>
      <c r="AC280" s="91"/>
      <c r="AD280" s="91"/>
      <c r="AE280" s="91"/>
      <c r="AF280" s="91"/>
      <c r="AG280" s="91"/>
      <c r="AH280" s="91"/>
      <c r="AI280" s="91"/>
    </row>
    <row r="281" spans="1:35">
      <c r="A281" s="206"/>
      <c r="B281" s="156">
        <v>279</v>
      </c>
      <c r="C281" s="43">
        <v>524098</v>
      </c>
      <c r="D281" s="275">
        <v>45123803</v>
      </c>
      <c r="E281" s="372" t="s">
        <v>3885</v>
      </c>
      <c r="F281" s="278">
        <v>41</v>
      </c>
      <c r="G281" s="278" t="s">
        <v>3886</v>
      </c>
      <c r="H281" s="278" t="s">
        <v>3552</v>
      </c>
      <c r="I281" s="278">
        <v>923111965</v>
      </c>
      <c r="J281" s="358" t="s">
        <v>162</v>
      </c>
      <c r="K281" s="44">
        <v>46099</v>
      </c>
      <c r="L281" s="43" t="s">
        <v>388</v>
      </c>
      <c r="M281" s="43" t="s">
        <v>230</v>
      </c>
      <c r="N281" s="428" t="s">
        <v>241</v>
      </c>
      <c r="O281" s="155">
        <v>46100</v>
      </c>
      <c r="P281" s="51" t="s">
        <v>3559</v>
      </c>
      <c r="Q281" s="877" t="s">
        <v>358</v>
      </c>
      <c r="R281" s="837"/>
      <c r="S281" s="837"/>
      <c r="T281" s="837"/>
      <c r="U281" s="837"/>
      <c r="V281" s="837"/>
      <c r="W281" s="837"/>
      <c r="X281" s="837"/>
      <c r="Y281" s="837"/>
      <c r="Z281" s="837"/>
      <c r="AA281" s="837"/>
      <c r="AB281" s="837"/>
      <c r="AC281" s="837"/>
      <c r="AD281" s="837"/>
      <c r="AE281" s="837"/>
      <c r="AF281" s="837"/>
      <c r="AG281" s="837"/>
      <c r="AH281" s="837"/>
      <c r="AI281" s="837"/>
    </row>
    <row r="282" spans="1:35">
      <c r="A282" s="206"/>
      <c r="B282" s="156">
        <v>280</v>
      </c>
      <c r="C282" s="43">
        <v>484316</v>
      </c>
      <c r="D282" s="275" t="s">
        <v>3887</v>
      </c>
      <c r="E282" s="372" t="s">
        <v>3888</v>
      </c>
      <c r="F282" s="278">
        <v>55</v>
      </c>
      <c r="G282" s="278" t="s">
        <v>3889</v>
      </c>
      <c r="H282" s="278" t="s">
        <v>301</v>
      </c>
      <c r="I282" s="278">
        <v>918046718</v>
      </c>
      <c r="J282" s="358" t="s">
        <v>238</v>
      </c>
      <c r="K282" s="44">
        <v>46099</v>
      </c>
      <c r="L282" s="43" t="s">
        <v>3890</v>
      </c>
      <c r="M282" s="43" t="s">
        <v>230</v>
      </c>
      <c r="N282" s="43" t="s">
        <v>317</v>
      </c>
      <c r="O282" s="680">
        <v>46111</v>
      </c>
      <c r="P282" s="151"/>
      <c r="Q282" s="405" t="s">
        <v>3891</v>
      </c>
      <c r="R282" s="838"/>
      <c r="S282" s="838"/>
      <c r="T282" s="838"/>
      <c r="U282" s="838"/>
      <c r="V282" s="838"/>
      <c r="W282" s="838"/>
      <c r="X282" s="838"/>
      <c r="Y282" s="838"/>
      <c r="Z282" s="838"/>
      <c r="AA282" s="838"/>
      <c r="AB282" s="838"/>
      <c r="AC282" s="838"/>
      <c r="AD282" s="838"/>
      <c r="AE282" s="838"/>
      <c r="AF282" s="838"/>
      <c r="AG282" s="838"/>
      <c r="AH282" s="838"/>
      <c r="AI282" s="838"/>
    </row>
    <row r="283" spans="1:35">
      <c r="A283" s="207"/>
      <c r="B283" s="156">
        <v>281</v>
      </c>
      <c r="C283" s="132">
        <v>221079</v>
      </c>
      <c r="D283" s="277" t="s">
        <v>3892</v>
      </c>
      <c r="E283" s="373" t="s">
        <v>3893</v>
      </c>
      <c r="F283" s="290">
        <v>53</v>
      </c>
      <c r="G283" s="290" t="s">
        <v>3894</v>
      </c>
      <c r="H283" s="290" t="s">
        <v>278</v>
      </c>
      <c r="I283" s="290">
        <v>924486284</v>
      </c>
      <c r="J283" s="359" t="s">
        <v>289</v>
      </c>
      <c r="K283" s="133">
        <v>46099</v>
      </c>
      <c r="L283" s="132" t="s">
        <v>3895</v>
      </c>
      <c r="M283" s="132" t="s">
        <v>260</v>
      </c>
      <c r="N283" s="150" t="s">
        <v>950</v>
      </c>
      <c r="O283" s="155">
        <v>46105</v>
      </c>
      <c r="P283" s="428" t="s">
        <v>3409</v>
      </c>
      <c r="Q283" s="91"/>
      <c r="R283" s="91"/>
      <c r="S283" s="91"/>
      <c r="T283" s="91"/>
      <c r="U283" s="91"/>
      <c r="V283" s="91"/>
      <c r="W283" s="91"/>
      <c r="X283" s="91"/>
      <c r="Y283" s="91"/>
      <c r="Z283" s="91"/>
      <c r="AA283" s="91"/>
      <c r="AB283" s="91"/>
      <c r="AC283" s="91"/>
      <c r="AD283" s="91"/>
      <c r="AE283" s="91"/>
      <c r="AF283" s="91"/>
      <c r="AG283" s="91"/>
      <c r="AH283" s="91"/>
      <c r="AI283" s="91"/>
    </row>
    <row r="284" spans="1:35">
      <c r="A284" s="206"/>
      <c r="B284" s="156">
        <v>282</v>
      </c>
      <c r="C284" s="43">
        <v>260360</v>
      </c>
      <c r="D284" s="275">
        <v>41378313</v>
      </c>
      <c r="E284" s="372" t="s">
        <v>3896</v>
      </c>
      <c r="F284" s="278">
        <v>43</v>
      </c>
      <c r="G284" s="278" t="s">
        <v>3897</v>
      </c>
      <c r="H284" s="278" t="s">
        <v>2337</v>
      </c>
      <c r="I284" s="278">
        <v>951790264</v>
      </c>
      <c r="J284" s="358" t="s">
        <v>289</v>
      </c>
      <c r="K284" s="44">
        <v>46099</v>
      </c>
      <c r="L284" s="43" t="s">
        <v>376</v>
      </c>
      <c r="M284" s="43" t="s">
        <v>230</v>
      </c>
      <c r="N284" s="224" t="s">
        <v>317</v>
      </c>
      <c r="O284" s="155">
        <v>46105</v>
      </c>
      <c r="P284" s="428" t="s">
        <v>3409</v>
      </c>
      <c r="Q284" s="91"/>
      <c r="R284" s="91"/>
      <c r="S284" s="91"/>
      <c r="T284" s="91"/>
      <c r="U284" s="91"/>
      <c r="V284" s="91"/>
      <c r="W284" s="91"/>
      <c r="X284" s="91"/>
      <c r="Y284" s="91"/>
      <c r="Z284" s="91"/>
      <c r="AA284" s="91"/>
      <c r="AB284" s="91"/>
      <c r="AC284" s="91"/>
      <c r="AD284" s="91"/>
      <c r="AE284" s="91"/>
      <c r="AF284" s="91"/>
      <c r="AG284" s="91"/>
      <c r="AH284" s="91"/>
      <c r="AI284" s="91"/>
    </row>
    <row r="285" spans="1:35">
      <c r="A285" s="206"/>
      <c r="B285" s="156">
        <v>283</v>
      </c>
      <c r="C285" s="43">
        <v>29923</v>
      </c>
      <c r="D285" s="275">
        <v>15608661</v>
      </c>
      <c r="E285" s="372" t="s">
        <v>3898</v>
      </c>
      <c r="F285" s="278">
        <v>61</v>
      </c>
      <c r="G285" s="278" t="s">
        <v>3899</v>
      </c>
      <c r="H285" s="278" t="s">
        <v>3900</v>
      </c>
      <c r="I285" s="278">
        <v>944230624</v>
      </c>
      <c r="J285" s="358" t="s">
        <v>289</v>
      </c>
      <c r="K285" s="44">
        <v>46099</v>
      </c>
      <c r="L285" s="43" t="s">
        <v>3901</v>
      </c>
      <c r="M285" s="43" t="s">
        <v>230</v>
      </c>
      <c r="N285" s="224" t="s">
        <v>241</v>
      </c>
      <c r="O285" s="155">
        <v>46105</v>
      </c>
      <c r="P285" s="428" t="s">
        <v>3409</v>
      </c>
      <c r="Q285" s="91"/>
      <c r="R285" s="91"/>
      <c r="S285" s="91"/>
      <c r="T285" s="91"/>
      <c r="U285" s="91"/>
      <c r="V285" s="91"/>
      <c r="W285" s="91"/>
      <c r="X285" s="91"/>
      <c r="Y285" s="91"/>
      <c r="Z285" s="91"/>
      <c r="AA285" s="91"/>
      <c r="AB285" s="91"/>
      <c r="AC285" s="91"/>
      <c r="AD285" s="91"/>
      <c r="AE285" s="91"/>
      <c r="AF285" s="91"/>
      <c r="AG285" s="91"/>
      <c r="AH285" s="91"/>
      <c r="AI285" s="91"/>
    </row>
    <row r="286" spans="1:35">
      <c r="A286" s="206"/>
      <c r="B286" s="156">
        <v>284</v>
      </c>
      <c r="C286" s="43">
        <v>127304</v>
      </c>
      <c r="D286" s="275">
        <v>15608544</v>
      </c>
      <c r="E286" s="372" t="s">
        <v>3902</v>
      </c>
      <c r="F286" s="278">
        <v>61</v>
      </c>
      <c r="G286" s="278" t="s">
        <v>3903</v>
      </c>
      <c r="H286" s="278" t="s">
        <v>278</v>
      </c>
      <c r="I286" s="278">
        <v>971698308</v>
      </c>
      <c r="J286" s="358" t="s">
        <v>289</v>
      </c>
      <c r="K286" s="44">
        <v>46099</v>
      </c>
      <c r="L286" s="43" t="s">
        <v>3904</v>
      </c>
      <c r="M286" s="43" t="s">
        <v>260</v>
      </c>
      <c r="N286" s="224" t="s">
        <v>241</v>
      </c>
      <c r="O286" s="155">
        <v>46105</v>
      </c>
      <c r="P286" s="428" t="s">
        <v>3409</v>
      </c>
      <c r="Q286" s="91"/>
      <c r="R286" s="91"/>
      <c r="S286" s="91"/>
      <c r="T286" s="91"/>
      <c r="U286" s="91"/>
      <c r="V286" s="91"/>
      <c r="W286" s="91"/>
      <c r="X286" s="91"/>
      <c r="Y286" s="91"/>
      <c r="Z286" s="91"/>
      <c r="AA286" s="91"/>
      <c r="AB286" s="91"/>
      <c r="AC286" s="91"/>
      <c r="AD286" s="91"/>
      <c r="AE286" s="91"/>
      <c r="AF286" s="91"/>
      <c r="AG286" s="91"/>
      <c r="AH286" s="91"/>
      <c r="AI286" s="91"/>
    </row>
    <row r="287" spans="1:35">
      <c r="A287" s="206"/>
      <c r="B287" s="156">
        <v>285</v>
      </c>
      <c r="C287" s="43">
        <v>54069</v>
      </c>
      <c r="D287" s="275">
        <v>15735718</v>
      </c>
      <c r="E287" s="372" t="s">
        <v>3905</v>
      </c>
      <c r="F287" s="278">
        <v>51</v>
      </c>
      <c r="G287" s="278" t="s">
        <v>3906</v>
      </c>
      <c r="H287" s="278" t="s">
        <v>278</v>
      </c>
      <c r="I287" s="278">
        <v>956308193</v>
      </c>
      <c r="J287" s="358" t="s">
        <v>238</v>
      </c>
      <c r="K287" s="44">
        <v>46099</v>
      </c>
      <c r="L287" s="43" t="s">
        <v>376</v>
      </c>
      <c r="M287" s="43" t="s">
        <v>230</v>
      </c>
      <c r="N287" s="224" t="s">
        <v>317</v>
      </c>
      <c r="O287" s="152">
        <v>46101</v>
      </c>
      <c r="P287" s="732"/>
      <c r="Q287" s="91"/>
      <c r="R287" s="91"/>
      <c r="S287" s="91"/>
      <c r="T287" s="91"/>
      <c r="U287" s="91"/>
      <c r="V287" s="91"/>
      <c r="W287" s="91"/>
      <c r="X287" s="91"/>
      <c r="Y287" s="91"/>
      <c r="Z287" s="91"/>
      <c r="AA287" s="91"/>
      <c r="AB287" s="91"/>
      <c r="AC287" s="91"/>
      <c r="AD287" s="91"/>
      <c r="AE287" s="91"/>
      <c r="AF287" s="91"/>
      <c r="AG287" s="91"/>
      <c r="AH287" s="91"/>
      <c r="AI287" s="91"/>
    </row>
    <row r="288" spans="1:35">
      <c r="A288" s="279">
        <v>46100</v>
      </c>
      <c r="B288" s="156">
        <v>286</v>
      </c>
      <c r="C288" s="280">
        <v>432965</v>
      </c>
      <c r="D288" s="280">
        <v>41037615</v>
      </c>
      <c r="E288" s="365" t="s">
        <v>3907</v>
      </c>
      <c r="F288" s="280">
        <v>44</v>
      </c>
      <c r="G288" s="280" t="s">
        <v>3908</v>
      </c>
      <c r="H288" s="280" t="s">
        <v>326</v>
      </c>
      <c r="I288" s="280">
        <v>997858053</v>
      </c>
      <c r="J288" s="360" t="s">
        <v>375</v>
      </c>
      <c r="K288" s="301">
        <v>46100</v>
      </c>
      <c r="L288" s="769" t="s">
        <v>3909</v>
      </c>
      <c r="M288" s="257" t="s">
        <v>260</v>
      </c>
      <c r="N288" s="770" t="s">
        <v>3105</v>
      </c>
      <c r="O288" s="771">
        <v>46108</v>
      </c>
      <c r="P288" s="864" t="s">
        <v>3910</v>
      </c>
      <c r="Q288" s="91"/>
      <c r="R288" s="91"/>
      <c r="S288" s="91"/>
      <c r="T288" s="91"/>
      <c r="U288" s="91"/>
      <c r="V288" s="91"/>
      <c r="W288" s="91"/>
      <c r="X288" s="91"/>
      <c r="Y288" s="91"/>
      <c r="Z288" s="91"/>
      <c r="AA288" s="91"/>
      <c r="AB288" s="91"/>
      <c r="AC288" s="91"/>
      <c r="AD288" s="91"/>
      <c r="AE288" s="91"/>
      <c r="AF288" s="91"/>
      <c r="AG288" s="91"/>
      <c r="AH288" s="91"/>
      <c r="AI288" s="91"/>
    </row>
    <row r="289" spans="1:35">
      <c r="A289" s="281" t="s">
        <v>455</v>
      </c>
      <c r="B289" s="156">
        <v>287</v>
      </c>
      <c r="C289" s="282">
        <v>150509</v>
      </c>
      <c r="D289" s="282">
        <v>15652173</v>
      </c>
      <c r="E289" s="366" t="s">
        <v>3911</v>
      </c>
      <c r="F289" s="282">
        <v>59</v>
      </c>
      <c r="G289" s="282" t="s">
        <v>3912</v>
      </c>
      <c r="H289" s="282" t="s">
        <v>3913</v>
      </c>
      <c r="I289" s="282">
        <v>918521713</v>
      </c>
      <c r="J289" s="360" t="s">
        <v>302</v>
      </c>
      <c r="K289" s="302">
        <v>46100</v>
      </c>
      <c r="L289" s="772" t="s">
        <v>3914</v>
      </c>
      <c r="M289" s="257" t="s">
        <v>230</v>
      </c>
      <c r="N289" s="665" t="s">
        <v>779</v>
      </c>
      <c r="O289" s="771">
        <v>46108</v>
      </c>
      <c r="P289" s="864" t="s">
        <v>3915</v>
      </c>
      <c r="Q289" s="91"/>
      <c r="R289" s="91"/>
      <c r="S289" s="91"/>
      <c r="T289" s="91"/>
      <c r="U289" s="91"/>
      <c r="V289" s="91"/>
      <c r="W289" s="91"/>
      <c r="X289" s="91"/>
      <c r="Y289" s="91"/>
      <c r="Z289" s="91"/>
      <c r="AA289" s="91"/>
      <c r="AB289" s="91"/>
      <c r="AC289" s="91"/>
      <c r="AD289" s="91"/>
      <c r="AE289" s="91"/>
      <c r="AF289" s="91"/>
      <c r="AG289" s="91"/>
      <c r="AH289" s="91"/>
      <c r="AI289" s="91"/>
    </row>
    <row r="290" spans="1:35">
      <c r="A290" s="281" t="s">
        <v>455</v>
      </c>
      <c r="B290" s="156">
        <v>288</v>
      </c>
      <c r="C290" s="282">
        <v>173357</v>
      </c>
      <c r="D290" s="282">
        <v>15982545</v>
      </c>
      <c r="E290" s="366" t="s">
        <v>3916</v>
      </c>
      <c r="F290" s="282">
        <v>66</v>
      </c>
      <c r="G290" s="282" t="s">
        <v>3917</v>
      </c>
      <c r="H290" s="282" t="s">
        <v>271</v>
      </c>
      <c r="I290" s="282">
        <v>902713334</v>
      </c>
      <c r="J290" s="360" t="s">
        <v>164</v>
      </c>
      <c r="K290" s="302">
        <v>46100</v>
      </c>
      <c r="L290" s="773" t="s">
        <v>3918</v>
      </c>
      <c r="M290" s="257" t="s">
        <v>260</v>
      </c>
      <c r="N290" s="770" t="s">
        <v>3105</v>
      </c>
      <c r="O290" s="774">
        <v>46111</v>
      </c>
      <c r="P290" s="775" t="s">
        <v>3588</v>
      </c>
      <c r="Q290" s="879" t="s">
        <v>358</v>
      </c>
      <c r="R290" s="839"/>
      <c r="S290" s="839"/>
      <c r="T290" s="839"/>
      <c r="U290" s="839"/>
      <c r="V290" s="839"/>
      <c r="W290" s="839"/>
      <c r="X290" s="839"/>
      <c r="Y290" s="839"/>
      <c r="Z290" s="839"/>
      <c r="AA290" s="839"/>
      <c r="AB290" s="839"/>
      <c r="AC290" s="839"/>
      <c r="AD290" s="839"/>
      <c r="AE290" s="839"/>
      <c r="AF290" s="839"/>
      <c r="AG290" s="839"/>
      <c r="AH290" s="839"/>
      <c r="AI290" s="839"/>
    </row>
    <row r="291" spans="1:35">
      <c r="A291" s="281" t="s">
        <v>455</v>
      </c>
      <c r="B291" s="156">
        <v>289</v>
      </c>
      <c r="C291" s="282">
        <v>232288</v>
      </c>
      <c r="D291" s="282">
        <v>15756265</v>
      </c>
      <c r="E291" s="366" t="s">
        <v>3919</v>
      </c>
      <c r="F291" s="282">
        <v>49</v>
      </c>
      <c r="G291" s="282" t="s">
        <v>3920</v>
      </c>
      <c r="H291" s="282" t="s">
        <v>237</v>
      </c>
      <c r="I291" s="282">
        <v>960104650</v>
      </c>
      <c r="J291" s="360" t="s">
        <v>238</v>
      </c>
      <c r="K291" s="302">
        <v>46100</v>
      </c>
      <c r="L291" s="665" t="s">
        <v>3921</v>
      </c>
      <c r="M291" s="257" t="s">
        <v>260</v>
      </c>
      <c r="N291" s="770" t="s">
        <v>3105</v>
      </c>
      <c r="O291" s="774">
        <v>46111</v>
      </c>
      <c r="P291" s="865" t="s">
        <v>455</v>
      </c>
      <c r="Q291" s="91"/>
      <c r="R291" s="91"/>
      <c r="S291" s="91"/>
      <c r="T291" s="91"/>
      <c r="U291" s="91"/>
      <c r="V291" s="91"/>
      <c r="W291" s="91"/>
      <c r="X291" s="91"/>
      <c r="Y291" s="91"/>
      <c r="Z291" s="91"/>
      <c r="AA291" s="91"/>
      <c r="AB291" s="91"/>
      <c r="AC291" s="91"/>
      <c r="AD291" s="91"/>
      <c r="AE291" s="91"/>
      <c r="AF291" s="91"/>
      <c r="AG291" s="91"/>
      <c r="AH291" s="91"/>
      <c r="AI291" s="91"/>
    </row>
    <row r="292" spans="1:35">
      <c r="A292" s="281" t="s">
        <v>455</v>
      </c>
      <c r="B292" s="156">
        <v>290</v>
      </c>
      <c r="C292" s="282">
        <v>316235</v>
      </c>
      <c r="D292" s="282">
        <v>40230073</v>
      </c>
      <c r="E292" s="366" t="s">
        <v>3922</v>
      </c>
      <c r="F292" s="282">
        <v>46</v>
      </c>
      <c r="G292" s="282" t="s">
        <v>3923</v>
      </c>
      <c r="H292" s="282" t="s">
        <v>301</v>
      </c>
      <c r="I292" s="282">
        <v>921751291</v>
      </c>
      <c r="J292" s="360" t="s">
        <v>302</v>
      </c>
      <c r="K292" s="302">
        <v>46100</v>
      </c>
      <c r="L292" s="776" t="s">
        <v>3909</v>
      </c>
      <c r="M292" s="257" t="s">
        <v>260</v>
      </c>
      <c r="N292" s="770" t="s">
        <v>3105</v>
      </c>
      <c r="O292" s="771">
        <v>46108</v>
      </c>
      <c r="P292" s="866" t="s">
        <v>3915</v>
      </c>
      <c r="Q292" s="91"/>
      <c r="R292" s="91"/>
      <c r="S292" s="91"/>
      <c r="T292" s="91"/>
      <c r="U292" s="91"/>
      <c r="V292" s="91"/>
      <c r="W292" s="91"/>
      <c r="X292" s="91"/>
      <c r="Y292" s="91"/>
      <c r="Z292" s="91"/>
      <c r="AA292" s="91"/>
      <c r="AB292" s="91"/>
      <c r="AC292" s="91"/>
      <c r="AD292" s="91"/>
      <c r="AE292" s="91"/>
      <c r="AF292" s="91"/>
      <c r="AG292" s="91"/>
      <c r="AH292" s="91"/>
      <c r="AI292" s="91"/>
    </row>
    <row r="293" spans="1:35">
      <c r="A293" s="281" t="s">
        <v>455</v>
      </c>
      <c r="B293" s="156">
        <v>291</v>
      </c>
      <c r="C293" s="282">
        <v>97782</v>
      </c>
      <c r="D293" s="282">
        <v>40470774</v>
      </c>
      <c r="E293" s="366" t="s">
        <v>3924</v>
      </c>
      <c r="F293" s="282">
        <v>45</v>
      </c>
      <c r="G293" s="282" t="s">
        <v>3925</v>
      </c>
      <c r="H293" s="282" t="s">
        <v>237</v>
      </c>
      <c r="I293" s="282" t="s">
        <v>3926</v>
      </c>
      <c r="J293" s="360" t="s">
        <v>302</v>
      </c>
      <c r="K293" s="302">
        <v>46100</v>
      </c>
      <c r="L293" s="665" t="s">
        <v>3927</v>
      </c>
      <c r="M293" s="257" t="s">
        <v>260</v>
      </c>
      <c r="N293" s="777" t="s">
        <v>241</v>
      </c>
      <c r="O293" s="771">
        <v>46108</v>
      </c>
      <c r="P293" s="867" t="s">
        <v>3915</v>
      </c>
      <c r="Q293" s="91"/>
      <c r="R293" s="91"/>
      <c r="S293" s="91"/>
      <c r="T293" s="91"/>
      <c r="U293" s="91"/>
      <c r="V293" s="91"/>
      <c r="W293" s="91"/>
      <c r="X293" s="91"/>
      <c r="Y293" s="91"/>
      <c r="Z293" s="91"/>
      <c r="AA293" s="91"/>
      <c r="AB293" s="91"/>
      <c r="AC293" s="91"/>
      <c r="AD293" s="91"/>
      <c r="AE293" s="91"/>
      <c r="AF293" s="91"/>
      <c r="AG293" s="91"/>
      <c r="AH293" s="91"/>
      <c r="AI293" s="91"/>
    </row>
    <row r="294" spans="1:35">
      <c r="A294" s="281" t="s">
        <v>455</v>
      </c>
      <c r="B294" s="156">
        <v>292</v>
      </c>
      <c r="C294" s="282">
        <v>133591</v>
      </c>
      <c r="D294" s="282">
        <v>44209700</v>
      </c>
      <c r="E294" s="366" t="s">
        <v>3928</v>
      </c>
      <c r="F294" s="282">
        <v>40</v>
      </c>
      <c r="G294" s="282" t="s">
        <v>3929</v>
      </c>
      <c r="H294" s="282" t="s">
        <v>222</v>
      </c>
      <c r="I294" s="282">
        <v>915365016</v>
      </c>
      <c r="J294" s="360" t="s">
        <v>238</v>
      </c>
      <c r="K294" s="302">
        <v>46100</v>
      </c>
      <c r="L294" s="779" t="s">
        <v>3930</v>
      </c>
      <c r="M294" s="660" t="s">
        <v>260</v>
      </c>
      <c r="N294" s="778" t="s">
        <v>3105</v>
      </c>
      <c r="O294" s="774">
        <v>46199</v>
      </c>
      <c r="P294" s="868"/>
      <c r="Q294" s="868" t="s">
        <v>2573</v>
      </c>
      <c r="R294" s="91"/>
      <c r="S294" s="91"/>
      <c r="T294" s="91"/>
      <c r="U294" s="91"/>
      <c r="V294" s="91"/>
      <c r="W294" s="91"/>
      <c r="X294" s="91"/>
      <c r="Y294" s="91"/>
      <c r="Z294" s="91"/>
      <c r="AA294" s="91"/>
      <c r="AB294" s="91"/>
      <c r="AC294" s="91"/>
      <c r="AD294" s="91"/>
      <c r="AE294" s="91"/>
      <c r="AF294" s="91"/>
      <c r="AG294" s="91"/>
      <c r="AH294" s="91"/>
      <c r="AI294" s="91"/>
    </row>
    <row r="295" spans="1:35">
      <c r="A295" s="283" t="s">
        <v>455</v>
      </c>
      <c r="B295" s="156">
        <v>293</v>
      </c>
      <c r="C295" s="284">
        <v>200847</v>
      </c>
      <c r="D295" s="284">
        <v>15722402</v>
      </c>
      <c r="E295" s="374" t="s">
        <v>3931</v>
      </c>
      <c r="F295" s="284">
        <v>57</v>
      </c>
      <c r="G295" s="284" t="s">
        <v>3932</v>
      </c>
      <c r="H295" s="284" t="s">
        <v>237</v>
      </c>
      <c r="I295" s="284">
        <v>949763748</v>
      </c>
      <c r="J295" s="361" t="s">
        <v>238</v>
      </c>
      <c r="K295" s="303">
        <v>46100</v>
      </c>
      <c r="L295" s="780" t="s">
        <v>3933</v>
      </c>
      <c r="M295" s="257" t="s">
        <v>260</v>
      </c>
      <c r="N295" s="770" t="s">
        <v>3105</v>
      </c>
      <c r="O295" s="781">
        <v>46111</v>
      </c>
      <c r="P295" s="868"/>
      <c r="Q295" s="868" t="s">
        <v>3359</v>
      </c>
      <c r="R295" s="91"/>
      <c r="S295" s="91"/>
      <c r="T295" s="91"/>
      <c r="U295" s="91"/>
      <c r="V295" s="91"/>
      <c r="W295" s="91"/>
      <c r="X295" s="91"/>
      <c r="Y295" s="91"/>
      <c r="Z295" s="91"/>
      <c r="AA295" s="91"/>
      <c r="AB295" s="91"/>
      <c r="AC295" s="91"/>
      <c r="AD295" s="91"/>
      <c r="AE295" s="91"/>
      <c r="AF295" s="91"/>
      <c r="AG295" s="91"/>
      <c r="AH295" s="91"/>
      <c r="AI295" s="91"/>
    </row>
    <row r="296" spans="1:35">
      <c r="A296" s="285" t="s">
        <v>455</v>
      </c>
      <c r="B296" s="156">
        <v>294</v>
      </c>
      <c r="C296" s="286">
        <v>132184</v>
      </c>
      <c r="D296" s="286">
        <v>15598555</v>
      </c>
      <c r="E296" s="375" t="s">
        <v>3934</v>
      </c>
      <c r="F296" s="286">
        <v>71</v>
      </c>
      <c r="G296" s="286" t="s">
        <v>3935</v>
      </c>
      <c r="H296" s="286" t="s">
        <v>222</v>
      </c>
      <c r="I296" s="286">
        <v>958710330</v>
      </c>
      <c r="J296" s="362" t="s">
        <v>238</v>
      </c>
      <c r="K296" s="304">
        <v>46100</v>
      </c>
      <c r="L296" s="780" t="s">
        <v>3936</v>
      </c>
      <c r="M296" s="257" t="s">
        <v>260</v>
      </c>
      <c r="N296" s="770" t="s">
        <v>3105</v>
      </c>
      <c r="O296" s="774">
        <v>46111</v>
      </c>
      <c r="P296" s="867" t="s">
        <v>455</v>
      </c>
      <c r="Q296" s="91"/>
      <c r="R296" s="91"/>
      <c r="S296" s="91"/>
      <c r="T296" s="91"/>
      <c r="U296" s="91"/>
      <c r="V296" s="91"/>
      <c r="W296" s="91"/>
      <c r="X296" s="91"/>
      <c r="Y296" s="91"/>
      <c r="Z296" s="91"/>
      <c r="AA296" s="91"/>
      <c r="AB296" s="91"/>
      <c r="AC296" s="91"/>
      <c r="AD296" s="91"/>
      <c r="AE296" s="91"/>
      <c r="AF296" s="91"/>
      <c r="AG296" s="91"/>
      <c r="AH296" s="91"/>
      <c r="AI296" s="91"/>
    </row>
    <row r="297" spans="1:35">
      <c r="A297" s="287" t="s">
        <v>455</v>
      </c>
      <c r="B297" s="156">
        <v>295</v>
      </c>
      <c r="C297" s="288">
        <v>160645</v>
      </c>
      <c r="D297" s="288">
        <v>41178861</v>
      </c>
      <c r="E297" s="376" t="s">
        <v>3937</v>
      </c>
      <c r="F297" s="288">
        <v>44</v>
      </c>
      <c r="G297" s="288" t="s">
        <v>3938</v>
      </c>
      <c r="H297" s="288" t="s">
        <v>278</v>
      </c>
      <c r="I297" s="288">
        <v>934984222</v>
      </c>
      <c r="J297" s="358" t="s">
        <v>238</v>
      </c>
      <c r="K297" s="305">
        <v>46100</v>
      </c>
      <c r="L297" s="772" t="s">
        <v>3939</v>
      </c>
      <c r="M297" s="257" t="s">
        <v>260</v>
      </c>
      <c r="N297" s="770" t="s">
        <v>3105</v>
      </c>
      <c r="O297" s="774">
        <v>46111</v>
      </c>
      <c r="P297" s="867" t="s">
        <v>455</v>
      </c>
      <c r="Q297" s="91"/>
      <c r="R297" s="91"/>
      <c r="S297" s="91"/>
      <c r="T297" s="91"/>
      <c r="U297" s="91"/>
      <c r="V297" s="91"/>
      <c r="W297" s="91"/>
      <c r="X297" s="91"/>
      <c r="Y297" s="91"/>
      <c r="Z297" s="91"/>
      <c r="AA297" s="91"/>
      <c r="AB297" s="91"/>
      <c r="AC297" s="91"/>
      <c r="AD297" s="91"/>
      <c r="AE297" s="91"/>
      <c r="AF297" s="91"/>
      <c r="AG297" s="91"/>
      <c r="AH297" s="91"/>
      <c r="AI297" s="91"/>
    </row>
    <row r="298" spans="1:35">
      <c r="A298" s="287" t="s">
        <v>455</v>
      </c>
      <c r="B298" s="156">
        <v>296</v>
      </c>
      <c r="C298" s="288">
        <v>524110</v>
      </c>
      <c r="D298" s="288">
        <v>16014850</v>
      </c>
      <c r="E298" s="376" t="s">
        <v>3940</v>
      </c>
      <c r="F298" s="288">
        <v>63</v>
      </c>
      <c r="G298" s="288" t="s">
        <v>3941</v>
      </c>
      <c r="H298" s="288" t="s">
        <v>461</v>
      </c>
      <c r="I298" s="288">
        <v>918494718</v>
      </c>
      <c r="J298" s="358" t="s">
        <v>162</v>
      </c>
      <c r="K298" s="305">
        <v>46100</v>
      </c>
      <c r="L298" s="782" t="s">
        <v>3942</v>
      </c>
      <c r="M298" s="665" t="s">
        <v>3943</v>
      </c>
      <c r="N298" s="770" t="s">
        <v>779</v>
      </c>
      <c r="O298" s="774">
        <v>46111</v>
      </c>
      <c r="P298" s="783"/>
      <c r="Q298" s="879" t="s">
        <v>358</v>
      </c>
    </row>
    <row r="299" spans="1:35">
      <c r="A299" s="287" t="s">
        <v>455</v>
      </c>
      <c r="B299" s="156">
        <v>297</v>
      </c>
      <c r="C299" s="288">
        <v>265581</v>
      </c>
      <c r="D299" s="288">
        <v>43828789</v>
      </c>
      <c r="E299" s="376" t="s">
        <v>3944</v>
      </c>
      <c r="F299" s="288">
        <v>42</v>
      </c>
      <c r="G299" s="288" t="s">
        <v>3945</v>
      </c>
      <c r="H299" s="288" t="s">
        <v>278</v>
      </c>
      <c r="I299" s="288">
        <v>972387460</v>
      </c>
      <c r="J299" s="358" t="s">
        <v>384</v>
      </c>
      <c r="K299" s="305">
        <v>46100</v>
      </c>
      <c r="L299" s="773" t="s">
        <v>3946</v>
      </c>
      <c r="M299" s="43" t="s">
        <v>260</v>
      </c>
      <c r="N299" s="770" t="s">
        <v>3105</v>
      </c>
      <c r="O299" s="784">
        <v>46108</v>
      </c>
      <c r="P299" s="869" t="s">
        <v>3947</v>
      </c>
      <c r="Q299" s="91"/>
      <c r="R299" s="91"/>
      <c r="S299" s="91"/>
      <c r="T299" s="91"/>
      <c r="U299" s="91"/>
      <c r="V299" s="91"/>
      <c r="W299" s="91"/>
      <c r="X299" s="91"/>
      <c r="Y299" s="91"/>
      <c r="Z299" s="91"/>
      <c r="AA299" s="91"/>
      <c r="AB299" s="91"/>
      <c r="AC299" s="91"/>
      <c r="AD299" s="91"/>
      <c r="AE299" s="91"/>
      <c r="AF299" s="91"/>
      <c r="AG299" s="91"/>
      <c r="AH299" s="91"/>
      <c r="AI299" s="91"/>
    </row>
    <row r="300" spans="1:35">
      <c r="A300" s="287" t="s">
        <v>455</v>
      </c>
      <c r="B300" s="156">
        <v>298</v>
      </c>
      <c r="C300" s="288">
        <v>180627</v>
      </c>
      <c r="D300" s="288">
        <v>15760112</v>
      </c>
      <c r="E300" s="376" t="s">
        <v>3948</v>
      </c>
      <c r="F300" s="288">
        <v>56</v>
      </c>
      <c r="G300" s="288" t="s">
        <v>3949</v>
      </c>
      <c r="H300" s="288" t="s">
        <v>278</v>
      </c>
      <c r="I300" s="288">
        <v>986842108</v>
      </c>
      <c r="J300" s="358" t="s">
        <v>238</v>
      </c>
      <c r="K300" s="305">
        <v>46100</v>
      </c>
      <c r="L300" s="785" t="s">
        <v>3950</v>
      </c>
      <c r="M300" s="43" t="s">
        <v>260</v>
      </c>
      <c r="N300" s="770" t="s">
        <v>3105</v>
      </c>
      <c r="O300" s="774">
        <v>46111</v>
      </c>
      <c r="P300" s="864"/>
      <c r="Q300" s="864" t="s">
        <v>3363</v>
      </c>
      <c r="R300" s="91"/>
      <c r="S300" s="91"/>
      <c r="T300" s="91"/>
      <c r="U300" s="91"/>
      <c r="V300" s="91"/>
      <c r="W300" s="91"/>
      <c r="X300" s="91"/>
      <c r="Y300" s="91"/>
      <c r="Z300" s="91"/>
      <c r="AA300" s="91"/>
      <c r="AB300" s="91"/>
      <c r="AC300" s="91"/>
      <c r="AD300" s="91"/>
      <c r="AE300" s="91"/>
      <c r="AF300" s="91"/>
      <c r="AG300" s="91"/>
      <c r="AH300" s="91"/>
      <c r="AI300" s="91"/>
    </row>
    <row r="301" spans="1:35">
      <c r="A301" s="287" t="s">
        <v>455</v>
      </c>
      <c r="B301" s="156">
        <v>299</v>
      </c>
      <c r="C301" s="288">
        <v>524111</v>
      </c>
      <c r="D301" s="288">
        <v>42342798</v>
      </c>
      <c r="E301" s="376" t="s">
        <v>3951</v>
      </c>
      <c r="F301" s="288">
        <v>41</v>
      </c>
      <c r="G301" s="288" t="s">
        <v>3952</v>
      </c>
      <c r="H301" s="288" t="s">
        <v>2724</v>
      </c>
      <c r="I301" s="288">
        <v>977539252</v>
      </c>
      <c r="J301" s="358" t="s">
        <v>238</v>
      </c>
      <c r="K301" s="305">
        <v>46100</v>
      </c>
      <c r="L301" s="786" t="s">
        <v>3939</v>
      </c>
      <c r="M301" s="43" t="s">
        <v>260</v>
      </c>
      <c r="N301" s="770" t="s">
        <v>3105</v>
      </c>
      <c r="O301" s="774">
        <v>46111</v>
      </c>
      <c r="P301" s="867" t="s">
        <v>455</v>
      </c>
      <c r="Q301" s="91"/>
      <c r="R301" s="91"/>
      <c r="S301" s="91"/>
      <c r="T301" s="91"/>
      <c r="U301" s="91"/>
      <c r="V301" s="91"/>
      <c r="W301" s="91"/>
      <c r="X301" s="91"/>
      <c r="Y301" s="91"/>
      <c r="Z301" s="91"/>
      <c r="AA301" s="91"/>
      <c r="AB301" s="91"/>
      <c r="AC301" s="91"/>
      <c r="AD301" s="91"/>
      <c r="AE301" s="91"/>
      <c r="AF301" s="91"/>
      <c r="AG301" s="91"/>
      <c r="AH301" s="91"/>
      <c r="AI301" s="91"/>
    </row>
    <row r="302" spans="1:35">
      <c r="A302" s="287" t="s">
        <v>455</v>
      </c>
      <c r="B302" s="156">
        <v>300</v>
      </c>
      <c r="C302" s="288">
        <v>438999</v>
      </c>
      <c r="D302" s="288">
        <v>15211185</v>
      </c>
      <c r="E302" s="376" t="s">
        <v>3953</v>
      </c>
      <c r="F302" s="288">
        <v>69</v>
      </c>
      <c r="G302" s="288" t="s">
        <v>3954</v>
      </c>
      <c r="H302" s="288" t="s">
        <v>1398</v>
      </c>
      <c r="I302" s="288">
        <v>940166328</v>
      </c>
      <c r="J302" s="358" t="s">
        <v>238</v>
      </c>
      <c r="K302" s="305">
        <v>46100</v>
      </c>
      <c r="L302" s="787" t="s">
        <v>3955</v>
      </c>
      <c r="M302" s="43" t="s">
        <v>260</v>
      </c>
      <c r="N302" s="770" t="s">
        <v>3105</v>
      </c>
      <c r="O302" s="774">
        <v>46111</v>
      </c>
      <c r="P302" s="867" t="s">
        <v>455</v>
      </c>
      <c r="Q302" s="91"/>
      <c r="R302" s="91"/>
      <c r="S302" s="91"/>
      <c r="T302" s="91"/>
      <c r="U302" s="91"/>
      <c r="V302" s="91"/>
      <c r="W302" s="91"/>
      <c r="X302" s="91"/>
      <c r="Y302" s="91"/>
      <c r="Z302" s="91"/>
      <c r="AA302" s="91"/>
      <c r="AB302" s="91"/>
      <c r="AC302" s="91"/>
      <c r="AD302" s="91"/>
      <c r="AE302" s="91"/>
      <c r="AF302" s="91"/>
      <c r="AG302" s="91"/>
      <c r="AH302" s="91"/>
      <c r="AI302" s="91"/>
    </row>
    <row r="303" spans="1:35">
      <c r="A303" s="287" t="s">
        <v>455</v>
      </c>
      <c r="B303" s="156">
        <v>301</v>
      </c>
      <c r="C303" s="288">
        <v>145180</v>
      </c>
      <c r="D303" s="288">
        <v>15712826</v>
      </c>
      <c r="E303" s="376" t="s">
        <v>3956</v>
      </c>
      <c r="F303" s="288">
        <v>62</v>
      </c>
      <c r="G303" s="288" t="s">
        <v>3957</v>
      </c>
      <c r="H303" s="288" t="s">
        <v>432</v>
      </c>
      <c r="I303" s="288">
        <v>943283833</v>
      </c>
      <c r="J303" s="358" t="s">
        <v>1209</v>
      </c>
      <c r="K303" s="305">
        <v>46100</v>
      </c>
      <c r="L303" s="788" t="s">
        <v>3958</v>
      </c>
      <c r="M303" s="43" t="s">
        <v>260</v>
      </c>
      <c r="N303" s="770" t="s">
        <v>3105</v>
      </c>
      <c r="O303" s="789">
        <v>46108</v>
      </c>
      <c r="P303" s="868" t="s">
        <v>3910</v>
      </c>
      <c r="Q303" s="91"/>
      <c r="R303" s="91"/>
      <c r="S303" s="91"/>
      <c r="T303" s="91"/>
      <c r="U303" s="91"/>
      <c r="V303" s="91"/>
      <c r="W303" s="91"/>
      <c r="X303" s="91"/>
      <c r="Y303" s="91"/>
      <c r="Z303" s="91"/>
      <c r="AA303" s="91"/>
      <c r="AB303" s="91"/>
      <c r="AC303" s="91"/>
      <c r="AD303" s="91"/>
      <c r="AE303" s="91"/>
      <c r="AF303" s="91"/>
      <c r="AG303" s="91"/>
      <c r="AH303" s="91"/>
      <c r="AI303" s="91"/>
    </row>
    <row r="304" spans="1:35">
      <c r="A304" s="287" t="s">
        <v>455</v>
      </c>
      <c r="B304" s="156">
        <v>302</v>
      </c>
      <c r="C304" s="288">
        <v>126399</v>
      </c>
      <c r="D304" s="288">
        <v>43672959</v>
      </c>
      <c r="E304" s="376" t="s">
        <v>3959</v>
      </c>
      <c r="F304" s="288">
        <v>41</v>
      </c>
      <c r="G304" s="288" t="s">
        <v>3960</v>
      </c>
      <c r="H304" s="288" t="s">
        <v>288</v>
      </c>
      <c r="I304" s="288">
        <v>946258088</v>
      </c>
      <c r="J304" s="358" t="s">
        <v>742</v>
      </c>
      <c r="K304" s="305">
        <v>46100</v>
      </c>
      <c r="L304" s="665" t="s">
        <v>3961</v>
      </c>
      <c r="M304" s="43" t="s">
        <v>260</v>
      </c>
      <c r="N304" s="770" t="s">
        <v>3105</v>
      </c>
      <c r="O304" s="789">
        <v>46108</v>
      </c>
      <c r="P304" s="868" t="s">
        <v>3962</v>
      </c>
      <c r="Q304" s="91"/>
      <c r="R304" s="91"/>
      <c r="S304" s="91"/>
      <c r="T304" s="91"/>
      <c r="U304" s="91"/>
      <c r="V304" s="91"/>
      <c r="W304" s="91"/>
      <c r="X304" s="91"/>
      <c r="Y304" s="91"/>
      <c r="Z304" s="91"/>
      <c r="AA304" s="91"/>
      <c r="AB304" s="91"/>
      <c r="AC304" s="91"/>
      <c r="AD304" s="91"/>
      <c r="AE304" s="91"/>
      <c r="AF304" s="91"/>
      <c r="AG304" s="91"/>
      <c r="AH304" s="91"/>
      <c r="AI304" s="91"/>
    </row>
    <row r="305" spans="1:35">
      <c r="A305" s="287" t="s">
        <v>455</v>
      </c>
      <c r="B305" s="156">
        <v>303</v>
      </c>
      <c r="C305" s="288">
        <v>426083</v>
      </c>
      <c r="D305" s="288" t="s">
        <v>3963</v>
      </c>
      <c r="E305" s="376" t="s">
        <v>3964</v>
      </c>
      <c r="F305" s="288">
        <v>55</v>
      </c>
      <c r="G305" s="288" t="s">
        <v>3965</v>
      </c>
      <c r="H305" s="288" t="s">
        <v>1114</v>
      </c>
      <c r="I305" s="288">
        <v>967913884</v>
      </c>
      <c r="J305" s="358" t="s">
        <v>238</v>
      </c>
      <c r="K305" s="305">
        <v>46100</v>
      </c>
      <c r="L305" s="665" t="s">
        <v>3966</v>
      </c>
      <c r="M305" s="43" t="s">
        <v>260</v>
      </c>
      <c r="N305" s="665" t="s">
        <v>3105</v>
      </c>
      <c r="O305" s="781">
        <v>46111</v>
      </c>
      <c r="P305" s="868" t="s">
        <v>455</v>
      </c>
      <c r="Q305" s="91"/>
      <c r="R305" s="91"/>
      <c r="S305" s="91"/>
      <c r="T305" s="91"/>
      <c r="U305" s="91"/>
      <c r="V305" s="91"/>
      <c r="W305" s="91"/>
      <c r="X305" s="91"/>
      <c r="Y305" s="91"/>
      <c r="Z305" s="91"/>
      <c r="AA305" s="91"/>
      <c r="AB305" s="91"/>
      <c r="AC305" s="91"/>
      <c r="AD305" s="91"/>
      <c r="AE305" s="91"/>
      <c r="AF305" s="91"/>
      <c r="AG305" s="91"/>
      <c r="AH305" s="91"/>
      <c r="AI305" s="91"/>
    </row>
    <row r="306" spans="1:35">
      <c r="A306" s="287" t="s">
        <v>3967</v>
      </c>
      <c r="B306" s="156">
        <v>304</v>
      </c>
      <c r="C306" s="288">
        <v>337390</v>
      </c>
      <c r="D306" s="288">
        <v>43493452</v>
      </c>
      <c r="E306" s="376" t="s">
        <v>3968</v>
      </c>
      <c r="F306" s="288">
        <v>40</v>
      </c>
      <c r="G306" s="288" t="s">
        <v>3969</v>
      </c>
      <c r="H306" s="288" t="s">
        <v>830</v>
      </c>
      <c r="I306" s="288">
        <v>925916007</v>
      </c>
      <c r="J306" s="358" t="s">
        <v>238</v>
      </c>
      <c r="K306" s="305">
        <v>46100</v>
      </c>
      <c r="L306" s="665" t="s">
        <v>3970</v>
      </c>
      <c r="M306" s="43" t="s">
        <v>260</v>
      </c>
      <c r="N306" s="665" t="s">
        <v>3105</v>
      </c>
      <c r="O306" s="781">
        <v>46111</v>
      </c>
      <c r="P306" s="868"/>
      <c r="Q306" s="868" t="s">
        <v>3971</v>
      </c>
      <c r="R306" s="91"/>
      <c r="S306" s="91"/>
      <c r="T306" s="91"/>
      <c r="U306" s="91"/>
      <c r="V306" s="91"/>
      <c r="W306" s="91"/>
      <c r="X306" s="91"/>
      <c r="Y306" s="91"/>
      <c r="Z306" s="91"/>
      <c r="AA306" s="91"/>
      <c r="AB306" s="91"/>
      <c r="AC306" s="91"/>
      <c r="AD306" s="91"/>
      <c r="AE306" s="91"/>
      <c r="AF306" s="91"/>
      <c r="AG306" s="91"/>
      <c r="AH306" s="91"/>
      <c r="AI306" s="91"/>
    </row>
    <row r="307" spans="1:35">
      <c r="A307" s="206"/>
      <c r="B307" s="156">
        <v>305</v>
      </c>
      <c r="C307" s="43">
        <v>524117</v>
      </c>
      <c r="D307" s="43">
        <v>41319842</v>
      </c>
      <c r="E307" s="156" t="s">
        <v>3972</v>
      </c>
      <c r="F307" s="43">
        <v>43</v>
      </c>
      <c r="G307" s="43" t="s">
        <v>3973</v>
      </c>
      <c r="H307" s="43" t="s">
        <v>461</v>
      </c>
      <c r="I307" s="42">
        <v>922580635</v>
      </c>
      <c r="J307" s="353" t="s">
        <v>162</v>
      </c>
      <c r="K307" s="44">
        <v>46100</v>
      </c>
      <c r="L307" s="772" t="s">
        <v>3939</v>
      </c>
      <c r="M307" s="43" t="s">
        <v>260</v>
      </c>
      <c r="N307" s="665" t="s">
        <v>3105</v>
      </c>
      <c r="O307" s="680">
        <v>46108</v>
      </c>
      <c r="P307" s="51"/>
      <c r="Q307" s="879" t="s">
        <v>358</v>
      </c>
    </row>
    <row r="308" spans="1:35">
      <c r="A308" s="206"/>
      <c r="B308" s="156">
        <v>306</v>
      </c>
      <c r="C308" s="43">
        <v>180066</v>
      </c>
      <c r="D308" s="43">
        <v>43136312</v>
      </c>
      <c r="E308" s="156" t="s">
        <v>3974</v>
      </c>
      <c r="F308" s="43">
        <v>42</v>
      </c>
      <c r="G308" s="43" t="s">
        <v>3975</v>
      </c>
      <c r="H308" s="43" t="s">
        <v>278</v>
      </c>
      <c r="I308" s="42">
        <v>997884345</v>
      </c>
      <c r="J308" s="353" t="s">
        <v>238</v>
      </c>
      <c r="K308" s="44">
        <v>46101</v>
      </c>
      <c r="L308" s="43" t="s">
        <v>3976</v>
      </c>
      <c r="M308" s="43" t="s">
        <v>260</v>
      </c>
      <c r="N308" s="665" t="s">
        <v>3105</v>
      </c>
      <c r="O308" s="680">
        <v>46108</v>
      </c>
      <c r="P308" s="732"/>
      <c r="Q308" s="91"/>
      <c r="R308" s="91"/>
      <c r="S308" s="91"/>
      <c r="T308" s="91"/>
      <c r="U308" s="91"/>
      <c r="V308" s="91"/>
      <c r="W308" s="91"/>
      <c r="X308" s="91"/>
      <c r="Y308" s="91"/>
      <c r="Z308" s="91"/>
      <c r="AA308" s="91"/>
      <c r="AB308" s="91"/>
      <c r="AC308" s="91"/>
      <c r="AD308" s="91"/>
      <c r="AE308" s="91"/>
      <c r="AF308" s="91"/>
      <c r="AG308" s="91"/>
      <c r="AH308" s="91"/>
      <c r="AI308" s="91"/>
    </row>
    <row r="309" spans="1:35">
      <c r="A309" s="261" t="s">
        <v>3977</v>
      </c>
      <c r="B309" s="156">
        <v>307</v>
      </c>
      <c r="C309" s="43">
        <v>133574</v>
      </c>
      <c r="D309" s="43">
        <v>40494343</v>
      </c>
      <c r="E309" s="156" t="s">
        <v>3978</v>
      </c>
      <c r="F309" s="43">
        <v>45</v>
      </c>
      <c r="G309" s="43" t="s">
        <v>3979</v>
      </c>
      <c r="H309" s="43" t="s">
        <v>432</v>
      </c>
      <c r="I309" s="42">
        <v>985589463</v>
      </c>
      <c r="J309" s="353" t="s">
        <v>1209</v>
      </c>
      <c r="K309" s="44">
        <v>46100</v>
      </c>
      <c r="L309" s="43" t="s">
        <v>1098</v>
      </c>
      <c r="M309" s="43" t="s">
        <v>230</v>
      </c>
      <c r="N309" s="43" t="s">
        <v>1244</v>
      </c>
      <c r="O309" s="463">
        <v>46101</v>
      </c>
      <c r="P309" s="224" t="s">
        <v>3606</v>
      </c>
      <c r="Q309" s="91"/>
      <c r="R309" s="91"/>
      <c r="S309" s="91"/>
      <c r="T309" s="91"/>
      <c r="U309" s="91"/>
      <c r="V309" s="91"/>
      <c r="W309" s="91"/>
      <c r="X309" s="91"/>
      <c r="Y309" s="91"/>
      <c r="Z309" s="91"/>
      <c r="AA309" s="91"/>
      <c r="AB309" s="91"/>
      <c r="AC309" s="91"/>
      <c r="AD309" s="91"/>
      <c r="AE309" s="91"/>
      <c r="AF309" s="91"/>
      <c r="AG309" s="91"/>
      <c r="AH309" s="91"/>
      <c r="AI309" s="91"/>
    </row>
    <row r="310" spans="1:35">
      <c r="A310" s="206"/>
      <c r="B310" s="156">
        <v>308</v>
      </c>
      <c r="C310" s="43">
        <v>418265</v>
      </c>
      <c r="D310" s="43">
        <v>15675694</v>
      </c>
      <c r="E310" s="156" t="s">
        <v>3980</v>
      </c>
      <c r="F310" s="43">
        <v>68</v>
      </c>
      <c r="G310" s="43" t="s">
        <v>3981</v>
      </c>
      <c r="H310" s="43" t="s">
        <v>432</v>
      </c>
      <c r="I310" s="42">
        <v>917361888</v>
      </c>
      <c r="J310" s="353" t="s">
        <v>1209</v>
      </c>
      <c r="K310" s="44">
        <v>46100</v>
      </c>
      <c r="L310" s="43" t="s">
        <v>3982</v>
      </c>
      <c r="M310" s="43" t="s">
        <v>312</v>
      </c>
      <c r="N310" s="43" t="s">
        <v>601</v>
      </c>
      <c r="O310" s="463">
        <v>46101</v>
      </c>
      <c r="P310" s="224" t="s">
        <v>3606</v>
      </c>
      <c r="Q310" s="91"/>
      <c r="R310" s="91"/>
      <c r="S310" s="91"/>
      <c r="T310" s="91"/>
      <c r="U310" s="91"/>
      <c r="V310" s="91"/>
      <c r="W310" s="91"/>
      <c r="X310" s="91"/>
      <c r="Y310" s="91"/>
      <c r="Z310" s="91"/>
      <c r="AA310" s="91"/>
      <c r="AB310" s="91"/>
      <c r="AC310" s="91"/>
      <c r="AD310" s="91"/>
      <c r="AE310" s="91"/>
      <c r="AF310" s="91"/>
      <c r="AG310" s="91"/>
      <c r="AH310" s="91"/>
      <c r="AI310" s="91"/>
    </row>
    <row r="311" spans="1:35">
      <c r="A311" s="206"/>
      <c r="B311" s="156">
        <v>309</v>
      </c>
      <c r="C311" s="43">
        <v>49998</v>
      </c>
      <c r="D311" s="43">
        <v>15855759</v>
      </c>
      <c r="E311" s="156" t="s">
        <v>3983</v>
      </c>
      <c r="F311" s="43">
        <v>59</v>
      </c>
      <c r="G311" s="43" t="s">
        <v>3984</v>
      </c>
      <c r="H311" s="43" t="s">
        <v>2724</v>
      </c>
      <c r="I311" s="42">
        <v>923959956</v>
      </c>
      <c r="J311" s="353" t="s">
        <v>185</v>
      </c>
      <c r="K311" s="44">
        <v>46100</v>
      </c>
      <c r="L311" s="43" t="s">
        <v>3985</v>
      </c>
      <c r="M311" s="43" t="s">
        <v>312</v>
      </c>
      <c r="N311" s="43" t="s">
        <v>601</v>
      </c>
      <c r="O311" s="680">
        <v>46101</v>
      </c>
      <c r="P311" s="242" t="s">
        <v>3986</v>
      </c>
      <c r="Q311" s="877" t="s">
        <v>358</v>
      </c>
    </row>
    <row r="312" spans="1:35">
      <c r="A312" s="206"/>
      <c r="B312" s="156">
        <v>310</v>
      </c>
      <c r="C312" s="43">
        <v>524127</v>
      </c>
      <c r="D312" s="43">
        <v>16003840</v>
      </c>
      <c r="E312" s="156" t="s">
        <v>3987</v>
      </c>
      <c r="F312" s="43">
        <v>56</v>
      </c>
      <c r="G312" s="43" t="s">
        <v>3988</v>
      </c>
      <c r="H312" s="43" t="s">
        <v>461</v>
      </c>
      <c r="I312" s="42">
        <v>939158171</v>
      </c>
      <c r="J312" s="353" t="s">
        <v>162</v>
      </c>
      <c r="K312" s="44">
        <v>46100</v>
      </c>
      <c r="L312" s="43" t="s">
        <v>1098</v>
      </c>
      <c r="M312" s="43" t="s">
        <v>230</v>
      </c>
      <c r="N312" s="43" t="s">
        <v>601</v>
      </c>
      <c r="O312" s="680">
        <v>46101</v>
      </c>
      <c r="P312" s="51" t="s">
        <v>3559</v>
      </c>
      <c r="Q312" s="875" t="s">
        <v>358</v>
      </c>
    </row>
    <row r="313" spans="1:35">
      <c r="A313" s="206"/>
      <c r="B313" s="156">
        <v>311</v>
      </c>
      <c r="C313" s="43">
        <v>151130</v>
      </c>
      <c r="D313" s="43">
        <v>15860520</v>
      </c>
      <c r="E313" s="156" t="s">
        <v>3989</v>
      </c>
      <c r="F313" s="43">
        <v>58</v>
      </c>
      <c r="G313" s="43" t="s">
        <v>3990</v>
      </c>
      <c r="H313" s="43" t="s">
        <v>2724</v>
      </c>
      <c r="I313" s="42">
        <v>928203624</v>
      </c>
      <c r="J313" s="353" t="s">
        <v>455</v>
      </c>
      <c r="K313" s="44">
        <v>46100</v>
      </c>
      <c r="L313" s="43" t="s">
        <v>458</v>
      </c>
      <c r="M313" s="43" t="s">
        <v>260</v>
      </c>
      <c r="N313" s="43" t="s">
        <v>601</v>
      </c>
      <c r="O313" s="680">
        <v>46101</v>
      </c>
      <c r="P313" s="732" t="s">
        <v>3986</v>
      </c>
      <c r="Q313" s="91"/>
      <c r="R313" s="91"/>
      <c r="S313" s="91"/>
      <c r="T313" s="91"/>
      <c r="U313" s="91"/>
      <c r="V313" s="91"/>
      <c r="W313" s="91"/>
      <c r="X313" s="91"/>
      <c r="Y313" s="91"/>
      <c r="Z313" s="91"/>
      <c r="AA313" s="91"/>
      <c r="AB313" s="91"/>
      <c r="AC313" s="91"/>
      <c r="AD313" s="91"/>
      <c r="AE313" s="91"/>
      <c r="AF313" s="91"/>
      <c r="AG313" s="91"/>
      <c r="AH313" s="91"/>
      <c r="AI313" s="91"/>
    </row>
    <row r="314" spans="1:35">
      <c r="A314" s="206"/>
      <c r="B314" s="156">
        <v>312</v>
      </c>
      <c r="C314" s="43">
        <v>110122</v>
      </c>
      <c r="D314" s="43">
        <v>80602085</v>
      </c>
      <c r="E314" s="156" t="s">
        <v>3991</v>
      </c>
      <c r="F314" s="43">
        <v>51</v>
      </c>
      <c r="G314" s="43" t="s">
        <v>3992</v>
      </c>
      <c r="H314" s="43" t="s">
        <v>911</v>
      </c>
      <c r="I314" s="42">
        <v>961970904</v>
      </c>
      <c r="J314" s="353" t="s">
        <v>421</v>
      </c>
      <c r="K314" s="44">
        <v>46100</v>
      </c>
      <c r="L314" s="43" t="s">
        <v>3237</v>
      </c>
      <c r="M314" s="43" t="s">
        <v>260</v>
      </c>
      <c r="N314" s="43" t="s">
        <v>601</v>
      </c>
      <c r="O314" s="680">
        <v>46101</v>
      </c>
      <c r="P314" s="51" t="s">
        <v>3559</v>
      </c>
      <c r="Q314" s="879" t="s">
        <v>358</v>
      </c>
    </row>
    <row r="315" spans="1:35">
      <c r="A315" s="206"/>
      <c r="B315" s="156">
        <v>313</v>
      </c>
      <c r="C315" s="43">
        <v>420801</v>
      </c>
      <c r="D315" s="43">
        <v>42591707</v>
      </c>
      <c r="E315" s="156" t="s">
        <v>3993</v>
      </c>
      <c r="F315" s="43">
        <v>42</v>
      </c>
      <c r="G315" s="43" t="s">
        <v>3994</v>
      </c>
      <c r="H315" s="43" t="s">
        <v>237</v>
      </c>
      <c r="I315" s="42">
        <v>968948098</v>
      </c>
      <c r="J315" s="353" t="s">
        <v>347</v>
      </c>
      <c r="K315" s="44">
        <v>46100</v>
      </c>
      <c r="L315" s="43" t="s">
        <v>376</v>
      </c>
      <c r="M315" s="43" t="s">
        <v>230</v>
      </c>
      <c r="N315" s="43" t="s">
        <v>807</v>
      </c>
      <c r="O315" s="448">
        <v>46104</v>
      </c>
      <c r="P315" s="732" t="s">
        <v>3592</v>
      </c>
      <c r="Q315" s="91"/>
      <c r="R315" s="91"/>
      <c r="S315" s="91"/>
      <c r="T315" s="91"/>
      <c r="U315" s="91"/>
      <c r="V315" s="91"/>
      <c r="W315" s="91"/>
      <c r="X315" s="91"/>
      <c r="Y315" s="91"/>
      <c r="Z315" s="91"/>
      <c r="AA315" s="91"/>
      <c r="AB315" s="91"/>
      <c r="AC315" s="91"/>
      <c r="AD315" s="91"/>
      <c r="AE315" s="91"/>
      <c r="AF315" s="91"/>
      <c r="AG315" s="91"/>
      <c r="AH315" s="91"/>
      <c r="AI315" s="91"/>
    </row>
    <row r="316" spans="1:35">
      <c r="A316" s="206"/>
      <c r="B316" s="156">
        <v>314</v>
      </c>
      <c r="C316" s="43">
        <v>524129</v>
      </c>
      <c r="D316" s="43">
        <v>15852466</v>
      </c>
      <c r="E316" s="156" t="s">
        <v>3995</v>
      </c>
      <c r="F316" s="43">
        <v>55</v>
      </c>
      <c r="G316" s="43" t="s">
        <v>3996</v>
      </c>
      <c r="H316" s="43" t="s">
        <v>3997</v>
      </c>
      <c r="I316" s="42">
        <v>922692032</v>
      </c>
      <c r="J316" s="353" t="s">
        <v>455</v>
      </c>
      <c r="K316" s="44">
        <v>46100</v>
      </c>
      <c r="L316" s="43" t="s">
        <v>3998</v>
      </c>
      <c r="M316" s="43" t="s">
        <v>312</v>
      </c>
      <c r="N316" s="43" t="s">
        <v>807</v>
      </c>
      <c r="O316" s="680">
        <v>46104</v>
      </c>
      <c r="P316" s="224" t="s">
        <v>3999</v>
      </c>
      <c r="Q316" s="91"/>
      <c r="R316" s="91"/>
      <c r="S316" s="91"/>
      <c r="T316" s="91"/>
      <c r="U316" s="91"/>
      <c r="V316" s="91"/>
      <c r="W316" s="91"/>
      <c r="X316" s="91"/>
      <c r="Y316" s="91"/>
      <c r="Z316" s="91"/>
      <c r="AA316" s="91"/>
      <c r="AB316" s="91"/>
      <c r="AC316" s="91"/>
      <c r="AD316" s="91"/>
      <c r="AE316" s="91"/>
      <c r="AF316" s="91"/>
      <c r="AG316" s="91"/>
      <c r="AH316" s="91"/>
      <c r="AI316" s="91"/>
    </row>
    <row r="317" spans="1:35">
      <c r="A317" s="206"/>
      <c r="B317" s="156">
        <v>315</v>
      </c>
      <c r="C317" s="43">
        <v>524130</v>
      </c>
      <c r="D317" s="43">
        <v>19253817</v>
      </c>
      <c r="E317" s="156" t="s">
        <v>4000</v>
      </c>
      <c r="F317" s="43">
        <v>52</v>
      </c>
      <c r="G317" s="43" t="s">
        <v>4001</v>
      </c>
      <c r="H317" s="43" t="s">
        <v>3997</v>
      </c>
      <c r="I317" s="42">
        <v>947918858</v>
      </c>
      <c r="J317" s="353" t="s">
        <v>455</v>
      </c>
      <c r="K317" s="44">
        <v>46100</v>
      </c>
      <c r="L317" s="43" t="s">
        <v>376</v>
      </c>
      <c r="M317" s="43" t="s">
        <v>230</v>
      </c>
      <c r="N317" s="43" t="s">
        <v>807</v>
      </c>
      <c r="O317" s="680">
        <v>46104</v>
      </c>
      <c r="P317" s="224" t="s">
        <v>3999</v>
      </c>
      <c r="Q317" s="91"/>
      <c r="R317" s="91"/>
      <c r="S317" s="91"/>
      <c r="T317" s="91"/>
      <c r="U317" s="91"/>
      <c r="V317" s="91"/>
      <c r="W317" s="91"/>
      <c r="X317" s="91"/>
      <c r="Y317" s="91"/>
      <c r="Z317" s="91"/>
      <c r="AA317" s="91"/>
      <c r="AB317" s="91"/>
      <c r="AC317" s="91"/>
      <c r="AD317" s="91"/>
      <c r="AE317" s="91"/>
      <c r="AF317" s="91"/>
      <c r="AG317" s="91"/>
      <c r="AH317" s="91"/>
      <c r="AI317" s="91"/>
    </row>
    <row r="318" spans="1:35">
      <c r="A318" s="206"/>
      <c r="B318" s="156">
        <v>316</v>
      </c>
      <c r="C318" s="43">
        <v>105496</v>
      </c>
      <c r="D318" s="43">
        <v>15601710</v>
      </c>
      <c r="E318" s="156" t="s">
        <v>4002</v>
      </c>
      <c r="F318" s="43">
        <v>65</v>
      </c>
      <c r="G318" s="43" t="s">
        <v>4003</v>
      </c>
      <c r="H318" s="43" t="s">
        <v>301</v>
      </c>
      <c r="I318" s="42">
        <v>982620402</v>
      </c>
      <c r="J318" s="353" t="s">
        <v>238</v>
      </c>
      <c r="K318" s="44">
        <v>46100</v>
      </c>
      <c r="L318" s="43" t="s">
        <v>1755</v>
      </c>
      <c r="M318" s="43" t="s">
        <v>312</v>
      </c>
      <c r="N318" s="43" t="s">
        <v>807</v>
      </c>
      <c r="O318" s="680">
        <v>46104</v>
      </c>
      <c r="P318" s="732"/>
      <c r="Q318" s="91"/>
      <c r="R318" s="91"/>
      <c r="S318" s="91"/>
      <c r="T318" s="91"/>
      <c r="U318" s="91"/>
      <c r="V318" s="91"/>
      <c r="W318" s="91"/>
      <c r="X318" s="91"/>
      <c r="Y318" s="91"/>
      <c r="Z318" s="91"/>
      <c r="AA318" s="91"/>
      <c r="AB318" s="91"/>
      <c r="AC318" s="91"/>
      <c r="AD318" s="91"/>
      <c r="AE318" s="91"/>
      <c r="AF318" s="91"/>
      <c r="AG318" s="91"/>
      <c r="AH318" s="91"/>
      <c r="AI318" s="91"/>
    </row>
    <row r="319" spans="1:35">
      <c r="A319" s="206"/>
      <c r="B319" s="156">
        <v>317</v>
      </c>
      <c r="C319" s="43">
        <v>340612</v>
      </c>
      <c r="D319" s="43">
        <v>40568984</v>
      </c>
      <c r="E319" s="156" t="s">
        <v>4004</v>
      </c>
      <c r="F319" s="43">
        <v>46</v>
      </c>
      <c r="G319" s="43" t="s">
        <v>4005</v>
      </c>
      <c r="H319" s="43" t="s">
        <v>1735</v>
      </c>
      <c r="I319" s="42">
        <v>940679981</v>
      </c>
      <c r="J319" s="353" t="s">
        <v>1364</v>
      </c>
      <c r="K319" s="44">
        <v>46100</v>
      </c>
      <c r="L319" s="43" t="s">
        <v>388</v>
      </c>
      <c r="M319" s="43" t="s">
        <v>230</v>
      </c>
      <c r="N319" s="43" t="s">
        <v>241</v>
      </c>
      <c r="O319" s="448">
        <v>46108</v>
      </c>
      <c r="P319" s="732" t="s">
        <v>4006</v>
      </c>
      <c r="Q319" s="91"/>
      <c r="R319" s="91"/>
      <c r="S319" s="91"/>
      <c r="T319" s="91"/>
      <c r="U319" s="91"/>
      <c r="V319" s="91"/>
      <c r="W319" s="91"/>
      <c r="X319" s="91"/>
      <c r="Y319" s="91"/>
      <c r="Z319" s="91"/>
      <c r="AA319" s="91"/>
      <c r="AB319" s="91"/>
      <c r="AC319" s="91"/>
      <c r="AD319" s="91"/>
      <c r="AE319" s="91"/>
      <c r="AF319" s="91"/>
      <c r="AG319" s="91"/>
      <c r="AH319" s="91"/>
      <c r="AI319" s="91"/>
    </row>
    <row r="320" spans="1:35">
      <c r="A320" s="206"/>
      <c r="B320" s="156">
        <v>318</v>
      </c>
      <c r="C320" s="43">
        <v>94749</v>
      </c>
      <c r="D320" s="43">
        <v>15762395</v>
      </c>
      <c r="E320" s="156" t="s">
        <v>4007</v>
      </c>
      <c r="F320" s="43">
        <v>48</v>
      </c>
      <c r="G320" s="43" t="s">
        <v>4008</v>
      </c>
      <c r="H320" s="43" t="s">
        <v>237</v>
      </c>
      <c r="I320" s="42">
        <v>982559528</v>
      </c>
      <c r="J320" s="353" t="s">
        <v>238</v>
      </c>
      <c r="K320" s="44">
        <v>46100</v>
      </c>
      <c r="L320" s="43" t="s">
        <v>1819</v>
      </c>
      <c r="M320" s="43" t="s">
        <v>312</v>
      </c>
      <c r="N320" s="43" t="s">
        <v>241</v>
      </c>
      <c r="O320" s="680">
        <v>46104</v>
      </c>
      <c r="P320" s="732"/>
      <c r="Q320" s="91"/>
      <c r="R320" s="91"/>
      <c r="S320" s="91"/>
      <c r="T320" s="91"/>
      <c r="U320" s="91"/>
      <c r="V320" s="91"/>
      <c r="W320" s="91"/>
      <c r="X320" s="91"/>
      <c r="Y320" s="91"/>
      <c r="Z320" s="91"/>
      <c r="AA320" s="91"/>
      <c r="AB320" s="91"/>
      <c r="AC320" s="91"/>
      <c r="AD320" s="91"/>
      <c r="AE320" s="91"/>
      <c r="AF320" s="91"/>
      <c r="AG320" s="91"/>
      <c r="AH320" s="91"/>
      <c r="AI320" s="91"/>
    </row>
    <row r="321" spans="1:35">
      <c r="A321" s="206"/>
      <c r="B321" s="156">
        <v>319</v>
      </c>
      <c r="C321" s="43">
        <v>66470</v>
      </c>
      <c r="D321" s="43">
        <v>15652805</v>
      </c>
      <c r="E321" s="156" t="s">
        <v>4009</v>
      </c>
      <c r="F321" s="43">
        <v>68</v>
      </c>
      <c r="G321" s="43" t="s">
        <v>4010</v>
      </c>
      <c r="H321" s="43" t="s">
        <v>301</v>
      </c>
      <c r="I321" s="42">
        <v>982559528</v>
      </c>
      <c r="J321" s="353" t="s">
        <v>238</v>
      </c>
      <c r="K321" s="44">
        <v>46100</v>
      </c>
      <c r="L321" s="43" t="s">
        <v>376</v>
      </c>
      <c r="M321" s="43" t="s">
        <v>230</v>
      </c>
      <c r="N321" s="43" t="s">
        <v>807</v>
      </c>
      <c r="O321" s="680">
        <v>46104</v>
      </c>
      <c r="P321" s="732"/>
      <c r="Q321" s="91"/>
      <c r="R321" s="91"/>
      <c r="S321" s="91"/>
      <c r="T321" s="91"/>
      <c r="U321" s="91"/>
      <c r="V321" s="91"/>
      <c r="W321" s="91"/>
      <c r="X321" s="91"/>
      <c r="Y321" s="91"/>
      <c r="Z321" s="91"/>
      <c r="AA321" s="91"/>
      <c r="AB321" s="91"/>
      <c r="AC321" s="91"/>
      <c r="AD321" s="91"/>
      <c r="AE321" s="91"/>
      <c r="AF321" s="91"/>
      <c r="AG321" s="91"/>
      <c r="AH321" s="91"/>
      <c r="AI321" s="91"/>
    </row>
    <row r="322" spans="1:35">
      <c r="A322" s="206"/>
      <c r="B322" s="156">
        <v>320</v>
      </c>
      <c r="C322" s="43">
        <v>248364</v>
      </c>
      <c r="D322" s="43">
        <v>15726153</v>
      </c>
      <c r="E322" s="156" t="s">
        <v>4011</v>
      </c>
      <c r="F322" s="43">
        <v>54</v>
      </c>
      <c r="G322" s="43" t="s">
        <v>4012</v>
      </c>
      <c r="H322" s="43" t="s">
        <v>301</v>
      </c>
      <c r="I322" s="42">
        <v>982537802</v>
      </c>
      <c r="J322" s="353" t="s">
        <v>238</v>
      </c>
      <c r="K322" s="44">
        <v>46100</v>
      </c>
      <c r="L322" s="43" t="s">
        <v>1469</v>
      </c>
      <c r="M322" s="43" t="s">
        <v>260</v>
      </c>
      <c r="N322" s="43" t="s">
        <v>1676</v>
      </c>
      <c r="O322" s="680">
        <v>46104</v>
      </c>
      <c r="P322" s="732"/>
      <c r="Q322" s="91"/>
      <c r="R322" s="91"/>
      <c r="S322" s="91"/>
      <c r="T322" s="91"/>
      <c r="U322" s="91"/>
      <c r="V322" s="91"/>
      <c r="W322" s="91"/>
      <c r="X322" s="91"/>
      <c r="Y322" s="91"/>
      <c r="Z322" s="91"/>
      <c r="AA322" s="91"/>
      <c r="AB322" s="91"/>
      <c r="AC322" s="91"/>
      <c r="AD322" s="91"/>
      <c r="AE322" s="91"/>
      <c r="AF322" s="91"/>
      <c r="AG322" s="91"/>
      <c r="AH322" s="91"/>
      <c r="AI322" s="91"/>
    </row>
    <row r="323" spans="1:35">
      <c r="A323" s="206"/>
      <c r="B323" s="156">
        <v>321</v>
      </c>
      <c r="C323" s="43">
        <v>524131</v>
      </c>
      <c r="D323" s="43">
        <v>15742220</v>
      </c>
      <c r="E323" s="156" t="s">
        <v>4013</v>
      </c>
      <c r="F323" s="43">
        <v>51</v>
      </c>
      <c r="G323" s="43" t="s">
        <v>4014</v>
      </c>
      <c r="H323" s="43" t="s">
        <v>237</v>
      </c>
      <c r="I323" s="42">
        <v>972358486</v>
      </c>
      <c r="J323" s="353" t="s">
        <v>238</v>
      </c>
      <c r="K323" s="44">
        <v>46100</v>
      </c>
      <c r="L323" s="43" t="s">
        <v>4015</v>
      </c>
      <c r="M323" s="43" t="s">
        <v>323</v>
      </c>
      <c r="N323" s="43" t="s">
        <v>241</v>
      </c>
      <c r="O323" s="680">
        <v>46104</v>
      </c>
      <c r="P323" s="732"/>
      <c r="Q323" s="91"/>
      <c r="R323" s="91"/>
      <c r="S323" s="91"/>
      <c r="T323" s="91"/>
      <c r="U323" s="91"/>
      <c r="V323" s="91"/>
      <c r="W323" s="91"/>
      <c r="X323" s="91"/>
      <c r="Y323" s="91"/>
      <c r="Z323" s="91"/>
      <c r="AA323" s="91"/>
      <c r="AB323" s="91"/>
      <c r="AC323" s="91"/>
      <c r="AD323" s="91"/>
      <c r="AE323" s="91"/>
      <c r="AF323" s="91"/>
      <c r="AG323" s="91"/>
      <c r="AH323" s="91"/>
      <c r="AI323" s="91"/>
    </row>
    <row r="324" spans="1:35">
      <c r="A324" s="206"/>
      <c r="B324" s="156">
        <v>322</v>
      </c>
      <c r="C324" s="43">
        <v>368875</v>
      </c>
      <c r="D324" s="43">
        <v>45104487</v>
      </c>
      <c r="E324" s="156" t="s">
        <v>4016</v>
      </c>
      <c r="F324" s="43">
        <v>44</v>
      </c>
      <c r="G324" s="43" t="s">
        <v>4017</v>
      </c>
      <c r="H324" s="43" t="s">
        <v>237</v>
      </c>
      <c r="I324" s="42">
        <v>955227142</v>
      </c>
      <c r="J324" s="353" t="s">
        <v>347</v>
      </c>
      <c r="K324" s="44">
        <v>46100</v>
      </c>
      <c r="L324" s="43" t="s">
        <v>388</v>
      </c>
      <c r="M324" s="43" t="s">
        <v>230</v>
      </c>
      <c r="N324" s="43" t="s">
        <v>241</v>
      </c>
      <c r="O324" s="448">
        <v>46104</v>
      </c>
      <c r="P324" s="732" t="s">
        <v>3592</v>
      </c>
      <c r="Q324" s="91"/>
      <c r="R324" s="91"/>
      <c r="S324" s="91"/>
      <c r="T324" s="91"/>
      <c r="U324" s="91"/>
      <c r="V324" s="91"/>
      <c r="W324" s="91"/>
      <c r="X324" s="91"/>
      <c r="Y324" s="91"/>
      <c r="Z324" s="91"/>
      <c r="AA324" s="91"/>
      <c r="AB324" s="91"/>
      <c r="AC324" s="91"/>
      <c r="AD324" s="91"/>
      <c r="AE324" s="91"/>
      <c r="AF324" s="91"/>
      <c r="AG324" s="91"/>
      <c r="AH324" s="91"/>
      <c r="AI324" s="91"/>
    </row>
    <row r="325" spans="1:35">
      <c r="A325" s="206"/>
      <c r="B325" s="156">
        <v>323</v>
      </c>
      <c r="C325" s="43">
        <v>312183</v>
      </c>
      <c r="D325" s="43">
        <v>15858464</v>
      </c>
      <c r="E325" s="156" t="s">
        <v>4018</v>
      </c>
      <c r="F325" s="43">
        <v>55</v>
      </c>
      <c r="G325" s="43" t="s">
        <v>4019</v>
      </c>
      <c r="H325" s="43" t="s">
        <v>2724</v>
      </c>
      <c r="I325" s="42">
        <v>999633761</v>
      </c>
      <c r="J325" s="353" t="s">
        <v>455</v>
      </c>
      <c r="K325" s="44">
        <v>46100</v>
      </c>
      <c r="L325" s="43" t="s">
        <v>376</v>
      </c>
      <c r="M325" s="43" t="s">
        <v>230</v>
      </c>
      <c r="N325" s="43" t="s">
        <v>241</v>
      </c>
      <c r="O325" s="680">
        <v>46104</v>
      </c>
      <c r="P325" s="224" t="s">
        <v>3999</v>
      </c>
      <c r="Q325" s="91"/>
      <c r="R325" s="91"/>
      <c r="S325" s="91"/>
      <c r="T325" s="91"/>
      <c r="U325" s="91"/>
      <c r="V325" s="91"/>
      <c r="W325" s="91"/>
      <c r="X325" s="91"/>
      <c r="Y325" s="91"/>
      <c r="Z325" s="91"/>
      <c r="AA325" s="91"/>
      <c r="AB325" s="91"/>
      <c r="AC325" s="91"/>
      <c r="AD325" s="91"/>
      <c r="AE325" s="91"/>
      <c r="AF325" s="91"/>
      <c r="AG325" s="91"/>
      <c r="AH325" s="91"/>
      <c r="AI325" s="91"/>
    </row>
    <row r="326" spans="1:35">
      <c r="A326" s="206"/>
      <c r="B326" s="156">
        <v>324</v>
      </c>
      <c r="C326" s="43">
        <v>233024</v>
      </c>
      <c r="D326" s="43">
        <v>43104563</v>
      </c>
      <c r="E326" s="156" t="s">
        <v>4020</v>
      </c>
      <c r="F326" s="43">
        <v>40</v>
      </c>
      <c r="G326" s="43" t="s">
        <v>4021</v>
      </c>
      <c r="H326" s="43" t="s">
        <v>278</v>
      </c>
      <c r="I326" s="42">
        <v>956290729</v>
      </c>
      <c r="J326" s="353" t="s">
        <v>238</v>
      </c>
      <c r="K326" s="44">
        <v>46100</v>
      </c>
      <c r="L326" s="43" t="s">
        <v>413</v>
      </c>
      <c r="M326" s="43" t="s">
        <v>230</v>
      </c>
      <c r="N326" s="43" t="s">
        <v>241</v>
      </c>
      <c r="O326" s="680">
        <v>46104</v>
      </c>
      <c r="P326" s="732"/>
      <c r="Q326" s="91"/>
      <c r="R326" s="91"/>
      <c r="S326" s="91"/>
      <c r="T326" s="91"/>
      <c r="U326" s="91"/>
      <c r="V326" s="91"/>
      <c r="W326" s="91"/>
      <c r="X326" s="91"/>
      <c r="Y326" s="91"/>
      <c r="Z326" s="91"/>
      <c r="AA326" s="91"/>
      <c r="AB326" s="91"/>
      <c r="AC326" s="91"/>
      <c r="AD326" s="91"/>
      <c r="AE326" s="91"/>
      <c r="AF326" s="91"/>
      <c r="AG326" s="91"/>
      <c r="AH326" s="91"/>
      <c r="AI326" s="91"/>
    </row>
    <row r="327" spans="1:35">
      <c r="A327" s="206"/>
      <c r="B327" s="156">
        <v>325</v>
      </c>
      <c r="C327" s="43">
        <v>215785</v>
      </c>
      <c r="D327" s="43">
        <v>15856315</v>
      </c>
      <c r="E327" s="156" t="s">
        <v>4022</v>
      </c>
      <c r="F327" s="43">
        <v>57</v>
      </c>
      <c r="G327" s="43" t="s">
        <v>4023</v>
      </c>
      <c r="H327" s="43" t="s">
        <v>2724</v>
      </c>
      <c r="I327" s="42">
        <v>901685439</v>
      </c>
      <c r="J327" s="353" t="s">
        <v>455</v>
      </c>
      <c r="K327" s="44">
        <v>46100</v>
      </c>
      <c r="L327" s="43" t="s">
        <v>388</v>
      </c>
      <c r="M327" s="43" t="s">
        <v>230</v>
      </c>
      <c r="N327" s="43" t="s">
        <v>241</v>
      </c>
      <c r="O327" s="680">
        <v>46104</v>
      </c>
      <c r="P327" s="224" t="s">
        <v>3999</v>
      </c>
      <c r="Q327" s="91"/>
      <c r="R327" s="91"/>
      <c r="S327" s="91"/>
      <c r="T327" s="91"/>
      <c r="U327" s="91"/>
      <c r="V327" s="91"/>
      <c r="W327" s="91"/>
      <c r="X327" s="91"/>
      <c r="Y327" s="91"/>
      <c r="Z327" s="91"/>
      <c r="AA327" s="91"/>
      <c r="AB327" s="91"/>
      <c r="AC327" s="91"/>
      <c r="AD327" s="91"/>
      <c r="AE327" s="91"/>
      <c r="AF327" s="91"/>
      <c r="AG327" s="91"/>
      <c r="AH327" s="91"/>
      <c r="AI327" s="91"/>
    </row>
    <row r="328" spans="1:35">
      <c r="A328" s="206"/>
      <c r="B328" s="156">
        <v>326</v>
      </c>
      <c r="C328" s="43">
        <v>519330</v>
      </c>
      <c r="D328" s="43">
        <v>48577015</v>
      </c>
      <c r="E328" s="156" t="s">
        <v>4024</v>
      </c>
      <c r="F328" s="43">
        <v>40</v>
      </c>
      <c r="G328" s="43" t="s">
        <v>4025</v>
      </c>
      <c r="H328" s="43" t="s">
        <v>237</v>
      </c>
      <c r="I328" s="42">
        <v>986473040</v>
      </c>
      <c r="J328" s="353" t="s">
        <v>289</v>
      </c>
      <c r="K328" s="44">
        <v>46100</v>
      </c>
      <c r="L328" s="43" t="s">
        <v>388</v>
      </c>
      <c r="M328" s="43" t="s">
        <v>230</v>
      </c>
      <c r="N328" s="43" t="s">
        <v>241</v>
      </c>
      <c r="O328" s="680">
        <v>46104</v>
      </c>
      <c r="P328" s="224" t="s">
        <v>3999</v>
      </c>
      <c r="Q328" s="91"/>
      <c r="R328" s="91"/>
      <c r="S328" s="91"/>
      <c r="T328" s="91"/>
      <c r="U328" s="91"/>
      <c r="V328" s="91"/>
      <c r="W328" s="91"/>
      <c r="X328" s="91"/>
      <c r="Y328" s="91"/>
      <c r="Z328" s="91"/>
      <c r="AA328" s="91"/>
      <c r="AB328" s="91"/>
      <c r="AC328" s="91"/>
      <c r="AD328" s="91"/>
      <c r="AE328" s="91"/>
      <c r="AF328" s="91"/>
      <c r="AG328" s="91"/>
      <c r="AH328" s="91"/>
      <c r="AI328" s="91"/>
    </row>
    <row r="329" spans="1:35">
      <c r="A329" s="206"/>
      <c r="B329" s="156">
        <v>327</v>
      </c>
      <c r="C329" s="43">
        <v>338933</v>
      </c>
      <c r="D329" s="43">
        <v>15300612</v>
      </c>
      <c r="E329" s="156" t="s">
        <v>4026</v>
      </c>
      <c r="F329" s="43">
        <v>50</v>
      </c>
      <c r="G329" s="43" t="s">
        <v>4027</v>
      </c>
      <c r="H329" s="43" t="s">
        <v>2724</v>
      </c>
      <c r="I329" s="42">
        <v>946065518</v>
      </c>
      <c r="J329" s="353" t="s">
        <v>455</v>
      </c>
      <c r="K329" s="44">
        <v>46100</v>
      </c>
      <c r="L329" s="43" t="s">
        <v>376</v>
      </c>
      <c r="M329" s="43" t="s">
        <v>230</v>
      </c>
      <c r="N329" s="43" t="s">
        <v>241</v>
      </c>
      <c r="O329" s="680">
        <v>46104</v>
      </c>
      <c r="P329" s="224" t="s">
        <v>3999</v>
      </c>
      <c r="Q329" s="91"/>
      <c r="R329" s="91"/>
      <c r="S329" s="91"/>
      <c r="T329" s="91"/>
      <c r="U329" s="91"/>
      <c r="V329" s="91"/>
      <c r="W329" s="91"/>
      <c r="X329" s="91"/>
      <c r="Y329" s="91"/>
      <c r="Z329" s="91"/>
      <c r="AA329" s="91"/>
      <c r="AB329" s="91"/>
      <c r="AC329" s="91"/>
      <c r="AD329" s="91"/>
      <c r="AE329" s="91"/>
      <c r="AF329" s="91"/>
      <c r="AG329" s="91"/>
      <c r="AH329" s="91"/>
      <c r="AI329" s="91"/>
    </row>
    <row r="330" spans="1:35">
      <c r="A330" s="261">
        <v>46101</v>
      </c>
      <c r="B330" s="156">
        <v>328</v>
      </c>
      <c r="C330" s="43">
        <v>269992</v>
      </c>
      <c r="D330" s="43">
        <v>80158197</v>
      </c>
      <c r="E330" s="156" t="s">
        <v>4028</v>
      </c>
      <c r="F330" s="43">
        <v>53</v>
      </c>
      <c r="G330" s="43" t="s">
        <v>4029</v>
      </c>
      <c r="H330" s="43" t="s">
        <v>237</v>
      </c>
      <c r="I330" s="42">
        <v>974852239</v>
      </c>
      <c r="J330" s="353" t="s">
        <v>238</v>
      </c>
      <c r="K330" s="44">
        <v>46100</v>
      </c>
      <c r="L330" s="43" t="s">
        <v>1755</v>
      </c>
      <c r="M330" s="43" t="s">
        <v>230</v>
      </c>
      <c r="N330" s="43" t="s">
        <v>241</v>
      </c>
      <c r="O330" s="906">
        <v>46104</v>
      </c>
      <c r="Q330" s="91"/>
      <c r="R330" s="91"/>
      <c r="S330" s="91"/>
      <c r="T330" s="91"/>
      <c r="U330" s="91"/>
      <c r="V330" s="91"/>
      <c r="W330" s="91"/>
      <c r="X330" s="91"/>
      <c r="Y330" s="91"/>
      <c r="Z330" s="91"/>
      <c r="AA330" s="91"/>
      <c r="AB330" s="91"/>
      <c r="AC330" s="91"/>
      <c r="AD330" s="91"/>
      <c r="AE330" s="91"/>
      <c r="AF330" s="91"/>
      <c r="AG330" s="91"/>
      <c r="AH330" s="91"/>
      <c r="AI330" s="91"/>
    </row>
    <row r="331" spans="1:35">
      <c r="A331" s="206"/>
      <c r="B331" s="156">
        <v>329</v>
      </c>
      <c r="C331" s="43">
        <v>524146</v>
      </c>
      <c r="D331" s="43">
        <v>32791608</v>
      </c>
      <c r="E331" s="156" t="s">
        <v>4030</v>
      </c>
      <c r="F331" s="43">
        <v>60</v>
      </c>
      <c r="G331" s="43" t="s">
        <v>4031</v>
      </c>
      <c r="H331" s="43" t="s">
        <v>461</v>
      </c>
      <c r="I331" s="42" t="s">
        <v>4032</v>
      </c>
      <c r="J331" s="353" t="s">
        <v>162</v>
      </c>
      <c r="K331" s="44">
        <v>46101</v>
      </c>
      <c r="L331" s="43" t="s">
        <v>1716</v>
      </c>
      <c r="M331" s="43" t="s">
        <v>323</v>
      </c>
      <c r="N331" s="43" t="s">
        <v>241</v>
      </c>
      <c r="O331" s="906">
        <v>46104</v>
      </c>
      <c r="Q331" s="879" t="s">
        <v>358</v>
      </c>
    </row>
    <row r="332" spans="1:35">
      <c r="A332" s="266"/>
      <c r="B332" s="156">
        <v>330</v>
      </c>
      <c r="C332" s="266">
        <v>437918</v>
      </c>
      <c r="D332" s="266">
        <v>42469207</v>
      </c>
      <c r="E332" s="377" t="s">
        <v>4033</v>
      </c>
      <c r="F332" s="266">
        <v>41</v>
      </c>
      <c r="G332" s="266" t="s">
        <v>4034</v>
      </c>
      <c r="H332" s="266" t="s">
        <v>3725</v>
      </c>
      <c r="I332" s="319">
        <v>994943824</v>
      </c>
      <c r="J332" s="353" t="s">
        <v>238</v>
      </c>
      <c r="K332" s="44">
        <v>46101</v>
      </c>
      <c r="L332" s="298" t="s">
        <v>3780</v>
      </c>
      <c r="M332" s="43" t="s">
        <v>323</v>
      </c>
      <c r="N332" s="43" t="s">
        <v>241</v>
      </c>
      <c r="O332" s="906">
        <v>46104</v>
      </c>
      <c r="Q332" s="91"/>
      <c r="R332" s="91"/>
      <c r="S332" s="91"/>
      <c r="T332" s="91"/>
      <c r="U332" s="91"/>
      <c r="V332" s="91"/>
      <c r="W332" s="91"/>
      <c r="X332" s="91"/>
      <c r="Y332" s="91"/>
      <c r="Z332" s="91"/>
      <c r="AA332" s="91"/>
      <c r="AB332" s="91"/>
      <c r="AC332" s="91"/>
      <c r="AD332" s="91"/>
      <c r="AE332" s="91"/>
      <c r="AF332" s="91"/>
      <c r="AG332" s="91"/>
      <c r="AH332" s="91"/>
      <c r="AI332" s="91"/>
    </row>
    <row r="333" spans="1:35">
      <c r="A333" s="43"/>
      <c r="B333" s="156">
        <v>331</v>
      </c>
      <c r="C333" s="43">
        <v>524158</v>
      </c>
      <c r="D333" s="43">
        <v>42566665</v>
      </c>
      <c r="E333" s="156" t="s">
        <v>4035</v>
      </c>
      <c r="F333" s="43">
        <v>41</v>
      </c>
      <c r="G333" s="43" t="s">
        <v>4036</v>
      </c>
      <c r="H333" s="43" t="s">
        <v>461</v>
      </c>
      <c r="I333" s="320">
        <v>943451994</v>
      </c>
      <c r="J333" s="353" t="s">
        <v>162</v>
      </c>
      <c r="K333" s="44">
        <v>46101</v>
      </c>
      <c r="L333" s="43" t="s">
        <v>2695</v>
      </c>
      <c r="M333" s="43" t="s">
        <v>260</v>
      </c>
      <c r="N333" s="43" t="s">
        <v>1676</v>
      </c>
      <c r="O333" s="906">
        <v>46104</v>
      </c>
      <c r="Q333" s="877" t="s">
        <v>358</v>
      </c>
    </row>
    <row r="334" spans="1:35">
      <c r="A334" s="43"/>
      <c r="B334" s="156">
        <v>332</v>
      </c>
      <c r="C334" s="43">
        <v>199538</v>
      </c>
      <c r="D334" s="43">
        <v>16011260</v>
      </c>
      <c r="E334" s="156" t="s">
        <v>4037</v>
      </c>
      <c r="F334" s="43">
        <v>50</v>
      </c>
      <c r="G334" s="43" t="s">
        <v>4038</v>
      </c>
      <c r="H334" s="43" t="s">
        <v>461</v>
      </c>
      <c r="I334" s="320">
        <v>976553747</v>
      </c>
      <c r="J334" s="353" t="s">
        <v>162</v>
      </c>
      <c r="K334" s="44">
        <v>46101</v>
      </c>
      <c r="L334" s="43" t="s">
        <v>388</v>
      </c>
      <c r="M334" s="43" t="s">
        <v>230</v>
      </c>
      <c r="N334" s="43" t="s">
        <v>241</v>
      </c>
      <c r="O334" s="906">
        <v>46104</v>
      </c>
      <c r="Q334" s="471" t="s">
        <v>358</v>
      </c>
    </row>
    <row r="335" spans="1:35" ht="24.75">
      <c r="A335" s="131">
        <v>46102</v>
      </c>
      <c r="B335" s="156">
        <v>333</v>
      </c>
      <c r="C335" s="43">
        <v>138530</v>
      </c>
      <c r="D335" s="321">
        <v>40712429</v>
      </c>
      <c r="E335" s="378" t="s">
        <v>4039</v>
      </c>
      <c r="F335" s="321">
        <v>45</v>
      </c>
      <c r="G335" s="321" t="s">
        <v>4040</v>
      </c>
      <c r="H335" s="323" t="s">
        <v>2724</v>
      </c>
      <c r="I335" s="324">
        <v>922634225</v>
      </c>
      <c r="J335" s="353" t="s">
        <v>4041</v>
      </c>
      <c r="K335" s="322">
        <v>46102</v>
      </c>
      <c r="L335" s="43" t="s">
        <v>679</v>
      </c>
      <c r="M335" s="43" t="s">
        <v>230</v>
      </c>
      <c r="N335" s="45" t="s">
        <v>4042</v>
      </c>
      <c r="O335" s="155">
        <v>46104</v>
      </c>
      <c r="P335" s="43" t="s">
        <v>3999</v>
      </c>
      <c r="Q335" s="875" t="s">
        <v>358</v>
      </c>
    </row>
    <row r="336" spans="1:35" ht="24.75">
      <c r="A336" s="43"/>
      <c r="B336" s="156">
        <v>334</v>
      </c>
      <c r="C336" s="43">
        <v>121812</v>
      </c>
      <c r="D336" s="326">
        <v>42458465</v>
      </c>
      <c r="E336" s="379" t="s">
        <v>4043</v>
      </c>
      <c r="F336" s="326">
        <v>41</v>
      </c>
      <c r="G336" s="327" t="s">
        <v>4044</v>
      </c>
      <c r="H336" s="327" t="s">
        <v>2330</v>
      </c>
      <c r="I336" s="328">
        <v>925400511</v>
      </c>
      <c r="J336" s="353" t="s">
        <v>347</v>
      </c>
      <c r="K336" s="322">
        <v>46102</v>
      </c>
      <c r="L336" s="43" t="s">
        <v>4045</v>
      </c>
      <c r="M336" s="43" t="s">
        <v>323</v>
      </c>
      <c r="N336" s="43" t="s">
        <v>4042</v>
      </c>
      <c r="O336" s="152">
        <v>46104</v>
      </c>
      <c r="P336" s="732" t="s">
        <v>3592</v>
      </c>
      <c r="Q336" s="91"/>
      <c r="R336" s="91"/>
      <c r="S336" s="91"/>
      <c r="T336" s="91"/>
      <c r="U336" s="91"/>
      <c r="V336" s="91"/>
      <c r="W336" s="91"/>
      <c r="X336" s="91"/>
      <c r="Y336" s="91"/>
      <c r="Z336" s="91"/>
      <c r="AA336" s="91"/>
      <c r="AB336" s="91"/>
      <c r="AC336" s="91"/>
      <c r="AD336" s="91"/>
      <c r="AE336" s="91"/>
      <c r="AF336" s="91"/>
      <c r="AG336" s="91"/>
      <c r="AH336" s="91"/>
      <c r="AI336" s="91"/>
    </row>
    <row r="337" spans="1:35">
      <c r="A337" s="329"/>
      <c r="B337" s="156">
        <v>335</v>
      </c>
      <c r="C337" s="43">
        <v>234756</v>
      </c>
      <c r="D337" s="321">
        <v>40839123</v>
      </c>
      <c r="E337" s="378" t="s">
        <v>4046</v>
      </c>
      <c r="F337" s="321">
        <v>45</v>
      </c>
      <c r="G337" s="323" t="s">
        <v>4047</v>
      </c>
      <c r="H337" s="323" t="s">
        <v>278</v>
      </c>
      <c r="I337" s="324">
        <v>993803889</v>
      </c>
      <c r="J337" s="353" t="s">
        <v>238</v>
      </c>
      <c r="K337" s="322">
        <v>46102</v>
      </c>
      <c r="L337" s="43" t="s">
        <v>458</v>
      </c>
      <c r="M337" s="43" t="s">
        <v>260</v>
      </c>
      <c r="N337" s="43" t="s">
        <v>4042</v>
      </c>
      <c r="O337" s="152">
        <v>46104</v>
      </c>
      <c r="P337" s="224"/>
      <c r="Q337" s="897" t="s">
        <v>3372</v>
      </c>
      <c r="R337" s="91"/>
      <c r="S337" s="91"/>
      <c r="T337" s="91"/>
      <c r="U337" s="91"/>
      <c r="V337" s="91"/>
      <c r="W337" s="91"/>
      <c r="X337" s="91"/>
      <c r="Y337" s="91"/>
      <c r="Z337" s="91"/>
      <c r="AA337" s="91"/>
      <c r="AB337" s="91"/>
      <c r="AC337" s="91"/>
      <c r="AD337" s="91"/>
      <c r="AE337" s="91"/>
      <c r="AF337" s="91"/>
      <c r="AG337" s="91"/>
      <c r="AH337" s="91"/>
      <c r="AI337" s="91"/>
    </row>
    <row r="338" spans="1:35">
      <c r="A338" s="43"/>
      <c r="B338" s="156">
        <v>336</v>
      </c>
      <c r="C338" s="43">
        <v>267150</v>
      </c>
      <c r="D338" s="43">
        <v>41316231</v>
      </c>
      <c r="E338" s="156" t="s">
        <v>4048</v>
      </c>
      <c r="F338" s="43">
        <v>44</v>
      </c>
      <c r="G338" s="43" t="s">
        <v>4049</v>
      </c>
      <c r="H338" s="43" t="s">
        <v>301</v>
      </c>
      <c r="I338" s="320">
        <v>915208077</v>
      </c>
      <c r="J338" s="353" t="s">
        <v>380</v>
      </c>
      <c r="K338" s="322">
        <v>46102</v>
      </c>
      <c r="L338" s="43" t="s">
        <v>458</v>
      </c>
      <c r="M338" s="43" t="s">
        <v>260</v>
      </c>
      <c r="N338" s="43" t="s">
        <v>4042</v>
      </c>
      <c r="O338" s="152">
        <v>46104</v>
      </c>
      <c r="P338" s="732" t="s">
        <v>4050</v>
      </c>
      <c r="Q338" s="91"/>
      <c r="R338" s="91"/>
      <c r="S338" s="91"/>
      <c r="T338" s="91"/>
      <c r="U338" s="91"/>
      <c r="V338" s="91"/>
      <c r="W338" s="91"/>
      <c r="X338" s="91"/>
      <c r="Y338" s="91"/>
      <c r="Z338" s="91"/>
      <c r="AA338" s="91"/>
      <c r="AB338" s="91"/>
      <c r="AC338" s="91"/>
      <c r="AD338" s="91"/>
      <c r="AE338" s="91"/>
      <c r="AF338" s="91"/>
      <c r="AG338" s="91"/>
      <c r="AH338" s="91"/>
      <c r="AI338" s="91"/>
    </row>
    <row r="339" spans="1:35">
      <c r="A339" s="43"/>
      <c r="B339" s="156">
        <v>337</v>
      </c>
      <c r="C339" s="43">
        <v>446285</v>
      </c>
      <c r="D339" s="326">
        <v>15857452</v>
      </c>
      <c r="E339" s="379" t="s">
        <v>4051</v>
      </c>
      <c r="F339" s="326">
        <v>56</v>
      </c>
      <c r="G339" s="326" t="s">
        <v>4052</v>
      </c>
      <c r="H339" s="327" t="s">
        <v>2724</v>
      </c>
      <c r="I339" s="328">
        <v>973448587</v>
      </c>
      <c r="J339" s="363" t="s">
        <v>180</v>
      </c>
      <c r="K339" s="322">
        <v>46102</v>
      </c>
      <c r="L339" s="43" t="s">
        <v>4053</v>
      </c>
      <c r="M339" s="43" t="s">
        <v>323</v>
      </c>
      <c r="N339" s="43" t="s">
        <v>4042</v>
      </c>
      <c r="O339" s="152">
        <v>46104</v>
      </c>
      <c r="P339" s="43" t="s">
        <v>3999</v>
      </c>
      <c r="Q339" s="879" t="s">
        <v>358</v>
      </c>
    </row>
    <row r="340" spans="1:35">
      <c r="A340" s="43"/>
      <c r="B340" s="156">
        <v>338</v>
      </c>
      <c r="C340" s="43">
        <v>246962</v>
      </c>
      <c r="D340" s="43">
        <v>40749044</v>
      </c>
      <c r="E340" s="156" t="s">
        <v>4054</v>
      </c>
      <c r="F340" s="43">
        <v>45</v>
      </c>
      <c r="G340" s="43" t="s">
        <v>4055</v>
      </c>
      <c r="H340" s="43" t="s">
        <v>4056</v>
      </c>
      <c r="I340" s="320">
        <v>984413491</v>
      </c>
      <c r="J340" s="353" t="s">
        <v>742</v>
      </c>
      <c r="K340" s="322">
        <v>46102</v>
      </c>
      <c r="L340" s="43" t="s">
        <v>458</v>
      </c>
      <c r="M340" s="43" t="s">
        <v>260</v>
      </c>
      <c r="N340" s="43" t="s">
        <v>4042</v>
      </c>
      <c r="O340" s="152">
        <v>46104</v>
      </c>
      <c r="P340" s="732" t="s">
        <v>4057</v>
      </c>
      <c r="Q340" s="91"/>
      <c r="R340" s="91"/>
      <c r="S340" s="91"/>
      <c r="T340" s="91"/>
      <c r="U340" s="91"/>
      <c r="V340" s="91"/>
      <c r="W340" s="91"/>
      <c r="X340" s="91"/>
      <c r="Y340" s="91"/>
      <c r="Z340" s="91"/>
      <c r="AA340" s="91"/>
      <c r="AB340" s="91"/>
      <c r="AC340" s="91"/>
      <c r="AD340" s="91"/>
      <c r="AE340" s="91"/>
      <c r="AF340" s="91"/>
      <c r="AG340" s="91"/>
      <c r="AH340" s="91"/>
      <c r="AI340" s="91"/>
    </row>
    <row r="341" spans="1:35">
      <c r="A341" s="43"/>
      <c r="B341" s="156">
        <v>339</v>
      </c>
      <c r="C341" s="43">
        <v>524170</v>
      </c>
      <c r="D341" s="326">
        <v>16023920</v>
      </c>
      <c r="E341" s="380" t="s">
        <v>4058</v>
      </c>
      <c r="F341" s="327">
        <v>47</v>
      </c>
      <c r="G341" s="326" t="s">
        <v>4059</v>
      </c>
      <c r="H341" s="327" t="s">
        <v>271</v>
      </c>
      <c r="I341" s="328">
        <v>901009483</v>
      </c>
      <c r="J341" s="353" t="s">
        <v>164</v>
      </c>
      <c r="K341" s="322">
        <v>46102</v>
      </c>
      <c r="L341" s="43" t="s">
        <v>458</v>
      </c>
      <c r="M341" s="43" t="s">
        <v>260</v>
      </c>
      <c r="N341" s="43" t="s">
        <v>4042</v>
      </c>
      <c r="O341" s="152">
        <v>46104</v>
      </c>
      <c r="P341" s="43"/>
      <c r="Q341" s="879" t="s">
        <v>358</v>
      </c>
    </row>
    <row r="342" spans="1:35">
      <c r="A342" s="43"/>
      <c r="B342" s="156">
        <v>340</v>
      </c>
      <c r="C342" s="43">
        <v>33649</v>
      </c>
      <c r="D342" s="321">
        <v>15732658</v>
      </c>
      <c r="E342" s="378" t="s">
        <v>4060</v>
      </c>
      <c r="F342" s="321">
        <v>52</v>
      </c>
      <c r="G342" s="323" t="s">
        <v>4061</v>
      </c>
      <c r="H342" s="323" t="s">
        <v>301</v>
      </c>
      <c r="I342" s="324">
        <v>940387417</v>
      </c>
      <c r="J342" s="353" t="s">
        <v>238</v>
      </c>
      <c r="K342" s="322">
        <v>46102</v>
      </c>
      <c r="L342" s="43" t="s">
        <v>4062</v>
      </c>
      <c r="M342" s="43" t="s">
        <v>312</v>
      </c>
      <c r="N342" s="43" t="s">
        <v>4042</v>
      </c>
      <c r="O342" s="152">
        <v>46104</v>
      </c>
      <c r="P342" s="224"/>
      <c r="Q342" s="91"/>
      <c r="R342" s="91"/>
      <c r="S342" s="91"/>
      <c r="T342" s="91"/>
      <c r="U342" s="91"/>
      <c r="V342" s="91"/>
      <c r="W342" s="91"/>
      <c r="X342" s="91"/>
      <c r="Y342" s="91"/>
      <c r="Z342" s="91"/>
      <c r="AA342" s="91"/>
      <c r="AB342" s="91"/>
      <c r="AC342" s="91"/>
      <c r="AD342" s="91"/>
      <c r="AE342" s="91"/>
      <c r="AF342" s="91"/>
      <c r="AG342" s="91"/>
      <c r="AH342" s="91"/>
      <c r="AI342" s="91"/>
    </row>
    <row r="343" spans="1:35">
      <c r="A343" s="43"/>
      <c r="B343" s="156">
        <v>341</v>
      </c>
      <c r="C343" s="43">
        <v>466824</v>
      </c>
      <c r="D343" s="321">
        <v>15987606</v>
      </c>
      <c r="E343" s="177" t="s">
        <v>4063</v>
      </c>
      <c r="F343" s="321">
        <v>62</v>
      </c>
      <c r="G343" s="321" t="s">
        <v>4064</v>
      </c>
      <c r="H343" s="323" t="s">
        <v>1885</v>
      </c>
      <c r="I343" s="330">
        <v>900116525</v>
      </c>
      <c r="J343" s="353" t="s">
        <v>164</v>
      </c>
      <c r="K343" s="322">
        <v>46102</v>
      </c>
      <c r="L343" s="43" t="s">
        <v>4065</v>
      </c>
      <c r="M343" s="43" t="s">
        <v>260</v>
      </c>
      <c r="N343" s="43" t="s">
        <v>4042</v>
      </c>
      <c r="O343" s="152">
        <v>46104</v>
      </c>
      <c r="P343" s="43"/>
      <c r="Q343" s="877" t="s">
        <v>358</v>
      </c>
    </row>
    <row r="344" spans="1:35">
      <c r="A344" s="331"/>
      <c r="B344" s="156">
        <v>342</v>
      </c>
      <c r="C344" s="331">
        <v>524171</v>
      </c>
      <c r="D344" s="332">
        <v>15975476</v>
      </c>
      <c r="E344" s="372" t="s">
        <v>4066</v>
      </c>
      <c r="F344" s="332">
        <v>62</v>
      </c>
      <c r="G344" s="332" t="s">
        <v>4067</v>
      </c>
      <c r="H344" s="333" t="s">
        <v>911</v>
      </c>
      <c r="I344" s="334">
        <v>994578194</v>
      </c>
      <c r="J344" s="353" t="s">
        <v>164</v>
      </c>
      <c r="K344" s="322">
        <v>46102</v>
      </c>
      <c r="L344" s="897" t="s">
        <v>4068</v>
      </c>
      <c r="M344" s="43" t="s">
        <v>230</v>
      </c>
      <c r="N344" s="43" t="s">
        <v>4042</v>
      </c>
      <c r="O344" s="152">
        <v>46104</v>
      </c>
      <c r="P344" s="331"/>
      <c r="Q344" s="875" t="s">
        <v>358</v>
      </c>
    </row>
    <row r="345" spans="1:35">
      <c r="A345" s="335"/>
      <c r="B345" s="156">
        <v>343</v>
      </c>
      <c r="C345" s="43">
        <v>101807</v>
      </c>
      <c r="D345" s="43">
        <v>15614686</v>
      </c>
      <c r="E345" s="156" t="s">
        <v>4069</v>
      </c>
      <c r="F345" s="43">
        <v>64</v>
      </c>
      <c r="G345" s="43" t="s">
        <v>4070</v>
      </c>
      <c r="H345" s="43" t="s">
        <v>222</v>
      </c>
      <c r="I345" s="320">
        <v>963465884</v>
      </c>
      <c r="J345" s="353" t="s">
        <v>283</v>
      </c>
      <c r="K345" s="322">
        <v>46102</v>
      </c>
      <c r="L345" s="43" t="s">
        <v>4071</v>
      </c>
      <c r="M345" s="43" t="s">
        <v>323</v>
      </c>
      <c r="N345" s="43" t="s">
        <v>4042</v>
      </c>
      <c r="O345" s="152">
        <v>46104</v>
      </c>
      <c r="P345" s="732" t="s">
        <v>285</v>
      </c>
      <c r="Q345" s="91"/>
      <c r="R345" s="91"/>
      <c r="S345" s="91"/>
      <c r="T345" s="91"/>
      <c r="U345" s="91"/>
      <c r="V345" s="91"/>
      <c r="W345" s="91"/>
      <c r="X345" s="91"/>
      <c r="Y345" s="91"/>
      <c r="Z345" s="91"/>
      <c r="AA345" s="91"/>
      <c r="AB345" s="91"/>
      <c r="AC345" s="91"/>
      <c r="AD345" s="91"/>
      <c r="AE345" s="91"/>
      <c r="AF345" s="91"/>
      <c r="AG345" s="91"/>
      <c r="AH345" s="91"/>
      <c r="AI345" s="91"/>
    </row>
    <row r="346" spans="1:35">
      <c r="A346" s="43"/>
      <c r="B346" s="156">
        <v>344</v>
      </c>
      <c r="C346" s="43">
        <v>257994</v>
      </c>
      <c r="D346" s="43">
        <v>44856320</v>
      </c>
      <c r="E346" s="156" t="s">
        <v>4072</v>
      </c>
      <c r="F346" s="43">
        <v>40</v>
      </c>
      <c r="G346" s="43" t="s">
        <v>4070</v>
      </c>
      <c r="H346" s="43" t="s">
        <v>222</v>
      </c>
      <c r="I346" s="320">
        <v>963465884</v>
      </c>
      <c r="J346" s="353" t="s">
        <v>283</v>
      </c>
      <c r="K346" s="322">
        <v>46102</v>
      </c>
      <c r="L346" s="43" t="s">
        <v>4073</v>
      </c>
      <c r="M346" s="43" t="s">
        <v>230</v>
      </c>
      <c r="N346" s="43" t="s">
        <v>4042</v>
      </c>
      <c r="O346" s="152">
        <v>46104</v>
      </c>
      <c r="P346" s="732" t="s">
        <v>285</v>
      </c>
      <c r="Q346" s="91"/>
      <c r="R346" s="91"/>
      <c r="S346" s="91"/>
      <c r="T346" s="91"/>
      <c r="U346" s="91"/>
      <c r="V346" s="91"/>
      <c r="W346" s="91"/>
      <c r="X346" s="91"/>
      <c r="Y346" s="91"/>
      <c r="Z346" s="91"/>
      <c r="AA346" s="91"/>
      <c r="AB346" s="91"/>
      <c r="AC346" s="91"/>
      <c r="AD346" s="91"/>
      <c r="AE346" s="91"/>
      <c r="AF346" s="91"/>
      <c r="AG346" s="91"/>
      <c r="AH346" s="91"/>
      <c r="AI346" s="91"/>
    </row>
    <row r="347" spans="1:35" ht="24.75">
      <c r="A347" s="43"/>
      <c r="B347" s="156">
        <v>345</v>
      </c>
      <c r="C347" s="43">
        <v>490515</v>
      </c>
      <c r="D347" s="43">
        <v>43388978</v>
      </c>
      <c r="E347" s="156" t="s">
        <v>4074</v>
      </c>
      <c r="F347" s="43">
        <v>42</v>
      </c>
      <c r="G347" s="43" t="s">
        <v>4075</v>
      </c>
      <c r="H347" s="43" t="s">
        <v>3233</v>
      </c>
      <c r="I347" s="320">
        <v>935035200</v>
      </c>
      <c r="J347" s="353" t="s">
        <v>429</v>
      </c>
      <c r="K347" s="322">
        <v>46102</v>
      </c>
      <c r="L347" s="43" t="s">
        <v>458</v>
      </c>
      <c r="M347" s="43" t="s">
        <v>260</v>
      </c>
      <c r="N347" s="45" t="s">
        <v>4042</v>
      </c>
      <c r="O347" s="152">
        <v>46104</v>
      </c>
      <c r="P347" s="242" t="s">
        <v>285</v>
      </c>
      <c r="Q347" s="879" t="s">
        <v>358</v>
      </c>
    </row>
    <row r="348" spans="1:35">
      <c r="A348" s="43"/>
      <c r="B348" s="156">
        <v>346</v>
      </c>
      <c r="C348" s="43">
        <v>289083</v>
      </c>
      <c r="D348" s="43">
        <v>41239546</v>
      </c>
      <c r="E348" s="156" t="s">
        <v>4076</v>
      </c>
      <c r="F348" s="43">
        <v>43</v>
      </c>
      <c r="G348" s="43" t="s">
        <v>4077</v>
      </c>
      <c r="H348" s="43" t="s">
        <v>222</v>
      </c>
      <c r="I348" s="320">
        <v>994784970</v>
      </c>
      <c r="J348" s="353" t="s">
        <v>223</v>
      </c>
      <c r="K348" s="322">
        <v>46102</v>
      </c>
      <c r="L348" s="43" t="s">
        <v>458</v>
      </c>
      <c r="M348" s="43" t="s">
        <v>260</v>
      </c>
      <c r="N348" s="43" t="s">
        <v>4042</v>
      </c>
      <c r="O348" s="152">
        <v>46104</v>
      </c>
      <c r="P348" s="732" t="s">
        <v>4078</v>
      </c>
      <c r="Q348" s="91"/>
      <c r="R348" s="91"/>
      <c r="S348" s="91"/>
      <c r="T348" s="91"/>
      <c r="U348" s="91"/>
      <c r="V348" s="91"/>
      <c r="W348" s="91"/>
      <c r="X348" s="91"/>
      <c r="Y348" s="91"/>
      <c r="Z348" s="91"/>
      <c r="AA348" s="91"/>
      <c r="AB348" s="91"/>
      <c r="AC348" s="91"/>
      <c r="AD348" s="91"/>
      <c r="AE348" s="91"/>
      <c r="AF348" s="91"/>
      <c r="AG348" s="91"/>
      <c r="AH348" s="91"/>
      <c r="AI348" s="91"/>
    </row>
    <row r="349" spans="1:35">
      <c r="A349" s="43"/>
      <c r="B349" s="156">
        <v>347</v>
      </c>
      <c r="C349" s="43">
        <v>524172</v>
      </c>
      <c r="D349" s="321">
        <v>15447027</v>
      </c>
      <c r="E349" s="378" t="s">
        <v>4079</v>
      </c>
      <c r="F349" s="321">
        <v>49</v>
      </c>
      <c r="G349" s="321" t="s">
        <v>4080</v>
      </c>
      <c r="H349" s="323" t="s">
        <v>2724</v>
      </c>
      <c r="I349" s="324">
        <v>930640563</v>
      </c>
      <c r="J349" s="363" t="s">
        <v>178</v>
      </c>
      <c r="K349" s="322">
        <v>46102</v>
      </c>
      <c r="L349" s="43" t="s">
        <v>4065</v>
      </c>
      <c r="M349" s="43" t="s">
        <v>260</v>
      </c>
      <c r="N349" s="43" t="s">
        <v>4042</v>
      </c>
      <c r="O349" s="152">
        <v>46104</v>
      </c>
      <c r="P349" s="43" t="s">
        <v>3999</v>
      </c>
      <c r="Q349" s="879" t="s">
        <v>358</v>
      </c>
    </row>
    <row r="350" spans="1:35">
      <c r="A350" s="43"/>
      <c r="B350" s="156">
        <v>348</v>
      </c>
      <c r="C350" s="43">
        <v>285230</v>
      </c>
      <c r="D350" s="321">
        <v>43577510</v>
      </c>
      <c r="E350" s="378" t="s">
        <v>4081</v>
      </c>
      <c r="F350" s="321">
        <v>46</v>
      </c>
      <c r="G350" s="323" t="s">
        <v>4082</v>
      </c>
      <c r="H350" s="323" t="s">
        <v>237</v>
      </c>
      <c r="I350" s="324">
        <v>904398011</v>
      </c>
      <c r="J350" s="353" t="s">
        <v>283</v>
      </c>
      <c r="K350" s="322">
        <v>46102</v>
      </c>
      <c r="L350" s="43" t="s">
        <v>4083</v>
      </c>
      <c r="M350" s="43" t="s">
        <v>230</v>
      </c>
      <c r="N350" s="43" t="s">
        <v>4084</v>
      </c>
      <c r="O350" s="152">
        <v>46104</v>
      </c>
      <c r="P350" s="732" t="s">
        <v>285</v>
      </c>
      <c r="Q350" s="91"/>
      <c r="R350" s="91"/>
      <c r="S350" s="91"/>
      <c r="T350" s="91"/>
      <c r="U350" s="91"/>
      <c r="V350" s="91"/>
      <c r="W350" s="91"/>
      <c r="X350" s="91"/>
      <c r="Y350" s="91"/>
      <c r="Z350" s="91"/>
      <c r="AA350" s="91"/>
      <c r="AB350" s="91"/>
      <c r="AC350" s="91"/>
      <c r="AD350" s="91"/>
      <c r="AE350" s="91"/>
      <c r="AF350" s="91"/>
      <c r="AG350" s="91"/>
      <c r="AH350" s="91"/>
      <c r="AI350" s="91"/>
    </row>
    <row r="351" spans="1:35">
      <c r="A351" s="43"/>
      <c r="B351" s="156">
        <v>349</v>
      </c>
      <c r="C351" s="43">
        <v>524173</v>
      </c>
      <c r="D351" s="43" t="s">
        <v>4085</v>
      </c>
      <c r="E351" s="156" t="s">
        <v>4086</v>
      </c>
      <c r="F351" s="43">
        <v>61</v>
      </c>
      <c r="G351" s="43" t="s">
        <v>4087</v>
      </c>
      <c r="H351" s="43" t="s">
        <v>461</v>
      </c>
      <c r="I351" s="320">
        <v>953697158</v>
      </c>
      <c r="J351" s="353" t="s">
        <v>162</v>
      </c>
      <c r="K351" s="322">
        <v>46102</v>
      </c>
      <c r="L351" s="43" t="s">
        <v>4088</v>
      </c>
      <c r="M351" s="43" t="s">
        <v>312</v>
      </c>
      <c r="N351" s="43" t="s">
        <v>4042</v>
      </c>
      <c r="O351" s="152">
        <v>46104</v>
      </c>
      <c r="P351" s="242"/>
      <c r="Q351" s="879" t="s">
        <v>358</v>
      </c>
    </row>
    <row r="352" spans="1:35">
      <c r="A352" s="43"/>
      <c r="B352" s="156">
        <v>350</v>
      </c>
      <c r="C352" s="43">
        <v>50647</v>
      </c>
      <c r="D352" s="336">
        <v>15737464</v>
      </c>
      <c r="E352" s="378" t="s">
        <v>4089</v>
      </c>
      <c r="F352" s="336">
        <v>50</v>
      </c>
      <c r="G352" s="337" t="s">
        <v>4090</v>
      </c>
      <c r="H352" s="337" t="s">
        <v>1581</v>
      </c>
      <c r="I352" s="338">
        <v>923958349</v>
      </c>
      <c r="J352" s="353" t="s">
        <v>238</v>
      </c>
      <c r="K352" s="322">
        <v>46102</v>
      </c>
      <c r="L352" s="43" t="s">
        <v>458</v>
      </c>
      <c r="M352" s="43" t="s">
        <v>260</v>
      </c>
      <c r="N352" s="43" t="s">
        <v>4042</v>
      </c>
      <c r="O352" s="152">
        <v>46104</v>
      </c>
      <c r="P352" s="224"/>
      <c r="Q352" s="91"/>
      <c r="R352" s="91"/>
      <c r="S352" s="91"/>
      <c r="T352" s="91"/>
      <c r="U352" s="91"/>
      <c r="V352" s="91"/>
      <c r="W352" s="91"/>
      <c r="X352" s="91"/>
      <c r="Y352" s="91"/>
      <c r="Z352" s="91"/>
      <c r="AA352" s="91"/>
      <c r="AB352" s="91"/>
      <c r="AC352" s="91"/>
      <c r="AD352" s="91"/>
      <c r="AE352" s="91"/>
      <c r="AF352" s="91"/>
      <c r="AG352" s="91"/>
      <c r="AH352" s="91"/>
      <c r="AI352" s="91"/>
    </row>
    <row r="353" spans="1:35">
      <c r="A353" s="43"/>
      <c r="B353" s="156">
        <v>351</v>
      </c>
      <c r="C353" s="43">
        <v>524175</v>
      </c>
      <c r="D353" s="43">
        <v>15748013</v>
      </c>
      <c r="E353" s="156" t="s">
        <v>4091</v>
      </c>
      <c r="F353" s="43">
        <v>53</v>
      </c>
      <c r="G353" s="43" t="s">
        <v>4092</v>
      </c>
      <c r="H353" s="43" t="s">
        <v>461</v>
      </c>
      <c r="I353" s="320">
        <v>972413131</v>
      </c>
      <c r="J353" s="353" t="s">
        <v>162</v>
      </c>
      <c r="K353" s="322">
        <v>46102</v>
      </c>
      <c r="L353" s="43" t="s">
        <v>458</v>
      </c>
      <c r="M353" s="43" t="s">
        <v>260</v>
      </c>
      <c r="N353" s="43" t="s">
        <v>4042</v>
      </c>
      <c r="O353" s="152">
        <v>46104</v>
      </c>
      <c r="P353" s="242"/>
      <c r="Q353" s="879" t="s">
        <v>358</v>
      </c>
    </row>
    <row r="354" spans="1:35">
      <c r="A354" s="43"/>
      <c r="B354" s="156">
        <v>352</v>
      </c>
      <c r="C354" s="43">
        <v>58464</v>
      </c>
      <c r="D354" s="339">
        <v>15744133</v>
      </c>
      <c r="E354" s="381" t="s">
        <v>4093</v>
      </c>
      <c r="F354" s="339">
        <v>50</v>
      </c>
      <c r="G354" s="339" t="s">
        <v>4094</v>
      </c>
      <c r="H354" s="339" t="s">
        <v>246</v>
      </c>
      <c r="I354" s="340">
        <v>981558790</v>
      </c>
      <c r="J354" s="353" t="s">
        <v>238</v>
      </c>
      <c r="K354" s="322">
        <v>46102</v>
      </c>
      <c r="L354" s="43" t="s">
        <v>4095</v>
      </c>
      <c r="M354" s="43" t="s">
        <v>260</v>
      </c>
      <c r="N354" s="43" t="s">
        <v>4042</v>
      </c>
      <c r="O354" s="152">
        <v>46104</v>
      </c>
      <c r="P354" s="224"/>
      <c r="Q354" s="91"/>
      <c r="R354" s="91"/>
      <c r="S354" s="91"/>
      <c r="T354" s="91"/>
      <c r="U354" s="91"/>
      <c r="V354" s="91"/>
      <c r="W354" s="91"/>
      <c r="X354" s="91"/>
      <c r="Y354" s="91"/>
      <c r="Z354" s="91"/>
      <c r="AA354" s="91"/>
      <c r="AB354" s="91"/>
      <c r="AC354" s="91"/>
      <c r="AD354" s="91"/>
      <c r="AE354" s="91"/>
      <c r="AF354" s="91"/>
      <c r="AG354" s="91"/>
      <c r="AH354" s="91"/>
      <c r="AI354" s="91"/>
    </row>
    <row r="355" spans="1:35">
      <c r="A355" s="43"/>
      <c r="B355" s="156">
        <v>353</v>
      </c>
      <c r="C355" s="43">
        <v>524176</v>
      </c>
      <c r="D355" s="326">
        <v>10450542</v>
      </c>
      <c r="E355" s="380" t="s">
        <v>4096</v>
      </c>
      <c r="F355" s="326">
        <v>49</v>
      </c>
      <c r="G355" s="326" t="s">
        <v>4097</v>
      </c>
      <c r="H355" s="327" t="s">
        <v>1885</v>
      </c>
      <c r="I355" s="341">
        <v>923590527</v>
      </c>
      <c r="J355" s="353" t="s">
        <v>164</v>
      </c>
      <c r="K355" s="322">
        <v>46102</v>
      </c>
      <c r="L355" s="43" t="s">
        <v>458</v>
      </c>
      <c r="M355" s="43" t="s">
        <v>260</v>
      </c>
      <c r="N355" s="43" t="s">
        <v>4042</v>
      </c>
      <c r="O355" s="152">
        <v>46104</v>
      </c>
      <c r="P355" s="43"/>
      <c r="Q355" s="877" t="s">
        <v>358</v>
      </c>
    </row>
    <row r="356" spans="1:35">
      <c r="A356" s="335"/>
      <c r="B356" s="156">
        <v>354</v>
      </c>
      <c r="C356" s="43">
        <v>524177</v>
      </c>
      <c r="D356" s="43">
        <v>40322830</v>
      </c>
      <c r="E356" s="156" t="s">
        <v>4098</v>
      </c>
      <c r="F356" s="43">
        <v>54</v>
      </c>
      <c r="G356" s="43" t="s">
        <v>4099</v>
      </c>
      <c r="H356" s="43" t="s">
        <v>4100</v>
      </c>
      <c r="I356" s="320">
        <v>990062878</v>
      </c>
      <c r="J356" s="353" t="s">
        <v>164</v>
      </c>
      <c r="K356" s="322">
        <v>46102</v>
      </c>
      <c r="L356" s="43" t="s">
        <v>4101</v>
      </c>
      <c r="M356" s="43" t="s">
        <v>260</v>
      </c>
      <c r="N356" s="43" t="s">
        <v>4042</v>
      </c>
      <c r="O356" s="152">
        <v>46104</v>
      </c>
      <c r="P356" s="242"/>
      <c r="Q356" s="875" t="s">
        <v>358</v>
      </c>
    </row>
    <row r="357" spans="1:35">
      <c r="A357" s="43"/>
      <c r="B357" s="156">
        <v>355</v>
      </c>
      <c r="C357" s="43">
        <v>242749</v>
      </c>
      <c r="D357" s="321">
        <v>40633041</v>
      </c>
      <c r="E357" s="378" t="s">
        <v>4102</v>
      </c>
      <c r="F357" s="321">
        <v>45</v>
      </c>
      <c r="G357" s="323" t="s">
        <v>4103</v>
      </c>
      <c r="H357" s="323" t="s">
        <v>326</v>
      </c>
      <c r="I357" s="324">
        <v>955337279</v>
      </c>
      <c r="J357" s="353" t="s">
        <v>375</v>
      </c>
      <c r="K357" s="322">
        <v>46102</v>
      </c>
      <c r="L357" s="43" t="s">
        <v>458</v>
      </c>
      <c r="M357" s="43" t="s">
        <v>260</v>
      </c>
      <c r="N357" s="43" t="s">
        <v>4042</v>
      </c>
      <c r="O357" s="152">
        <v>46104</v>
      </c>
      <c r="P357" s="732" t="s">
        <v>285</v>
      </c>
      <c r="Q357" s="91"/>
      <c r="R357" s="91"/>
      <c r="S357" s="91"/>
      <c r="T357" s="91"/>
      <c r="U357" s="91"/>
      <c r="V357" s="91"/>
      <c r="W357" s="91"/>
      <c r="X357" s="91"/>
      <c r="Y357" s="91"/>
      <c r="Z357" s="91"/>
      <c r="AA357" s="91"/>
      <c r="AB357" s="91"/>
      <c r="AC357" s="91"/>
      <c r="AD357" s="91"/>
      <c r="AE357" s="91"/>
      <c r="AF357" s="91"/>
      <c r="AG357" s="91"/>
      <c r="AH357" s="91"/>
      <c r="AI357" s="91"/>
    </row>
    <row r="358" spans="1:35">
      <c r="A358" s="261">
        <v>46104</v>
      </c>
      <c r="B358" s="156">
        <v>356</v>
      </c>
      <c r="C358" s="43">
        <v>524078</v>
      </c>
      <c r="D358" s="342">
        <v>32045064</v>
      </c>
      <c r="E358" s="379" t="s">
        <v>4104</v>
      </c>
      <c r="F358" s="342">
        <v>47</v>
      </c>
      <c r="G358" s="43" t="s">
        <v>4105</v>
      </c>
      <c r="H358" s="43" t="s">
        <v>301</v>
      </c>
      <c r="I358" s="342">
        <v>943261249</v>
      </c>
      <c r="J358" s="353" t="s">
        <v>302</v>
      </c>
      <c r="K358" s="44">
        <v>46104</v>
      </c>
      <c r="L358" s="43" t="s">
        <v>376</v>
      </c>
      <c r="M358" s="43" t="s">
        <v>3943</v>
      </c>
      <c r="N358" s="43" t="s">
        <v>4084</v>
      </c>
      <c r="O358" s="155">
        <v>46105</v>
      </c>
      <c r="P358" s="732" t="s">
        <v>4106</v>
      </c>
      <c r="Q358" s="91"/>
      <c r="R358" s="91"/>
      <c r="S358" s="91"/>
      <c r="T358" s="91"/>
      <c r="U358" s="91"/>
      <c r="V358" s="91"/>
      <c r="W358" s="91"/>
      <c r="X358" s="91"/>
      <c r="Y358" s="91"/>
      <c r="Z358" s="91"/>
      <c r="AA358" s="91"/>
      <c r="AB358" s="91"/>
      <c r="AC358" s="91"/>
      <c r="AD358" s="91"/>
      <c r="AE358" s="91"/>
      <c r="AF358" s="91"/>
      <c r="AG358" s="91"/>
      <c r="AH358" s="91"/>
      <c r="AI358" s="91"/>
    </row>
    <row r="359" spans="1:35">
      <c r="A359" s="43"/>
      <c r="B359" s="156">
        <v>357</v>
      </c>
      <c r="C359" s="43">
        <v>261930</v>
      </c>
      <c r="D359" s="43">
        <v>45105046</v>
      </c>
      <c r="E359" s="156" t="s">
        <v>4107</v>
      </c>
      <c r="F359" s="43">
        <v>44</v>
      </c>
      <c r="G359" s="43" t="s">
        <v>4108</v>
      </c>
      <c r="H359" s="43" t="s">
        <v>222</v>
      </c>
      <c r="I359" s="320" t="s">
        <v>4109</v>
      </c>
      <c r="J359" s="403" t="s">
        <v>283</v>
      </c>
      <c r="K359" s="114">
        <v>46104</v>
      </c>
      <c r="L359" s="112" t="s">
        <v>388</v>
      </c>
      <c r="M359" s="112" t="s">
        <v>3943</v>
      </c>
      <c r="N359" s="112" t="s">
        <v>3253</v>
      </c>
      <c r="O359" s="404">
        <v>46105</v>
      </c>
      <c r="P359" s="870" t="s">
        <v>4106</v>
      </c>
      <c r="Q359" s="91"/>
      <c r="R359" s="91"/>
      <c r="S359" s="91"/>
      <c r="T359" s="91"/>
      <c r="U359" s="91"/>
      <c r="V359" s="91"/>
      <c r="W359" s="91"/>
      <c r="X359" s="91"/>
      <c r="Y359" s="91"/>
      <c r="Z359" s="91"/>
      <c r="AA359" s="91"/>
      <c r="AB359" s="91"/>
      <c r="AC359" s="91"/>
      <c r="AD359" s="91"/>
      <c r="AE359" s="91"/>
      <c r="AF359" s="91"/>
      <c r="AG359" s="91"/>
      <c r="AH359" s="91"/>
      <c r="AI359" s="91"/>
    </row>
    <row r="360" spans="1:35">
      <c r="A360" s="43"/>
      <c r="B360" s="156">
        <v>358</v>
      </c>
      <c r="C360" s="43">
        <v>268048</v>
      </c>
      <c r="D360" s="343">
        <v>80575763</v>
      </c>
      <c r="E360" s="381" t="s">
        <v>4110</v>
      </c>
      <c r="F360" s="343">
        <v>51</v>
      </c>
      <c r="G360" s="43" t="s">
        <v>4111</v>
      </c>
      <c r="H360" s="43" t="s">
        <v>278</v>
      </c>
      <c r="I360" s="343">
        <v>950223490</v>
      </c>
      <c r="J360" s="387" t="s">
        <v>384</v>
      </c>
      <c r="K360" s="44">
        <v>46104</v>
      </c>
      <c r="L360" s="43" t="s">
        <v>2177</v>
      </c>
      <c r="M360" s="43" t="s">
        <v>312</v>
      </c>
      <c r="N360" s="43" t="s">
        <v>4084</v>
      </c>
      <c r="O360" s="898">
        <v>46108</v>
      </c>
      <c r="P360" s="897" t="s">
        <v>3947</v>
      </c>
      <c r="Q360" s="91"/>
      <c r="R360" s="91"/>
      <c r="S360" s="91"/>
      <c r="T360" s="91"/>
      <c r="U360" s="91"/>
      <c r="V360" s="91"/>
      <c r="W360" s="91"/>
      <c r="X360" s="91"/>
      <c r="Y360" s="91"/>
      <c r="Z360" s="91"/>
      <c r="AA360" s="91"/>
      <c r="AB360" s="91"/>
      <c r="AC360" s="91"/>
      <c r="AD360" s="91"/>
      <c r="AE360" s="91"/>
      <c r="AF360" s="91"/>
      <c r="AG360" s="91"/>
      <c r="AH360" s="91"/>
      <c r="AI360" s="91"/>
    </row>
    <row r="361" spans="1:35">
      <c r="A361" s="43"/>
      <c r="B361" s="156">
        <v>359</v>
      </c>
      <c r="C361" s="43">
        <v>524206</v>
      </c>
      <c r="D361" s="134">
        <v>41235863</v>
      </c>
      <c r="E361" s="182" t="s">
        <v>4112</v>
      </c>
      <c r="F361" s="134">
        <v>45</v>
      </c>
      <c r="G361" s="134" t="s">
        <v>4113</v>
      </c>
      <c r="H361" s="43" t="s">
        <v>461</v>
      </c>
      <c r="I361" s="391">
        <v>964532560</v>
      </c>
      <c r="J361" s="387" t="s">
        <v>162</v>
      </c>
      <c r="K361" s="44">
        <v>46104</v>
      </c>
      <c r="L361" s="43" t="s">
        <v>388</v>
      </c>
      <c r="M361" s="43" t="s">
        <v>3943</v>
      </c>
      <c r="N361" s="43" t="s">
        <v>3253</v>
      </c>
      <c r="O361" s="155">
        <v>46105</v>
      </c>
      <c r="P361" s="242" t="s">
        <v>4106</v>
      </c>
      <c r="Q361" s="877" t="s">
        <v>358</v>
      </c>
    </row>
    <row r="362" spans="1:35">
      <c r="A362" s="43"/>
      <c r="B362" s="156">
        <v>360</v>
      </c>
      <c r="C362" s="43">
        <v>524207</v>
      </c>
      <c r="D362" s="326">
        <v>15755390</v>
      </c>
      <c r="E362" s="379" t="s">
        <v>4114</v>
      </c>
      <c r="F362" s="43">
        <v>52</v>
      </c>
      <c r="G362" s="326" t="s">
        <v>4115</v>
      </c>
      <c r="H362" s="327" t="s">
        <v>271</v>
      </c>
      <c r="I362" s="392">
        <v>926152838</v>
      </c>
      <c r="J362" s="387" t="s">
        <v>164</v>
      </c>
      <c r="K362" s="44">
        <v>46104</v>
      </c>
      <c r="L362" s="43" t="s">
        <v>388</v>
      </c>
      <c r="M362" s="43" t="s">
        <v>3943</v>
      </c>
      <c r="N362" s="43" t="s">
        <v>3253</v>
      </c>
      <c r="O362" s="905">
        <v>46108</v>
      </c>
      <c r="P362" t="s">
        <v>3588</v>
      </c>
      <c r="Q362" s="875" t="s">
        <v>358</v>
      </c>
    </row>
    <row r="363" spans="1:35">
      <c r="A363" s="43"/>
      <c r="B363" s="156">
        <v>361</v>
      </c>
      <c r="C363" s="43">
        <v>1273</v>
      </c>
      <c r="D363" s="43">
        <v>41665141</v>
      </c>
      <c r="E363" s="156" t="s">
        <v>4116</v>
      </c>
      <c r="F363" s="43">
        <v>42</v>
      </c>
      <c r="G363" s="43" t="s">
        <v>4117</v>
      </c>
      <c r="H363" s="43" t="s">
        <v>237</v>
      </c>
      <c r="I363" s="393" t="s">
        <v>4118</v>
      </c>
      <c r="J363" s="387" t="s">
        <v>1105</v>
      </c>
      <c r="K363" s="44">
        <v>46104</v>
      </c>
      <c r="L363" s="43" t="s">
        <v>1781</v>
      </c>
      <c r="M363" s="43" t="s">
        <v>323</v>
      </c>
      <c r="N363" s="43" t="s">
        <v>4119</v>
      </c>
      <c r="O363" s="155">
        <v>46105</v>
      </c>
      <c r="P363" s="732" t="s">
        <v>4120</v>
      </c>
      <c r="Q363" s="91"/>
      <c r="R363" s="91"/>
      <c r="S363" s="91"/>
      <c r="T363" s="91"/>
      <c r="U363" s="91"/>
      <c r="V363" s="91"/>
      <c r="W363" s="91"/>
      <c r="X363" s="91"/>
      <c r="Y363" s="91"/>
      <c r="Z363" s="91"/>
      <c r="AA363" s="91"/>
      <c r="AB363" s="91"/>
      <c r="AC363" s="91"/>
      <c r="AD363" s="91"/>
      <c r="AE363" s="91"/>
      <c r="AF363" s="91"/>
      <c r="AG363" s="91"/>
      <c r="AH363" s="91"/>
      <c r="AI363" s="91"/>
    </row>
    <row r="364" spans="1:35">
      <c r="A364" s="43"/>
      <c r="B364" s="156">
        <v>362</v>
      </c>
      <c r="C364" s="43">
        <v>153238</v>
      </c>
      <c r="D364" s="43">
        <v>15693286</v>
      </c>
      <c r="E364" s="156" t="s">
        <v>4121</v>
      </c>
      <c r="F364" s="43">
        <v>58</v>
      </c>
      <c r="G364" s="43" t="s">
        <v>4122</v>
      </c>
      <c r="H364" s="43" t="s">
        <v>237</v>
      </c>
      <c r="I364" s="393" t="s">
        <v>4123</v>
      </c>
      <c r="J364" s="387" t="s">
        <v>238</v>
      </c>
      <c r="K364" s="44">
        <v>46104</v>
      </c>
      <c r="L364" s="43" t="s">
        <v>4124</v>
      </c>
      <c r="M364" s="49" t="s">
        <v>312</v>
      </c>
      <c r="N364" s="49" t="s">
        <v>601</v>
      </c>
      <c r="O364" s="680">
        <v>46108</v>
      </c>
      <c r="P364" s="733"/>
      <c r="Q364" s="242"/>
      <c r="R364" s="91"/>
      <c r="S364" s="91"/>
      <c r="T364" s="91"/>
      <c r="U364" s="91"/>
      <c r="V364" s="91"/>
      <c r="W364" s="91"/>
      <c r="X364" s="91"/>
      <c r="Y364" s="91"/>
      <c r="Z364" s="91"/>
      <c r="AA364" s="91"/>
      <c r="AB364" s="91"/>
      <c r="AC364" s="91"/>
      <c r="AD364" s="91"/>
      <c r="AE364" s="91"/>
      <c r="AF364" s="91"/>
      <c r="AG364" s="91"/>
      <c r="AH364" s="91"/>
      <c r="AI364" s="91"/>
    </row>
    <row r="365" spans="1:35">
      <c r="A365" s="43"/>
      <c r="B365" s="156">
        <v>363</v>
      </c>
      <c r="C365" s="43">
        <v>52408</v>
      </c>
      <c r="D365" s="43">
        <v>42928198</v>
      </c>
      <c r="E365" s="156" t="s">
        <v>4125</v>
      </c>
      <c r="F365" s="43">
        <v>41</v>
      </c>
      <c r="G365" s="43" t="s">
        <v>4126</v>
      </c>
      <c r="H365" s="43" t="s">
        <v>461</v>
      </c>
      <c r="I365" s="393" t="s">
        <v>4127</v>
      </c>
      <c r="J365" s="387" t="s">
        <v>162</v>
      </c>
      <c r="K365" s="44">
        <v>46104</v>
      </c>
      <c r="L365" s="43" t="s">
        <v>458</v>
      </c>
      <c r="M365" s="49" t="s">
        <v>260</v>
      </c>
      <c r="N365" s="49" t="s">
        <v>3370</v>
      </c>
      <c r="O365" s="680">
        <v>46111</v>
      </c>
      <c r="P365" s="151"/>
      <c r="Q365" s="879" t="s">
        <v>358</v>
      </c>
    </row>
    <row r="366" spans="1:35">
      <c r="A366" s="43"/>
      <c r="B366" s="156">
        <v>364</v>
      </c>
      <c r="C366" s="43">
        <v>335357</v>
      </c>
      <c r="D366" s="43">
        <v>16795094</v>
      </c>
      <c r="E366" s="156" t="s">
        <v>4128</v>
      </c>
      <c r="F366" s="43">
        <v>48</v>
      </c>
      <c r="G366" s="43" t="s">
        <v>4129</v>
      </c>
      <c r="H366" s="43" t="s">
        <v>222</v>
      </c>
      <c r="I366" s="224" t="s">
        <v>4130</v>
      </c>
      <c r="J366" s="387" t="s">
        <v>283</v>
      </c>
      <c r="K366" s="44">
        <v>46104</v>
      </c>
      <c r="L366" s="43" t="s">
        <v>458</v>
      </c>
      <c r="M366" s="49" t="s">
        <v>260</v>
      </c>
      <c r="N366" s="49" t="s">
        <v>3370</v>
      </c>
      <c r="O366" s="463">
        <v>46108</v>
      </c>
      <c r="P366" s="224" t="s">
        <v>4131</v>
      </c>
      <c r="Q366" s="91"/>
      <c r="R366" s="91"/>
      <c r="S366" s="91"/>
      <c r="T366" s="91"/>
      <c r="U366" s="91"/>
      <c r="V366" s="91"/>
      <c r="W366" s="91"/>
      <c r="X366" s="91"/>
      <c r="Y366" s="91"/>
      <c r="Z366" s="91"/>
      <c r="AA366" s="91"/>
      <c r="AB366" s="91"/>
      <c r="AC366" s="91"/>
      <c r="AD366" s="91"/>
      <c r="AE366" s="91"/>
      <c r="AF366" s="91"/>
      <c r="AG366" s="91"/>
      <c r="AH366" s="91"/>
      <c r="AI366" s="91"/>
    </row>
    <row r="367" spans="1:35">
      <c r="A367" s="43"/>
      <c r="B367" s="156">
        <v>365</v>
      </c>
      <c r="C367" s="43">
        <v>147263</v>
      </c>
      <c r="D367" s="336">
        <v>15207060</v>
      </c>
      <c r="E367" s="378" t="s">
        <v>4132</v>
      </c>
      <c r="F367" s="336">
        <v>59</v>
      </c>
      <c r="G367" s="43" t="s">
        <v>4133</v>
      </c>
      <c r="H367" s="43" t="s">
        <v>278</v>
      </c>
      <c r="I367" s="394">
        <v>994111574</v>
      </c>
      <c r="J367" s="387" t="s">
        <v>384</v>
      </c>
      <c r="K367" s="44">
        <v>46104</v>
      </c>
      <c r="L367" s="43" t="s">
        <v>683</v>
      </c>
      <c r="M367" s="49" t="s">
        <v>312</v>
      </c>
      <c r="N367" s="49" t="s">
        <v>601</v>
      </c>
      <c r="O367" s="463">
        <v>46108</v>
      </c>
      <c r="P367" s="224" t="s">
        <v>3947</v>
      </c>
      <c r="Q367" s="91"/>
      <c r="R367" s="91"/>
      <c r="S367" s="91"/>
      <c r="T367" s="91"/>
      <c r="U367" s="91"/>
      <c r="V367" s="91"/>
      <c r="W367" s="91"/>
      <c r="X367" s="91"/>
      <c r="Y367" s="91"/>
      <c r="Z367" s="91"/>
      <c r="AA367" s="91"/>
      <c r="AB367" s="91"/>
      <c r="AC367" s="91"/>
      <c r="AD367" s="91"/>
      <c r="AE367" s="91"/>
      <c r="AF367" s="91"/>
      <c r="AG367" s="91"/>
      <c r="AH367" s="91"/>
      <c r="AI367" s="91"/>
    </row>
    <row r="368" spans="1:35">
      <c r="A368" s="43"/>
      <c r="B368" s="156">
        <v>366</v>
      </c>
      <c r="C368" s="43">
        <v>251433</v>
      </c>
      <c r="D368" s="336">
        <v>15758430</v>
      </c>
      <c r="E368" s="378" t="s">
        <v>4134</v>
      </c>
      <c r="F368" s="336">
        <v>50</v>
      </c>
      <c r="G368" s="43" t="s">
        <v>4135</v>
      </c>
      <c r="H368" s="43" t="s">
        <v>222</v>
      </c>
      <c r="I368" s="394">
        <v>973743134</v>
      </c>
      <c r="J368" s="387" t="s">
        <v>223</v>
      </c>
      <c r="K368" s="44">
        <v>46104</v>
      </c>
      <c r="L368" s="43" t="s">
        <v>3287</v>
      </c>
      <c r="M368" s="49" t="s">
        <v>260</v>
      </c>
      <c r="N368" s="49" t="s">
        <v>3370</v>
      </c>
      <c r="O368" s="463">
        <v>46108</v>
      </c>
      <c r="P368" s="224" t="s">
        <v>4136</v>
      </c>
      <c r="Q368" s="91"/>
      <c r="R368" s="91"/>
      <c r="S368" s="91"/>
      <c r="T368" s="91"/>
      <c r="U368" s="91"/>
      <c r="V368" s="91"/>
      <c r="W368" s="91"/>
      <c r="X368" s="91"/>
      <c r="Y368" s="91"/>
      <c r="Z368" s="91"/>
      <c r="AA368" s="91"/>
      <c r="AB368" s="91"/>
      <c r="AC368" s="91"/>
      <c r="AD368" s="91"/>
      <c r="AE368" s="91"/>
      <c r="AF368" s="91"/>
      <c r="AG368" s="91"/>
      <c r="AH368" s="91"/>
      <c r="AI368" s="91"/>
    </row>
    <row r="369" spans="1:35" ht="24.75">
      <c r="A369" s="43"/>
      <c r="B369" s="156">
        <v>367</v>
      </c>
      <c r="C369" s="43">
        <v>515828</v>
      </c>
      <c r="D369" s="326">
        <v>15755082</v>
      </c>
      <c r="E369" s="186" t="s">
        <v>4137</v>
      </c>
      <c r="F369" s="43">
        <v>52</v>
      </c>
      <c r="G369" s="326" t="s">
        <v>4138</v>
      </c>
      <c r="H369" s="43" t="s">
        <v>271</v>
      </c>
      <c r="I369" s="395">
        <v>965119894</v>
      </c>
      <c r="J369" s="387" t="s">
        <v>164</v>
      </c>
      <c r="K369" s="44">
        <v>46104</v>
      </c>
      <c r="L369" s="43" t="s">
        <v>4139</v>
      </c>
      <c r="M369" s="49" t="s">
        <v>260</v>
      </c>
      <c r="N369" s="49" t="s">
        <v>3370</v>
      </c>
      <c r="O369" s="680">
        <v>46108</v>
      </c>
      <c r="P369" s="51" t="s">
        <v>3588</v>
      </c>
      <c r="Q369" s="879" t="s">
        <v>358</v>
      </c>
    </row>
    <row r="370" spans="1:35">
      <c r="A370" s="43"/>
      <c r="B370" s="156">
        <v>368</v>
      </c>
      <c r="C370" s="43">
        <v>83837</v>
      </c>
      <c r="D370" s="43">
        <v>15732939</v>
      </c>
      <c r="E370" s="156" t="s">
        <v>4140</v>
      </c>
      <c r="F370" s="43">
        <v>67</v>
      </c>
      <c r="G370" s="43" t="s">
        <v>4141</v>
      </c>
      <c r="H370" s="43" t="s">
        <v>301</v>
      </c>
      <c r="I370" s="224">
        <v>904051856</v>
      </c>
      <c r="J370" s="387" t="s">
        <v>238</v>
      </c>
      <c r="K370" s="44">
        <v>46104</v>
      </c>
      <c r="L370" s="43" t="s">
        <v>4142</v>
      </c>
      <c r="M370" s="49" t="s">
        <v>260</v>
      </c>
      <c r="N370" s="49" t="s">
        <v>3370</v>
      </c>
      <c r="O370" s="680">
        <v>46108</v>
      </c>
      <c r="P370" s="224"/>
      <c r="Q370" s="224" t="s">
        <v>3372</v>
      </c>
      <c r="R370" s="91"/>
      <c r="S370" s="91"/>
      <c r="T370" s="91"/>
      <c r="U370" s="91"/>
      <c r="V370" s="91"/>
      <c r="W370" s="91"/>
      <c r="X370" s="91"/>
      <c r="Y370" s="91"/>
      <c r="Z370" s="91"/>
      <c r="AA370" s="91"/>
      <c r="AB370" s="91"/>
      <c r="AC370" s="91"/>
      <c r="AD370" s="91"/>
      <c r="AE370" s="91"/>
      <c r="AF370" s="91"/>
      <c r="AG370" s="91"/>
      <c r="AH370" s="91"/>
      <c r="AI370" s="91"/>
    </row>
    <row r="371" spans="1:35">
      <c r="A371" s="43"/>
      <c r="B371" s="156">
        <v>369</v>
      </c>
      <c r="C371" s="43">
        <v>130638</v>
      </c>
      <c r="D371" s="43">
        <v>42726114</v>
      </c>
      <c r="E371" s="156" t="s">
        <v>4143</v>
      </c>
      <c r="F371" s="43">
        <v>41</v>
      </c>
      <c r="G371" s="43" t="s">
        <v>4144</v>
      </c>
      <c r="H371" s="43" t="s">
        <v>237</v>
      </c>
      <c r="I371" s="224">
        <v>993615540</v>
      </c>
      <c r="J371" s="387" t="s">
        <v>742</v>
      </c>
      <c r="K371" s="44">
        <v>46104</v>
      </c>
      <c r="L371" s="43" t="s">
        <v>679</v>
      </c>
      <c r="M371" s="49" t="s">
        <v>230</v>
      </c>
      <c r="N371" s="49" t="s">
        <v>3370</v>
      </c>
      <c r="O371" s="463">
        <v>46108</v>
      </c>
      <c r="P371" s="732" t="s">
        <v>4145</v>
      </c>
      <c r="Q371" s="91"/>
      <c r="R371" s="91"/>
      <c r="S371" s="91"/>
      <c r="T371" s="91"/>
      <c r="U371" s="91"/>
      <c r="V371" s="91"/>
      <c r="W371" s="91"/>
      <c r="X371" s="91"/>
      <c r="Y371" s="91"/>
      <c r="Z371" s="91"/>
      <c r="AA371" s="91"/>
      <c r="AB371" s="91"/>
      <c r="AC371" s="91"/>
      <c r="AD371" s="91"/>
      <c r="AE371" s="91"/>
      <c r="AF371" s="91"/>
      <c r="AG371" s="91"/>
      <c r="AH371" s="91"/>
      <c r="AI371" s="91"/>
    </row>
    <row r="372" spans="1:35">
      <c r="A372" s="43"/>
      <c r="B372" s="156">
        <v>370</v>
      </c>
      <c r="C372" s="43">
        <v>524211</v>
      </c>
      <c r="D372" s="43">
        <v>15959751</v>
      </c>
      <c r="E372" s="156" t="s">
        <v>4146</v>
      </c>
      <c r="F372" s="43">
        <v>59</v>
      </c>
      <c r="G372" s="43" t="s">
        <v>4147</v>
      </c>
      <c r="H372" s="43" t="s">
        <v>461</v>
      </c>
      <c r="I372" s="393" t="s">
        <v>4148</v>
      </c>
      <c r="J372" s="387" t="s">
        <v>162</v>
      </c>
      <c r="K372" s="44">
        <v>46104</v>
      </c>
      <c r="L372" s="43" t="s">
        <v>458</v>
      </c>
      <c r="M372" s="49" t="s">
        <v>260</v>
      </c>
      <c r="N372" s="49" t="s">
        <v>3370</v>
      </c>
      <c r="O372" s="680">
        <v>46108</v>
      </c>
      <c r="P372" s="242"/>
      <c r="Q372" s="879" t="s">
        <v>358</v>
      </c>
    </row>
    <row r="373" spans="1:35">
      <c r="A373" s="43"/>
      <c r="B373" s="156">
        <v>371</v>
      </c>
      <c r="C373" s="43">
        <v>31897</v>
      </c>
      <c r="D373" s="336">
        <v>15653440</v>
      </c>
      <c r="E373" s="378" t="s">
        <v>4149</v>
      </c>
      <c r="F373" s="336">
        <v>64</v>
      </c>
      <c r="G373" s="43" t="s">
        <v>4150</v>
      </c>
      <c r="H373" s="43" t="s">
        <v>301</v>
      </c>
      <c r="I373" s="394">
        <v>943106350</v>
      </c>
      <c r="J373" s="387" t="s">
        <v>302</v>
      </c>
      <c r="K373" s="44">
        <v>46104</v>
      </c>
      <c r="L373" s="43" t="s">
        <v>4151</v>
      </c>
      <c r="M373" s="49" t="s">
        <v>230</v>
      </c>
      <c r="N373" s="49" t="s">
        <v>3370</v>
      </c>
      <c r="O373" s="463">
        <v>46108</v>
      </c>
      <c r="P373" s="224" t="s">
        <v>4152</v>
      </c>
      <c r="Q373" s="91"/>
      <c r="R373" s="91"/>
      <c r="S373" s="91"/>
      <c r="T373" s="91"/>
      <c r="U373" s="91"/>
      <c r="V373" s="91"/>
      <c r="W373" s="91"/>
      <c r="X373" s="91"/>
      <c r="Y373" s="91"/>
      <c r="Z373" s="91"/>
      <c r="AA373" s="91"/>
      <c r="AB373" s="91"/>
      <c r="AC373" s="91"/>
      <c r="AD373" s="91"/>
      <c r="AE373" s="91"/>
      <c r="AF373" s="91"/>
      <c r="AG373" s="91"/>
      <c r="AH373" s="91"/>
      <c r="AI373" s="91"/>
    </row>
    <row r="374" spans="1:35">
      <c r="A374" s="43"/>
      <c r="B374" s="156">
        <v>372</v>
      </c>
      <c r="C374" s="43">
        <v>163098</v>
      </c>
      <c r="D374" s="43">
        <v>15727119</v>
      </c>
      <c r="E374" s="156" t="s">
        <v>4153</v>
      </c>
      <c r="F374" s="43">
        <v>54</v>
      </c>
      <c r="G374" s="43" t="s">
        <v>4154</v>
      </c>
      <c r="H374" s="43" t="s">
        <v>278</v>
      </c>
      <c r="I374" s="393" t="s">
        <v>4155</v>
      </c>
      <c r="J374" s="387" t="s">
        <v>238</v>
      </c>
      <c r="K374" s="44">
        <v>46104</v>
      </c>
      <c r="L374" s="43" t="s">
        <v>458</v>
      </c>
      <c r="M374" s="49" t="s">
        <v>260</v>
      </c>
      <c r="N374" s="49" t="s">
        <v>655</v>
      </c>
      <c r="O374" s="680">
        <v>46108</v>
      </c>
      <c r="P374" s="732"/>
      <c r="Q374" s="91"/>
      <c r="R374" s="91"/>
      <c r="S374" s="91"/>
      <c r="T374" s="91"/>
      <c r="U374" s="91"/>
      <c r="V374" s="91"/>
      <c r="W374" s="91"/>
      <c r="X374" s="91"/>
      <c r="Y374" s="91"/>
      <c r="Z374" s="91"/>
      <c r="AA374" s="91"/>
      <c r="AB374" s="91"/>
      <c r="AC374" s="91"/>
      <c r="AD374" s="91"/>
      <c r="AE374" s="91"/>
      <c r="AF374" s="91"/>
      <c r="AG374" s="91"/>
      <c r="AH374" s="91"/>
      <c r="AI374" s="91"/>
    </row>
    <row r="375" spans="1:35">
      <c r="A375" s="132" t="s">
        <v>219</v>
      </c>
      <c r="B375" s="156">
        <v>373</v>
      </c>
      <c r="C375" s="56">
        <v>277313</v>
      </c>
      <c r="D375" s="56">
        <v>41574647</v>
      </c>
      <c r="E375" s="219" t="s">
        <v>2082</v>
      </c>
      <c r="F375" s="56">
        <v>43</v>
      </c>
      <c r="G375" s="56" t="s">
        <v>2083</v>
      </c>
      <c r="H375" s="56" t="s">
        <v>326</v>
      </c>
      <c r="I375" s="250" t="s">
        <v>2084</v>
      </c>
      <c r="J375" s="388" t="s">
        <v>238</v>
      </c>
      <c r="K375" s="133">
        <v>46104</v>
      </c>
      <c r="L375" s="56" t="s">
        <v>2085</v>
      </c>
      <c r="M375" s="56" t="s">
        <v>260</v>
      </c>
      <c r="N375" s="56" t="s">
        <v>2086</v>
      </c>
      <c r="O375" s="218">
        <v>46073</v>
      </c>
      <c r="P375" s="871"/>
      <c r="Q375" s="912">
        <v>46095</v>
      </c>
      <c r="R375" s="912">
        <v>46095</v>
      </c>
      <c r="S375" s="913" t="s">
        <v>4156</v>
      </c>
      <c r="T375" s="913" t="s">
        <v>323</v>
      </c>
      <c r="U375" s="913" t="s">
        <v>228</v>
      </c>
      <c r="V375" s="914">
        <v>46104</v>
      </c>
      <c r="W375" s="913" t="s">
        <v>4157</v>
      </c>
      <c r="X375" s="913" t="s">
        <v>225</v>
      </c>
      <c r="Y375" s="913" t="s">
        <v>4158</v>
      </c>
      <c r="Z375" s="911">
        <v>46111</v>
      </c>
      <c r="AA375" s="919"/>
      <c r="AB375" s="919"/>
      <c r="AC375" s="91"/>
      <c r="AD375" s="91"/>
      <c r="AE375" s="91"/>
      <c r="AF375" s="91"/>
      <c r="AG375" s="91"/>
      <c r="AH375" s="91"/>
      <c r="AI375" s="91"/>
    </row>
    <row r="376" spans="1:35">
      <c r="A376" s="132" t="s">
        <v>219</v>
      </c>
      <c r="B376" s="156">
        <v>374</v>
      </c>
      <c r="C376" s="132">
        <v>215217</v>
      </c>
      <c r="D376" s="132">
        <v>15853534</v>
      </c>
      <c r="E376" s="159" t="s">
        <v>3463</v>
      </c>
      <c r="F376" s="132">
        <v>50</v>
      </c>
      <c r="G376" s="307" t="s">
        <v>3464</v>
      </c>
      <c r="H376" s="132" t="s">
        <v>278</v>
      </c>
      <c r="I376" s="150">
        <v>906699935</v>
      </c>
      <c r="J376" s="388" t="s">
        <v>238</v>
      </c>
      <c r="K376" s="133">
        <v>46104</v>
      </c>
      <c r="L376" s="132" t="s">
        <v>3465</v>
      </c>
      <c r="M376" s="132" t="s">
        <v>260</v>
      </c>
      <c r="N376" s="132" t="s">
        <v>3466</v>
      </c>
      <c r="O376" s="153">
        <v>46094</v>
      </c>
      <c r="P376" s="871"/>
      <c r="Q376" s="91"/>
      <c r="R376" s="915" t="s">
        <v>4159</v>
      </c>
      <c r="S376" s="915"/>
      <c r="T376" s="915"/>
      <c r="U376" s="915"/>
      <c r="V376" s="916">
        <v>46104</v>
      </c>
      <c r="W376" s="915" t="s">
        <v>4160</v>
      </c>
      <c r="X376" s="915" t="s">
        <v>260</v>
      </c>
      <c r="Y376" s="915" t="s">
        <v>241</v>
      </c>
      <c r="Z376" s="917">
        <v>46111</v>
      </c>
      <c r="AA376" s="918" t="s">
        <v>3797</v>
      </c>
      <c r="AB376" s="920"/>
      <c r="AC376" s="918"/>
      <c r="AD376" s="915"/>
      <c r="AE376" s="91"/>
      <c r="AF376" s="91"/>
      <c r="AG376" s="91"/>
      <c r="AH376" s="91"/>
      <c r="AI376" s="91"/>
    </row>
    <row r="377" spans="1:35">
      <c r="A377" s="43"/>
      <c r="B377" s="156">
        <v>375</v>
      </c>
      <c r="C377" s="43">
        <v>320299</v>
      </c>
      <c r="D377" s="43">
        <v>4166964</v>
      </c>
      <c r="E377" s="156" t="s">
        <v>4161</v>
      </c>
      <c r="F377" s="43">
        <v>43</v>
      </c>
      <c r="G377" s="43" t="s">
        <v>4162</v>
      </c>
      <c r="H377" s="43" t="s">
        <v>301</v>
      </c>
      <c r="I377" s="393" t="s">
        <v>4163</v>
      </c>
      <c r="J377" s="387" t="s">
        <v>238</v>
      </c>
      <c r="K377" s="44">
        <v>46104</v>
      </c>
      <c r="L377" s="43" t="s">
        <v>4164</v>
      </c>
      <c r="M377" s="49" t="s">
        <v>312</v>
      </c>
      <c r="N377" s="49" t="s">
        <v>241</v>
      </c>
      <c r="O377" s="680">
        <v>46108</v>
      </c>
      <c r="P377" s="871"/>
      <c r="Q377" s="900" t="s">
        <v>4165</v>
      </c>
      <c r="R377" s="91"/>
      <c r="S377" s="91"/>
      <c r="T377" s="91"/>
      <c r="U377" s="91"/>
      <c r="V377" s="91"/>
      <c r="W377" s="91"/>
      <c r="X377" s="91"/>
      <c r="Y377" s="91"/>
      <c r="Z377" s="91"/>
      <c r="AA377" s="91"/>
      <c r="AB377" s="91"/>
      <c r="AC377" s="91"/>
      <c r="AD377" s="91"/>
      <c r="AE377" s="91"/>
      <c r="AF377" s="91"/>
      <c r="AG377" s="91"/>
      <c r="AH377" s="91"/>
      <c r="AI377" s="91"/>
    </row>
    <row r="378" spans="1:35">
      <c r="A378" s="143" t="s">
        <v>219</v>
      </c>
      <c r="B378" s="156">
        <v>376</v>
      </c>
      <c r="C378" s="56">
        <v>123047</v>
      </c>
      <c r="D378" s="56">
        <v>42577830</v>
      </c>
      <c r="E378" s="219" t="s">
        <v>1405</v>
      </c>
      <c r="F378" s="56">
        <v>41</v>
      </c>
      <c r="G378" s="56" t="s">
        <v>1406</v>
      </c>
      <c r="H378" s="56" t="s">
        <v>278</v>
      </c>
      <c r="I378" s="250" t="s">
        <v>1407</v>
      </c>
      <c r="J378" s="388" t="s">
        <v>238</v>
      </c>
      <c r="K378" s="44">
        <v>46104</v>
      </c>
      <c r="L378" s="56" t="s">
        <v>1408</v>
      </c>
      <c r="M378" s="56" t="s">
        <v>260</v>
      </c>
      <c r="N378" s="56" t="s">
        <v>1409</v>
      </c>
      <c r="O378" s="218">
        <v>46065</v>
      </c>
      <c r="P378" s="871"/>
      <c r="Q378" s="91"/>
      <c r="R378" s="91"/>
      <c r="S378" s="91"/>
      <c r="T378" s="91"/>
      <c r="U378" s="91"/>
      <c r="V378" s="914">
        <v>46104</v>
      </c>
      <c r="W378" s="913" t="s">
        <v>4166</v>
      </c>
      <c r="X378" s="913" t="s">
        <v>225</v>
      </c>
      <c r="Y378" s="913" t="s">
        <v>4167</v>
      </c>
      <c r="Z378" s="911">
        <v>46111</v>
      </c>
      <c r="AA378" s="919">
        <v>46111</v>
      </c>
      <c r="AB378" s="919" t="s">
        <v>4168</v>
      </c>
      <c r="AC378" s="91"/>
      <c r="AD378" s="91"/>
      <c r="AE378" s="91"/>
      <c r="AF378" s="91"/>
      <c r="AG378" s="91"/>
      <c r="AH378" s="91"/>
      <c r="AI378" s="91"/>
    </row>
    <row r="379" spans="1:35">
      <c r="A379" s="262" t="s">
        <v>513</v>
      </c>
      <c r="B379" s="156">
        <v>377</v>
      </c>
      <c r="C379" s="43">
        <v>524226</v>
      </c>
      <c r="D379" s="43">
        <v>15952068</v>
      </c>
      <c r="E379" s="156" t="s">
        <v>4169</v>
      </c>
      <c r="F379" s="43">
        <v>62</v>
      </c>
      <c r="G379" s="43" t="s">
        <v>4170</v>
      </c>
      <c r="H379" s="43" t="s">
        <v>461</v>
      </c>
      <c r="I379" s="393">
        <v>938609055</v>
      </c>
      <c r="J379" s="387" t="s">
        <v>162</v>
      </c>
      <c r="K379" s="44">
        <v>46104</v>
      </c>
      <c r="L379" s="43" t="s">
        <v>683</v>
      </c>
      <c r="M379" s="49" t="s">
        <v>312</v>
      </c>
      <c r="N379" s="49" t="s">
        <v>601</v>
      </c>
      <c r="O379" s="680">
        <v>46108</v>
      </c>
      <c r="P379" s="242"/>
      <c r="Q379" s="879" t="s">
        <v>358</v>
      </c>
    </row>
    <row r="380" spans="1:35">
      <c r="A380" s="43"/>
      <c r="B380" s="156">
        <v>378</v>
      </c>
      <c r="C380" s="43">
        <v>36508</v>
      </c>
      <c r="D380" s="43">
        <v>15730112</v>
      </c>
      <c r="E380" s="156" t="s">
        <v>4171</v>
      </c>
      <c r="F380" s="43">
        <v>58</v>
      </c>
      <c r="G380" s="43" t="s">
        <v>4172</v>
      </c>
      <c r="H380" s="43" t="s">
        <v>1217</v>
      </c>
      <c r="I380" s="224">
        <v>918999417</v>
      </c>
      <c r="J380" s="387" t="s">
        <v>1905</v>
      </c>
      <c r="K380" s="44">
        <v>46104</v>
      </c>
      <c r="L380" s="43" t="s">
        <v>4173</v>
      </c>
      <c r="M380" s="49" t="s">
        <v>323</v>
      </c>
      <c r="N380" s="49" t="s">
        <v>655</v>
      </c>
      <c r="O380" s="463">
        <v>46108</v>
      </c>
      <c r="P380" s="224" t="s">
        <v>4174</v>
      </c>
      <c r="Q380" s="91"/>
      <c r="R380" s="91"/>
      <c r="S380" s="91"/>
      <c r="T380" s="91"/>
      <c r="U380" s="91"/>
      <c r="V380" s="91"/>
      <c r="W380" s="91"/>
      <c r="X380" s="91"/>
      <c r="Y380" s="91"/>
      <c r="Z380" s="91"/>
      <c r="AA380" s="91"/>
      <c r="AB380" s="91"/>
      <c r="AC380" s="91"/>
      <c r="AD380" s="91"/>
      <c r="AE380" s="91"/>
      <c r="AF380" s="91"/>
      <c r="AG380" s="91"/>
      <c r="AH380" s="91"/>
      <c r="AI380" s="91"/>
    </row>
    <row r="381" spans="1:35">
      <c r="A381" s="43"/>
      <c r="B381" s="156">
        <v>379</v>
      </c>
      <c r="C381" s="43">
        <v>355313</v>
      </c>
      <c r="D381" s="43">
        <v>15652263</v>
      </c>
      <c r="E381" s="156" t="s">
        <v>4175</v>
      </c>
      <c r="F381" s="43">
        <v>62</v>
      </c>
      <c r="G381" s="43" t="s">
        <v>4176</v>
      </c>
      <c r="H381" s="43" t="s">
        <v>1217</v>
      </c>
      <c r="I381" s="224"/>
      <c r="J381" s="387" t="s">
        <v>1905</v>
      </c>
      <c r="K381" s="44">
        <v>46104</v>
      </c>
      <c r="L381" s="43" t="s">
        <v>683</v>
      </c>
      <c r="M381" s="49" t="s">
        <v>312</v>
      </c>
      <c r="N381" s="49" t="s">
        <v>317</v>
      </c>
      <c r="O381" s="463">
        <v>46108</v>
      </c>
      <c r="P381" s="224" t="s">
        <v>4174</v>
      </c>
      <c r="Q381" s="91"/>
      <c r="R381" s="91"/>
      <c r="S381" s="91"/>
      <c r="T381" s="91"/>
      <c r="U381" s="91"/>
      <c r="V381" s="91"/>
      <c r="W381" s="91"/>
      <c r="X381" s="91"/>
      <c r="Y381" s="91"/>
      <c r="Z381" s="91"/>
      <c r="AA381" s="91"/>
      <c r="AB381" s="91"/>
      <c r="AC381" s="91"/>
      <c r="AD381" s="91"/>
      <c r="AE381" s="91"/>
      <c r="AF381" s="91"/>
      <c r="AG381" s="91"/>
      <c r="AH381" s="91"/>
      <c r="AI381" s="91"/>
    </row>
    <row r="382" spans="1:35">
      <c r="A382" s="43"/>
      <c r="B382" s="156">
        <v>380</v>
      </c>
      <c r="C382" s="43">
        <v>305701</v>
      </c>
      <c r="D382" s="43">
        <v>10881711</v>
      </c>
      <c r="E382" s="156" t="s">
        <v>4177</v>
      </c>
      <c r="F382" s="43">
        <v>51</v>
      </c>
      <c r="G382" s="43" t="s">
        <v>4178</v>
      </c>
      <c r="H382" s="43" t="s">
        <v>1217</v>
      </c>
      <c r="I382" s="224" t="s">
        <v>4179</v>
      </c>
      <c r="J382" s="387" t="s">
        <v>1905</v>
      </c>
      <c r="K382" s="44">
        <v>46104</v>
      </c>
      <c r="L382" s="43" t="s">
        <v>4180</v>
      </c>
      <c r="M382" s="49" t="s">
        <v>312</v>
      </c>
      <c r="N382" s="49" t="s">
        <v>317</v>
      </c>
      <c r="O382" s="463">
        <v>46108</v>
      </c>
      <c r="P382" s="224" t="s">
        <v>4174</v>
      </c>
      <c r="Q382" s="91"/>
      <c r="R382" s="91"/>
      <c r="S382" s="91"/>
      <c r="T382" s="91"/>
      <c r="U382" s="91"/>
      <c r="V382" s="91"/>
      <c r="W382" s="91"/>
      <c r="X382" s="91"/>
      <c r="Y382" s="91"/>
      <c r="Z382" s="91"/>
      <c r="AA382" s="91"/>
      <c r="AB382" s="91"/>
      <c r="AC382" s="91"/>
      <c r="AD382" s="91"/>
      <c r="AE382" s="91"/>
      <c r="AF382" s="91"/>
      <c r="AG382" s="91"/>
      <c r="AH382" s="91"/>
      <c r="AI382" s="91"/>
    </row>
    <row r="383" spans="1:35">
      <c r="A383" s="132" t="s">
        <v>219</v>
      </c>
      <c r="B383" s="156">
        <v>381</v>
      </c>
      <c r="C383" s="132">
        <v>1946</v>
      </c>
      <c r="D383" s="132">
        <v>15648009</v>
      </c>
      <c r="E383" s="159" t="s">
        <v>263</v>
      </c>
      <c r="F383" s="132">
        <v>56</v>
      </c>
      <c r="G383" s="132" t="s">
        <v>264</v>
      </c>
      <c r="H383" s="132" t="s">
        <v>222</v>
      </c>
      <c r="I383" s="396">
        <v>945564882</v>
      </c>
      <c r="J383" s="388" t="s">
        <v>238</v>
      </c>
      <c r="K383" s="133">
        <v>46097</v>
      </c>
      <c r="L383" s="132" t="s">
        <v>265</v>
      </c>
      <c r="M383" s="267" t="s">
        <v>266</v>
      </c>
      <c r="N383" s="132" t="s">
        <v>267</v>
      </c>
      <c r="O383" s="152">
        <v>46101</v>
      </c>
      <c r="P383" s="863"/>
      <c r="Q383" s="863" t="s">
        <v>2759</v>
      </c>
      <c r="R383" s="914">
        <v>46080</v>
      </c>
      <c r="S383" s="913" t="s">
        <v>4181</v>
      </c>
      <c r="T383" s="913"/>
      <c r="U383" s="913"/>
      <c r="V383" s="914">
        <v>46104</v>
      </c>
      <c r="W383" s="913" t="s">
        <v>4182</v>
      </c>
      <c r="X383" s="913" t="s">
        <v>230</v>
      </c>
      <c r="Y383" s="913" t="s">
        <v>317</v>
      </c>
      <c r="Z383" s="910" t="s">
        <v>3359</v>
      </c>
      <c r="AA383" s="388"/>
      <c r="AB383" s="388"/>
      <c r="AC383" s="91"/>
      <c r="AD383" s="91"/>
      <c r="AE383" s="91"/>
      <c r="AF383" s="91"/>
      <c r="AG383" s="91"/>
      <c r="AH383" s="91"/>
      <c r="AI383" s="91"/>
    </row>
    <row r="384" spans="1:35">
      <c r="A384" s="43"/>
      <c r="B384" s="156">
        <v>382</v>
      </c>
      <c r="C384" s="43">
        <v>116610</v>
      </c>
      <c r="D384" s="43">
        <v>42016465</v>
      </c>
      <c r="E384" s="156" t="s">
        <v>4183</v>
      </c>
      <c r="F384" s="43">
        <v>42</v>
      </c>
      <c r="G384" s="43" t="s">
        <v>4184</v>
      </c>
      <c r="H384" s="43" t="s">
        <v>1217</v>
      </c>
      <c r="I384" s="224" t="s">
        <v>4185</v>
      </c>
      <c r="J384" s="387" t="s">
        <v>1905</v>
      </c>
      <c r="K384" s="44">
        <v>46104</v>
      </c>
      <c r="L384" s="43" t="s">
        <v>458</v>
      </c>
      <c r="M384" s="49" t="s">
        <v>260</v>
      </c>
      <c r="N384" s="49" t="s">
        <v>655</v>
      </c>
      <c r="O384" s="463">
        <v>46108</v>
      </c>
      <c r="P384" s="224" t="s">
        <v>4174</v>
      </c>
      <c r="Q384" s="91"/>
      <c r="R384" s="91"/>
      <c r="S384" s="91"/>
      <c r="T384" s="91"/>
      <c r="U384" s="91"/>
      <c r="V384" s="91"/>
      <c r="W384" s="91"/>
      <c r="X384" s="91"/>
      <c r="Y384" s="91"/>
      <c r="Z384" s="91"/>
      <c r="AA384" s="91"/>
      <c r="AB384" s="91"/>
      <c r="AC384" s="91"/>
      <c r="AD384" s="91"/>
      <c r="AE384" s="91"/>
      <c r="AF384" s="91"/>
      <c r="AG384" s="91"/>
      <c r="AH384" s="91"/>
      <c r="AI384" s="91"/>
    </row>
    <row r="385" spans="1:35">
      <c r="A385" s="43"/>
      <c r="B385" s="156">
        <v>383</v>
      </c>
      <c r="C385" s="43">
        <v>266897</v>
      </c>
      <c r="D385" s="43">
        <v>40828157</v>
      </c>
      <c r="E385" s="156" t="s">
        <v>4186</v>
      </c>
      <c r="F385" s="43">
        <v>44</v>
      </c>
      <c r="G385" s="43" t="s">
        <v>4187</v>
      </c>
      <c r="H385" s="43" t="s">
        <v>4188</v>
      </c>
      <c r="I385" s="224">
        <v>992373095</v>
      </c>
      <c r="J385" s="387" t="s">
        <v>1905</v>
      </c>
      <c r="K385" s="44">
        <v>46104</v>
      </c>
      <c r="L385" s="43" t="s">
        <v>4189</v>
      </c>
      <c r="M385" s="49" t="s">
        <v>260</v>
      </c>
      <c r="N385" s="49" t="s">
        <v>655</v>
      </c>
      <c r="O385" s="463">
        <v>46108</v>
      </c>
      <c r="P385" s="224" t="s">
        <v>4174</v>
      </c>
      <c r="Q385" s="91"/>
      <c r="R385" s="91"/>
      <c r="S385" s="91"/>
      <c r="T385" s="91"/>
      <c r="U385" s="91"/>
      <c r="V385" s="91"/>
      <c r="W385" s="91"/>
      <c r="X385" s="91"/>
      <c r="Y385" s="91"/>
      <c r="Z385" s="91"/>
      <c r="AA385" s="91"/>
      <c r="AB385" s="91"/>
      <c r="AC385" s="91"/>
      <c r="AD385" s="91"/>
      <c r="AE385" s="91"/>
      <c r="AF385" s="91"/>
      <c r="AG385" s="91"/>
      <c r="AH385" s="91"/>
      <c r="AI385" s="91"/>
    </row>
    <row r="386" spans="1:35">
      <c r="A386" s="43"/>
      <c r="B386" s="156">
        <v>384</v>
      </c>
      <c r="C386" s="43">
        <v>389128</v>
      </c>
      <c r="D386" s="43">
        <v>15989973</v>
      </c>
      <c r="E386" s="156" t="s">
        <v>4190</v>
      </c>
      <c r="F386" s="43">
        <v>69</v>
      </c>
      <c r="G386" s="43" t="s">
        <v>4191</v>
      </c>
      <c r="H386" s="43" t="s">
        <v>278</v>
      </c>
      <c r="I386" s="224" t="s">
        <v>4192</v>
      </c>
      <c r="J386" s="387" t="s">
        <v>1012</v>
      </c>
      <c r="K386" s="44">
        <v>46104</v>
      </c>
      <c r="L386" s="43" t="s">
        <v>683</v>
      </c>
      <c r="M386" s="49" t="s">
        <v>312</v>
      </c>
      <c r="N386" s="49" t="s">
        <v>655</v>
      </c>
      <c r="O386" s="448">
        <v>46108</v>
      </c>
      <c r="P386" s="732" t="s">
        <v>3794</v>
      </c>
      <c r="Q386" s="91"/>
      <c r="R386" s="91"/>
      <c r="S386" s="91"/>
      <c r="T386" s="91"/>
      <c r="U386" s="91"/>
      <c r="V386" s="91"/>
      <c r="W386" s="91"/>
      <c r="X386" s="91"/>
      <c r="Y386" s="91"/>
      <c r="Z386" s="91"/>
      <c r="AA386" s="91"/>
      <c r="AB386" s="91"/>
      <c r="AC386" s="91"/>
      <c r="AD386" s="91"/>
      <c r="AE386" s="91"/>
      <c r="AF386" s="91"/>
      <c r="AG386" s="91"/>
      <c r="AH386" s="91"/>
      <c r="AI386" s="91"/>
    </row>
    <row r="387" spans="1:35">
      <c r="A387" s="43"/>
      <c r="B387" s="156">
        <v>385</v>
      </c>
      <c r="C387" s="43">
        <v>194520</v>
      </c>
      <c r="D387" s="43">
        <v>15758209</v>
      </c>
      <c r="E387" s="156" t="s">
        <v>4193</v>
      </c>
      <c r="F387" s="43">
        <v>49</v>
      </c>
      <c r="G387" s="43" t="s">
        <v>4194</v>
      </c>
      <c r="H387" s="43" t="s">
        <v>237</v>
      </c>
      <c r="I387" s="224">
        <v>997440287</v>
      </c>
      <c r="J387" s="387" t="s">
        <v>289</v>
      </c>
      <c r="K387" s="44">
        <v>46104</v>
      </c>
      <c r="L387" s="43" t="s">
        <v>4195</v>
      </c>
      <c r="M387" s="49" t="s">
        <v>323</v>
      </c>
      <c r="N387" s="49" t="s">
        <v>655</v>
      </c>
      <c r="O387" s="731" t="s">
        <v>4196</v>
      </c>
      <c r="P387" s="872" t="s">
        <v>4197</v>
      </c>
      <c r="Q387" s="91"/>
      <c r="R387" s="91"/>
      <c r="S387" s="91"/>
      <c r="T387" s="91"/>
      <c r="U387" s="91"/>
      <c r="V387" s="91"/>
      <c r="W387" s="91"/>
      <c r="X387" s="91"/>
      <c r="Y387" s="91"/>
      <c r="Z387" s="91"/>
      <c r="AA387" s="91"/>
      <c r="AB387" s="91"/>
      <c r="AC387" s="91"/>
      <c r="AD387" s="91"/>
      <c r="AE387" s="91"/>
      <c r="AF387" s="91"/>
      <c r="AG387" s="91"/>
      <c r="AH387" s="91"/>
      <c r="AI387" s="91"/>
    </row>
    <row r="388" spans="1:35">
      <c r="A388" s="43"/>
      <c r="B388" s="156">
        <v>386</v>
      </c>
      <c r="C388" s="43">
        <v>176562</v>
      </c>
      <c r="D388" s="43">
        <v>15744031</v>
      </c>
      <c r="E388" s="156" t="s">
        <v>4198</v>
      </c>
      <c r="F388" s="43">
        <v>50</v>
      </c>
      <c r="G388" s="43" t="s">
        <v>4199</v>
      </c>
      <c r="H388" s="43" t="s">
        <v>278</v>
      </c>
      <c r="I388" s="393" t="s">
        <v>4200</v>
      </c>
      <c r="J388" s="387" t="s">
        <v>238</v>
      </c>
      <c r="K388" s="44">
        <v>46104</v>
      </c>
      <c r="L388" s="43" t="s">
        <v>388</v>
      </c>
      <c r="M388" s="49" t="s">
        <v>230</v>
      </c>
      <c r="N388" s="49" t="s">
        <v>3253</v>
      </c>
      <c r="O388" s="680">
        <v>46108</v>
      </c>
      <c r="P388" s="732"/>
      <c r="Q388" s="91"/>
      <c r="R388" s="91"/>
      <c r="S388" s="91"/>
      <c r="T388" s="91"/>
      <c r="U388" s="91"/>
      <c r="V388" s="91"/>
      <c r="W388" s="91"/>
      <c r="X388" s="91"/>
      <c r="Y388" s="91"/>
      <c r="Z388" s="91"/>
      <c r="AA388" s="91"/>
      <c r="AB388" s="91"/>
      <c r="AC388" s="91"/>
      <c r="AD388" s="91"/>
      <c r="AE388" s="91"/>
      <c r="AF388" s="91"/>
      <c r="AG388" s="91"/>
      <c r="AH388" s="91"/>
      <c r="AI388" s="91"/>
    </row>
    <row r="389" spans="1:35">
      <c r="A389" s="131">
        <v>46105</v>
      </c>
      <c r="B389" s="156">
        <v>387</v>
      </c>
      <c r="C389" s="43">
        <v>95076</v>
      </c>
      <c r="D389" s="346">
        <v>40200892</v>
      </c>
      <c r="E389" s="382" t="s">
        <v>4201</v>
      </c>
      <c r="F389" s="346">
        <v>46</v>
      </c>
      <c r="G389" s="346" t="s">
        <v>4202</v>
      </c>
      <c r="H389" s="346" t="s">
        <v>432</v>
      </c>
      <c r="I389" s="346">
        <v>910021041</v>
      </c>
      <c r="J389" s="387" t="s">
        <v>1209</v>
      </c>
      <c r="K389" s="44">
        <v>46105</v>
      </c>
      <c r="L389" s="43" t="s">
        <v>388</v>
      </c>
      <c r="M389" s="49" t="s">
        <v>230</v>
      </c>
      <c r="N389" s="49" t="s">
        <v>3253</v>
      </c>
      <c r="O389" s="463">
        <v>46108</v>
      </c>
      <c r="P389" s="224" t="s">
        <v>4131</v>
      </c>
      <c r="Q389" s="91"/>
      <c r="R389" s="91"/>
      <c r="S389" s="91"/>
      <c r="T389" s="91"/>
      <c r="U389" s="91"/>
      <c r="V389" s="91"/>
      <c r="W389" s="91"/>
      <c r="X389" s="91"/>
      <c r="Y389" s="91"/>
      <c r="Z389" s="91"/>
      <c r="AA389" s="91"/>
      <c r="AB389" s="91"/>
      <c r="AC389" s="91"/>
      <c r="AD389" s="91"/>
      <c r="AE389" s="91"/>
      <c r="AF389" s="91"/>
      <c r="AG389" s="91"/>
      <c r="AH389" s="91"/>
      <c r="AI389" s="91"/>
    </row>
    <row r="390" spans="1:35">
      <c r="A390" s="43"/>
      <c r="B390" s="156">
        <v>388</v>
      </c>
      <c r="C390" s="43">
        <v>148236</v>
      </c>
      <c r="D390" s="43">
        <v>80287465</v>
      </c>
      <c r="E390" s="156" t="s">
        <v>4203</v>
      </c>
      <c r="F390" s="43">
        <v>49</v>
      </c>
      <c r="G390" s="43" t="s">
        <v>4204</v>
      </c>
      <c r="H390" s="43" t="s">
        <v>288</v>
      </c>
      <c r="I390" s="224">
        <v>943315708</v>
      </c>
      <c r="J390" s="387" t="s">
        <v>238</v>
      </c>
      <c r="K390" s="44">
        <v>46105</v>
      </c>
      <c r="L390" s="43" t="s">
        <v>4205</v>
      </c>
      <c r="M390" s="49" t="s">
        <v>312</v>
      </c>
      <c r="N390" s="49" t="s">
        <v>655</v>
      </c>
      <c r="O390" s="680">
        <v>46111</v>
      </c>
      <c r="P390" s="224"/>
      <c r="Q390" s="897" t="s">
        <v>4206</v>
      </c>
      <c r="R390" s="91"/>
      <c r="S390" s="91"/>
      <c r="T390" s="91"/>
      <c r="U390" s="91"/>
      <c r="V390" s="91"/>
      <c r="W390" s="91"/>
      <c r="X390" s="91"/>
      <c r="Y390" s="91"/>
      <c r="Z390" s="91"/>
      <c r="AA390" s="91"/>
      <c r="AB390" s="91"/>
      <c r="AC390" s="91"/>
      <c r="AD390" s="91"/>
      <c r="AE390" s="91"/>
      <c r="AF390" s="91"/>
      <c r="AG390" s="91"/>
      <c r="AH390" s="91"/>
      <c r="AI390" s="91"/>
    </row>
    <row r="391" spans="1:35">
      <c r="A391" s="43"/>
      <c r="B391" s="156">
        <v>389</v>
      </c>
      <c r="C391" s="43">
        <v>161223</v>
      </c>
      <c r="D391" s="43">
        <v>40627140</v>
      </c>
      <c r="E391" s="156" t="s">
        <v>4207</v>
      </c>
      <c r="F391" s="43">
        <v>45</v>
      </c>
      <c r="G391" s="43" t="s">
        <v>4208</v>
      </c>
      <c r="H391" s="43" t="s">
        <v>237</v>
      </c>
      <c r="I391" s="224">
        <v>986333626</v>
      </c>
      <c r="J391" s="387" t="s">
        <v>238</v>
      </c>
      <c r="K391" s="44">
        <v>46105</v>
      </c>
      <c r="L391" s="43" t="s">
        <v>4209</v>
      </c>
      <c r="M391" s="49" t="s">
        <v>323</v>
      </c>
      <c r="N391" s="49" t="s">
        <v>4210</v>
      </c>
      <c r="O391" s="680">
        <v>46108</v>
      </c>
      <c r="P391" s="224"/>
      <c r="Q391" s="91"/>
      <c r="R391" s="91"/>
      <c r="S391" s="91"/>
      <c r="T391" s="91"/>
      <c r="U391" s="91"/>
      <c r="V391" s="91"/>
      <c r="W391" s="91"/>
      <c r="X391" s="91"/>
      <c r="Y391" s="91"/>
      <c r="Z391" s="91"/>
      <c r="AA391" s="91"/>
      <c r="AB391" s="91"/>
      <c r="AC391" s="91"/>
      <c r="AD391" s="91"/>
      <c r="AE391" s="91"/>
      <c r="AF391" s="91"/>
      <c r="AG391" s="91"/>
      <c r="AH391" s="91"/>
      <c r="AI391" s="91"/>
    </row>
    <row r="392" spans="1:35">
      <c r="A392" s="43"/>
      <c r="B392" s="156">
        <v>390</v>
      </c>
      <c r="C392" s="43">
        <v>77015</v>
      </c>
      <c r="D392" s="43">
        <v>15764263</v>
      </c>
      <c r="E392" s="156" t="s">
        <v>4211</v>
      </c>
      <c r="F392" s="43">
        <v>48</v>
      </c>
      <c r="G392" s="43" t="s">
        <v>4212</v>
      </c>
      <c r="H392" s="43" t="s">
        <v>301</v>
      </c>
      <c r="I392" s="224">
        <v>968322890</v>
      </c>
      <c r="J392" s="387" t="s">
        <v>223</v>
      </c>
      <c r="K392" s="44">
        <v>46105</v>
      </c>
      <c r="L392" s="43" t="s">
        <v>376</v>
      </c>
      <c r="M392" s="49" t="s">
        <v>230</v>
      </c>
      <c r="N392" s="49" t="s">
        <v>317</v>
      </c>
      <c r="O392" s="463">
        <v>46108</v>
      </c>
      <c r="P392" s="224" t="s">
        <v>4136</v>
      </c>
      <c r="Q392" s="91"/>
      <c r="R392" s="91"/>
      <c r="S392" s="91"/>
      <c r="T392" s="91"/>
      <c r="U392" s="91"/>
      <c r="V392" s="91"/>
      <c r="W392" s="91"/>
      <c r="X392" s="91"/>
      <c r="Y392" s="91"/>
      <c r="Z392" s="91"/>
      <c r="AA392" s="91"/>
      <c r="AB392" s="91"/>
      <c r="AC392" s="91"/>
      <c r="AD392" s="91"/>
      <c r="AE392" s="91"/>
      <c r="AF392" s="91"/>
      <c r="AG392" s="91"/>
      <c r="AH392" s="91"/>
      <c r="AI392" s="91"/>
    </row>
    <row r="393" spans="1:35">
      <c r="A393" s="43"/>
      <c r="B393" s="156">
        <v>391</v>
      </c>
      <c r="C393" s="43">
        <v>206246</v>
      </c>
      <c r="D393" s="43">
        <v>15728150</v>
      </c>
      <c r="E393" s="156" t="s">
        <v>4213</v>
      </c>
      <c r="F393" s="43">
        <v>53</v>
      </c>
      <c r="G393" s="43" t="s">
        <v>4214</v>
      </c>
      <c r="H393" s="43" t="s">
        <v>222</v>
      </c>
      <c r="I393" s="224" t="s">
        <v>4215</v>
      </c>
      <c r="J393" s="387" t="s">
        <v>238</v>
      </c>
      <c r="K393" s="44">
        <v>46105</v>
      </c>
      <c r="L393" s="43" t="s">
        <v>4216</v>
      </c>
      <c r="M393" s="49" t="s">
        <v>323</v>
      </c>
      <c r="N393" s="49" t="s">
        <v>655</v>
      </c>
      <c r="O393" s="680">
        <v>46108</v>
      </c>
      <c r="P393" s="224"/>
      <c r="Q393" s="91"/>
      <c r="R393" s="91"/>
      <c r="S393" s="91"/>
      <c r="T393" s="91"/>
      <c r="U393" s="91"/>
      <c r="V393" s="91"/>
      <c r="W393" s="91"/>
      <c r="X393" s="91"/>
      <c r="Y393" s="91"/>
      <c r="Z393" s="91"/>
      <c r="AA393" s="91"/>
      <c r="AB393" s="91"/>
      <c r="AC393" s="91"/>
      <c r="AD393" s="91"/>
      <c r="AE393" s="91"/>
      <c r="AF393" s="91"/>
      <c r="AG393" s="91"/>
      <c r="AH393" s="91"/>
      <c r="AI393" s="91"/>
    </row>
    <row r="394" spans="1:35">
      <c r="A394" s="43"/>
      <c r="B394" s="156">
        <v>392</v>
      </c>
      <c r="C394" s="43">
        <v>209264</v>
      </c>
      <c r="D394" s="43">
        <v>41662911</v>
      </c>
      <c r="E394" s="156" t="s">
        <v>4217</v>
      </c>
      <c r="F394" s="43">
        <v>43</v>
      </c>
      <c r="G394" s="43" t="s">
        <v>4218</v>
      </c>
      <c r="H394" s="43" t="s">
        <v>222</v>
      </c>
      <c r="I394" s="393">
        <v>989845549</v>
      </c>
      <c r="J394" s="387" t="s">
        <v>223</v>
      </c>
      <c r="K394" s="44">
        <v>46105</v>
      </c>
      <c r="L394" s="43" t="s">
        <v>388</v>
      </c>
      <c r="M394" s="49" t="s">
        <v>230</v>
      </c>
      <c r="N394" s="49" t="s">
        <v>3253</v>
      </c>
      <c r="O394" s="463">
        <v>46108</v>
      </c>
      <c r="P394" s="224" t="s">
        <v>4136</v>
      </c>
      <c r="Q394" s="91"/>
      <c r="R394" s="91"/>
      <c r="S394" s="91"/>
      <c r="T394" s="91"/>
      <c r="U394" s="91"/>
      <c r="V394" s="91"/>
      <c r="W394" s="91"/>
      <c r="X394" s="91"/>
      <c r="Y394" s="91"/>
      <c r="Z394" s="91"/>
      <c r="AA394" s="91"/>
      <c r="AB394" s="91"/>
      <c r="AC394" s="91"/>
      <c r="AD394" s="91"/>
      <c r="AE394" s="91"/>
      <c r="AF394" s="91"/>
      <c r="AG394" s="91"/>
      <c r="AH394" s="91"/>
      <c r="AI394" s="91"/>
    </row>
    <row r="395" spans="1:35">
      <c r="A395" s="43"/>
      <c r="B395" s="156">
        <v>393</v>
      </c>
      <c r="C395" s="43">
        <v>107942</v>
      </c>
      <c r="D395" s="43">
        <v>23653019</v>
      </c>
      <c r="E395" s="156" t="s">
        <v>4219</v>
      </c>
      <c r="F395" s="43">
        <v>59</v>
      </c>
      <c r="G395" s="43" t="s">
        <v>4220</v>
      </c>
      <c r="H395" s="43" t="s">
        <v>278</v>
      </c>
      <c r="I395" s="224">
        <v>933658409</v>
      </c>
      <c r="J395" s="387" t="s">
        <v>1012</v>
      </c>
      <c r="K395" s="44">
        <v>46105</v>
      </c>
      <c r="L395" s="43" t="s">
        <v>4221</v>
      </c>
      <c r="M395" s="49" t="s">
        <v>323</v>
      </c>
      <c r="N395" s="49" t="s">
        <v>4210</v>
      </c>
      <c r="O395" s="448">
        <v>46108</v>
      </c>
      <c r="P395" s="732" t="s">
        <v>3794</v>
      </c>
      <c r="Q395" s="91"/>
      <c r="R395" s="91"/>
      <c r="S395" s="91"/>
      <c r="T395" s="91"/>
      <c r="U395" s="91"/>
      <c r="V395" s="91"/>
      <c r="W395" s="91"/>
      <c r="X395" s="91"/>
      <c r="Y395" s="91"/>
      <c r="Z395" s="91"/>
      <c r="AA395" s="91"/>
      <c r="AB395" s="91"/>
      <c r="AC395" s="91"/>
      <c r="AD395" s="91"/>
      <c r="AE395" s="91"/>
      <c r="AF395" s="91"/>
      <c r="AG395" s="91"/>
      <c r="AH395" s="91"/>
      <c r="AI395" s="91"/>
    </row>
    <row r="396" spans="1:35">
      <c r="A396" s="43"/>
      <c r="B396" s="156">
        <v>394</v>
      </c>
      <c r="C396" s="43">
        <v>524245</v>
      </c>
      <c r="D396" s="43">
        <v>16013252</v>
      </c>
      <c r="E396" s="156" t="s">
        <v>4222</v>
      </c>
      <c r="F396" s="43">
        <v>57</v>
      </c>
      <c r="G396" s="43" t="s">
        <v>4223</v>
      </c>
      <c r="H396" s="43" t="s">
        <v>461</v>
      </c>
      <c r="I396" s="393">
        <v>998659567</v>
      </c>
      <c r="J396" s="387" t="s">
        <v>162</v>
      </c>
      <c r="K396" s="44">
        <v>46105</v>
      </c>
      <c r="L396" s="43" t="s">
        <v>376</v>
      </c>
      <c r="M396" s="49" t="s">
        <v>230</v>
      </c>
      <c r="N396" s="49" t="s">
        <v>317</v>
      </c>
      <c r="O396" s="680">
        <v>46108</v>
      </c>
      <c r="P396" s="242"/>
      <c r="Q396" s="879" t="s">
        <v>358</v>
      </c>
    </row>
    <row r="397" spans="1:35">
      <c r="A397" s="43"/>
      <c r="B397" s="156">
        <v>395</v>
      </c>
      <c r="C397" s="43">
        <v>145038</v>
      </c>
      <c r="D397" s="43">
        <v>15590067</v>
      </c>
      <c r="E397" s="156" t="s">
        <v>4224</v>
      </c>
      <c r="F397" s="43">
        <v>68</v>
      </c>
      <c r="G397" s="43" t="s">
        <v>4225</v>
      </c>
      <c r="H397" s="43" t="s">
        <v>278</v>
      </c>
      <c r="I397" s="224">
        <v>948251887</v>
      </c>
      <c r="J397" s="387" t="s">
        <v>1012</v>
      </c>
      <c r="K397" s="44">
        <v>46105</v>
      </c>
      <c r="L397" s="43" t="s">
        <v>376</v>
      </c>
      <c r="M397" s="49" t="s">
        <v>230</v>
      </c>
      <c r="N397" s="49" t="s">
        <v>317</v>
      </c>
      <c r="O397" s="448">
        <v>46108</v>
      </c>
      <c r="P397" s="732" t="s">
        <v>3794</v>
      </c>
      <c r="Q397" s="91"/>
      <c r="R397" s="91"/>
      <c r="S397" s="91"/>
      <c r="T397" s="91"/>
      <c r="U397" s="91"/>
      <c r="V397" s="91"/>
      <c r="W397" s="91"/>
      <c r="X397" s="91"/>
      <c r="Y397" s="91"/>
      <c r="Z397" s="91"/>
      <c r="AA397" s="91"/>
      <c r="AB397" s="91"/>
      <c r="AC397" s="91"/>
      <c r="AD397" s="91"/>
      <c r="AE397" s="91"/>
      <c r="AF397" s="91"/>
      <c r="AG397" s="91"/>
      <c r="AH397" s="91"/>
      <c r="AI397" s="91"/>
    </row>
    <row r="398" spans="1:35">
      <c r="A398" s="43"/>
      <c r="B398" s="156">
        <v>396</v>
      </c>
      <c r="C398" s="43">
        <v>394479</v>
      </c>
      <c r="D398" s="43">
        <v>15698405</v>
      </c>
      <c r="E398" s="156" t="s">
        <v>4226</v>
      </c>
      <c r="F398" s="43">
        <v>59</v>
      </c>
      <c r="G398" s="43" t="s">
        <v>4227</v>
      </c>
      <c r="H398" s="43" t="s">
        <v>1420</v>
      </c>
      <c r="I398" s="224">
        <v>942395044</v>
      </c>
      <c r="J398" s="387" t="s">
        <v>746</v>
      </c>
      <c r="K398" s="44">
        <v>46105</v>
      </c>
      <c r="L398" s="43" t="s">
        <v>376</v>
      </c>
      <c r="M398" s="49" t="s">
        <v>230</v>
      </c>
      <c r="N398" s="49" t="s">
        <v>317</v>
      </c>
      <c r="O398" s="463">
        <v>46108</v>
      </c>
      <c r="P398" s="224" t="s">
        <v>4228</v>
      </c>
      <c r="Q398" s="91"/>
      <c r="R398" s="91"/>
      <c r="S398" s="91"/>
      <c r="T398" s="91"/>
      <c r="U398" s="91"/>
      <c r="V398" s="91"/>
      <c r="W398" s="91"/>
      <c r="X398" s="91"/>
      <c r="Y398" s="91"/>
      <c r="Z398" s="91"/>
      <c r="AA398" s="91"/>
      <c r="AB398" s="91"/>
      <c r="AC398" s="91"/>
      <c r="AD398" s="91"/>
      <c r="AE398" s="91"/>
      <c r="AF398" s="91"/>
      <c r="AG398" s="91"/>
      <c r="AH398" s="91"/>
      <c r="AI398" s="91"/>
    </row>
    <row r="399" spans="1:35">
      <c r="A399" s="43"/>
      <c r="B399" s="156">
        <v>397</v>
      </c>
      <c r="C399" s="43">
        <v>524246</v>
      </c>
      <c r="D399" s="43">
        <v>16025079</v>
      </c>
      <c r="E399" s="156" t="s">
        <v>4229</v>
      </c>
      <c r="F399" s="43">
        <v>47</v>
      </c>
      <c r="G399" s="43" t="s">
        <v>4230</v>
      </c>
      <c r="H399" s="43" t="s">
        <v>271</v>
      </c>
      <c r="I399" s="393" t="s">
        <v>4231</v>
      </c>
      <c r="J399" s="387" t="s">
        <v>164</v>
      </c>
      <c r="K399" s="44">
        <v>46105</v>
      </c>
      <c r="L399" s="43" t="s">
        <v>4232</v>
      </c>
      <c r="M399" s="49" t="s">
        <v>312</v>
      </c>
      <c r="N399" s="49" t="s">
        <v>1676</v>
      </c>
      <c r="O399" s="680">
        <v>46108</v>
      </c>
      <c r="P399" s="51" t="s">
        <v>3588</v>
      </c>
      <c r="Q399" s="879" t="s">
        <v>358</v>
      </c>
    </row>
    <row r="400" spans="1:35">
      <c r="A400" s="43"/>
      <c r="B400" s="156">
        <v>398</v>
      </c>
      <c r="C400" s="43">
        <v>227908</v>
      </c>
      <c r="D400" s="43">
        <v>44572608</v>
      </c>
      <c r="E400" s="156" t="s">
        <v>4233</v>
      </c>
      <c r="F400" s="43">
        <v>41</v>
      </c>
      <c r="G400" s="43" t="s">
        <v>4234</v>
      </c>
      <c r="H400" s="43" t="s">
        <v>222</v>
      </c>
      <c r="I400" s="393" t="s">
        <v>4235</v>
      </c>
      <c r="J400" s="387" t="s">
        <v>588</v>
      </c>
      <c r="K400" s="44">
        <v>46105</v>
      </c>
      <c r="L400" s="43" t="s">
        <v>1469</v>
      </c>
      <c r="M400" s="49" t="s">
        <v>260</v>
      </c>
      <c r="N400" s="49" t="s">
        <v>1676</v>
      </c>
      <c r="O400" s="448">
        <v>46108</v>
      </c>
      <c r="P400" s="732" t="s">
        <v>4236</v>
      </c>
      <c r="Q400" s="91"/>
      <c r="R400" s="91"/>
      <c r="S400" s="91"/>
      <c r="T400" s="91"/>
      <c r="U400" s="91"/>
      <c r="V400" s="91"/>
      <c r="W400" s="91"/>
      <c r="X400" s="91"/>
      <c r="Y400" s="91"/>
      <c r="Z400" s="91"/>
      <c r="AA400" s="91"/>
      <c r="AB400" s="91"/>
      <c r="AC400" s="91"/>
      <c r="AD400" s="91"/>
      <c r="AE400" s="91"/>
      <c r="AF400" s="91"/>
      <c r="AG400" s="91"/>
      <c r="AH400" s="91"/>
      <c r="AI400" s="91"/>
    </row>
    <row r="401" spans="1:35">
      <c r="A401" s="43"/>
      <c r="B401" s="156">
        <v>399</v>
      </c>
      <c r="C401" s="43">
        <v>93261</v>
      </c>
      <c r="D401" s="43">
        <v>40812364</v>
      </c>
      <c r="E401" s="156" t="s">
        <v>4237</v>
      </c>
      <c r="F401" s="43">
        <v>47</v>
      </c>
      <c r="G401" s="43" t="s">
        <v>4238</v>
      </c>
      <c r="H401" s="43" t="s">
        <v>222</v>
      </c>
      <c r="I401" s="224">
        <v>964257639</v>
      </c>
      <c r="J401" s="387" t="s">
        <v>384</v>
      </c>
      <c r="K401" s="44">
        <v>46105</v>
      </c>
      <c r="L401" s="43" t="s">
        <v>4239</v>
      </c>
      <c r="M401" s="49" t="s">
        <v>260</v>
      </c>
      <c r="N401" s="49" t="s">
        <v>1676</v>
      </c>
      <c r="O401" s="463">
        <v>46108</v>
      </c>
      <c r="P401" s="224" t="s">
        <v>3947</v>
      </c>
      <c r="Q401" s="91"/>
      <c r="R401" s="91"/>
      <c r="S401" s="91"/>
      <c r="T401" s="91"/>
      <c r="U401" s="91"/>
      <c r="V401" s="91"/>
      <c r="W401" s="91"/>
      <c r="X401" s="91"/>
      <c r="Y401" s="91"/>
      <c r="Z401" s="91"/>
      <c r="AA401" s="91"/>
      <c r="AB401" s="91"/>
      <c r="AC401" s="91"/>
      <c r="AD401" s="91"/>
      <c r="AE401" s="91"/>
      <c r="AF401" s="91"/>
      <c r="AG401" s="91"/>
      <c r="AH401" s="91"/>
      <c r="AI401" s="91"/>
    </row>
    <row r="402" spans="1:35">
      <c r="A402" s="43"/>
      <c r="B402" s="156">
        <v>400</v>
      </c>
      <c r="C402" s="43">
        <v>524247</v>
      </c>
      <c r="D402" s="43">
        <v>10005492</v>
      </c>
      <c r="E402" s="156" t="s">
        <v>4240</v>
      </c>
      <c r="F402" s="43">
        <v>50</v>
      </c>
      <c r="G402" s="43" t="s">
        <v>4241</v>
      </c>
      <c r="H402" s="43" t="s">
        <v>461</v>
      </c>
      <c r="I402" s="393">
        <v>902576499</v>
      </c>
      <c r="J402" s="387" t="s">
        <v>162</v>
      </c>
      <c r="K402" s="44">
        <v>46105</v>
      </c>
      <c r="L402" s="43" t="s">
        <v>376</v>
      </c>
      <c r="M402" s="49" t="s">
        <v>230</v>
      </c>
      <c r="N402" s="49" t="s">
        <v>317</v>
      </c>
      <c r="O402" s="680">
        <v>46108</v>
      </c>
      <c r="P402" s="242"/>
      <c r="Q402" s="877" t="s">
        <v>358</v>
      </c>
    </row>
    <row r="403" spans="1:35">
      <c r="A403" s="43"/>
      <c r="B403" s="156">
        <v>401</v>
      </c>
      <c r="C403" s="43">
        <v>54248</v>
      </c>
      <c r="D403" s="43">
        <v>15749410</v>
      </c>
      <c r="E403" s="156" t="s">
        <v>4242</v>
      </c>
      <c r="F403" s="43">
        <v>54</v>
      </c>
      <c r="G403" s="43" t="s">
        <v>4243</v>
      </c>
      <c r="H403" s="43" t="s">
        <v>461</v>
      </c>
      <c r="I403" s="393">
        <v>902576499</v>
      </c>
      <c r="J403" s="387" t="s">
        <v>162</v>
      </c>
      <c r="K403" s="44">
        <v>46105</v>
      </c>
      <c r="L403" s="43" t="s">
        <v>376</v>
      </c>
      <c r="M403" s="49" t="s">
        <v>230</v>
      </c>
      <c r="N403" s="49" t="s">
        <v>317</v>
      </c>
      <c r="O403" s="680">
        <v>46111</v>
      </c>
      <c r="P403" s="242"/>
      <c r="Q403" s="471" t="s">
        <v>358</v>
      </c>
    </row>
    <row r="404" spans="1:35">
      <c r="A404" s="43"/>
      <c r="B404" s="156">
        <v>402</v>
      </c>
      <c r="C404" s="43">
        <v>524249</v>
      </c>
      <c r="D404" s="43">
        <v>15983371</v>
      </c>
      <c r="E404" s="156" t="s">
        <v>4244</v>
      </c>
      <c r="F404" s="43">
        <v>60</v>
      </c>
      <c r="G404" s="43" t="s">
        <v>4245</v>
      </c>
      <c r="H404" s="43" t="s">
        <v>461</v>
      </c>
      <c r="I404" s="393">
        <v>988286206</v>
      </c>
      <c r="J404" s="387" t="s">
        <v>162</v>
      </c>
      <c r="K404" s="44">
        <v>46105</v>
      </c>
      <c r="L404" s="43" t="s">
        <v>376</v>
      </c>
      <c r="M404" s="49" t="s">
        <v>230</v>
      </c>
      <c r="N404" s="49" t="s">
        <v>317</v>
      </c>
      <c r="O404" s="680">
        <v>46108</v>
      </c>
      <c r="P404" s="242"/>
      <c r="Q404" s="875" t="s">
        <v>358</v>
      </c>
    </row>
    <row r="405" spans="1:35">
      <c r="A405" s="206"/>
      <c r="B405" s="156">
        <v>403</v>
      </c>
      <c r="C405" s="43">
        <v>92212</v>
      </c>
      <c r="D405" s="43">
        <v>40412676</v>
      </c>
      <c r="E405" s="383" t="s">
        <v>4246</v>
      </c>
      <c r="F405" s="43">
        <v>46</v>
      </c>
      <c r="G405" s="43" t="s">
        <v>4247</v>
      </c>
      <c r="H405" s="43" t="s">
        <v>278</v>
      </c>
      <c r="I405" s="393" t="s">
        <v>4248</v>
      </c>
      <c r="J405" s="387" t="s">
        <v>238</v>
      </c>
      <c r="K405" s="44">
        <v>46105</v>
      </c>
      <c r="L405" s="43" t="s">
        <v>376</v>
      </c>
      <c r="M405" s="49" t="s">
        <v>230</v>
      </c>
      <c r="N405" s="49" t="s">
        <v>317</v>
      </c>
      <c r="O405" s="680">
        <v>46108</v>
      </c>
      <c r="P405" s="732"/>
      <c r="Q405" s="91"/>
      <c r="R405" s="91"/>
      <c r="S405" s="91"/>
      <c r="T405" s="91"/>
      <c r="U405" s="91"/>
      <c r="V405" s="91"/>
      <c r="W405" s="91"/>
      <c r="X405" s="91"/>
      <c r="Y405" s="91"/>
      <c r="Z405" s="91"/>
      <c r="AA405" s="91"/>
      <c r="AB405" s="91"/>
      <c r="AC405" s="91"/>
      <c r="AD405" s="91"/>
      <c r="AE405" s="91"/>
      <c r="AF405" s="91"/>
      <c r="AG405" s="91"/>
      <c r="AH405" s="91"/>
      <c r="AI405" s="91"/>
    </row>
    <row r="406" spans="1:35">
      <c r="A406" s="206"/>
      <c r="B406" s="156">
        <v>404</v>
      </c>
      <c r="C406" s="43">
        <v>203692</v>
      </c>
      <c r="D406" s="43">
        <v>15740662</v>
      </c>
      <c r="E406" s="156" t="s">
        <v>4249</v>
      </c>
      <c r="F406" s="43">
        <v>52</v>
      </c>
      <c r="G406" s="43" t="s">
        <v>4250</v>
      </c>
      <c r="H406" s="43" t="s">
        <v>278</v>
      </c>
      <c r="I406" s="393" t="s">
        <v>4251</v>
      </c>
      <c r="J406" s="387" t="s">
        <v>238</v>
      </c>
      <c r="K406" s="44">
        <v>46105</v>
      </c>
      <c r="L406" s="43" t="s">
        <v>4252</v>
      </c>
      <c r="M406" s="49" t="s">
        <v>323</v>
      </c>
      <c r="N406" s="49" t="s">
        <v>1676</v>
      </c>
      <c r="O406" s="680">
        <v>46108</v>
      </c>
      <c r="P406" s="732"/>
      <c r="Q406" s="91"/>
      <c r="R406" s="91"/>
      <c r="S406" s="91"/>
      <c r="T406" s="91"/>
      <c r="U406" s="91"/>
      <c r="V406" s="91"/>
      <c r="W406" s="91"/>
      <c r="X406" s="91"/>
      <c r="Y406" s="91"/>
      <c r="Z406" s="91"/>
      <c r="AA406" s="91"/>
      <c r="AB406" s="91"/>
      <c r="AC406" s="91"/>
      <c r="AD406" s="91"/>
      <c r="AE406" s="91"/>
      <c r="AF406" s="91"/>
      <c r="AG406" s="91"/>
      <c r="AH406" s="91"/>
      <c r="AI406" s="91"/>
    </row>
    <row r="407" spans="1:35">
      <c r="A407" s="54"/>
      <c r="B407" s="156">
        <v>405</v>
      </c>
      <c r="C407" s="325">
        <v>522610</v>
      </c>
      <c r="D407" s="54">
        <v>40324509</v>
      </c>
      <c r="E407" s="64" t="s">
        <v>4253</v>
      </c>
      <c r="F407" s="325">
        <v>46</v>
      </c>
      <c r="G407" s="54" t="s">
        <v>4254</v>
      </c>
      <c r="H407" s="54" t="s">
        <v>246</v>
      </c>
      <c r="I407" s="247">
        <v>944021811</v>
      </c>
      <c r="J407" s="387" t="s">
        <v>2630</v>
      </c>
      <c r="K407" s="55">
        <v>46057</v>
      </c>
      <c r="L407" s="54" t="s">
        <v>4255</v>
      </c>
      <c r="M407" s="49" t="s">
        <v>260</v>
      </c>
      <c r="N407" s="54" t="s">
        <v>1249</v>
      </c>
      <c r="O407" s="437">
        <v>46112</v>
      </c>
      <c r="P407" s="247" t="s">
        <v>4256</v>
      </c>
      <c r="Q407" s="91"/>
      <c r="R407" s="91"/>
      <c r="S407" s="91"/>
      <c r="T407" s="91"/>
      <c r="U407" s="91"/>
      <c r="V407" s="91"/>
      <c r="W407" s="91"/>
      <c r="X407" s="91"/>
      <c r="Y407" s="91"/>
      <c r="Z407" s="91"/>
      <c r="AA407" s="91"/>
      <c r="AB407" s="91"/>
      <c r="AC407" s="91"/>
      <c r="AD407" s="91"/>
      <c r="AE407" s="91"/>
      <c r="AF407" s="91"/>
      <c r="AG407" s="91"/>
      <c r="AH407" s="91"/>
      <c r="AI407" s="91"/>
    </row>
    <row r="408" spans="1:35">
      <c r="A408" s="49"/>
      <c r="B408" s="156">
        <v>406</v>
      </c>
      <c r="C408" s="49">
        <v>222533</v>
      </c>
      <c r="D408" s="49">
        <v>15723063</v>
      </c>
      <c r="E408" s="61" t="s">
        <v>4257</v>
      </c>
      <c r="F408" s="49">
        <v>56</v>
      </c>
      <c r="G408" s="49" t="s">
        <v>4258</v>
      </c>
      <c r="H408" s="49" t="s">
        <v>278</v>
      </c>
      <c r="I408" s="248" t="s">
        <v>4259</v>
      </c>
      <c r="J408" s="387" t="s">
        <v>238</v>
      </c>
      <c r="K408" s="51">
        <v>46067</v>
      </c>
      <c r="L408" s="49" t="s">
        <v>4260</v>
      </c>
      <c r="M408" s="49" t="s">
        <v>312</v>
      </c>
      <c r="N408" s="49" t="s">
        <v>1676</v>
      </c>
      <c r="O408" s="53">
        <v>46073</v>
      </c>
      <c r="P408" s="248"/>
      <c r="Q408" s="91"/>
      <c r="R408" s="91"/>
      <c r="S408" s="91"/>
      <c r="T408" s="91"/>
      <c r="U408" s="91"/>
      <c r="V408" s="91"/>
      <c r="W408" s="91"/>
      <c r="X408" s="91"/>
      <c r="Y408" s="91"/>
      <c r="Z408" s="91"/>
      <c r="AA408" s="91"/>
      <c r="AB408" s="91"/>
      <c r="AC408" s="91"/>
      <c r="AD408" s="91"/>
      <c r="AE408" s="91"/>
      <c r="AF408" s="91"/>
      <c r="AG408" s="91"/>
      <c r="AH408" s="91"/>
      <c r="AI408" s="91"/>
    </row>
    <row r="409" spans="1:35">
      <c r="A409" s="56"/>
      <c r="B409" s="156">
        <v>407</v>
      </c>
      <c r="C409" s="56">
        <v>42846</v>
      </c>
      <c r="D409" s="56">
        <v>15594532</v>
      </c>
      <c r="E409" s="219" t="s">
        <v>281</v>
      </c>
      <c r="F409" s="56">
        <v>61</v>
      </c>
      <c r="G409" s="56" t="s">
        <v>282</v>
      </c>
      <c r="H409" s="56" t="s">
        <v>222</v>
      </c>
      <c r="I409" s="250">
        <v>973478829</v>
      </c>
      <c r="J409" s="388" t="s">
        <v>283</v>
      </c>
      <c r="K409" s="344">
        <v>46070</v>
      </c>
      <c r="L409" s="132" t="s">
        <v>284</v>
      </c>
      <c r="M409" s="56" t="s">
        <v>256</v>
      </c>
      <c r="N409" s="132" t="s">
        <v>250</v>
      </c>
      <c r="O409" s="437">
        <v>46086</v>
      </c>
      <c r="P409" s="248" t="s">
        <v>1962</v>
      </c>
      <c r="Q409" s="91"/>
      <c r="R409" s="91"/>
      <c r="S409" s="91"/>
      <c r="T409" s="91"/>
      <c r="U409" s="91"/>
      <c r="V409" s="91"/>
      <c r="W409" s="91"/>
      <c r="X409" s="91"/>
      <c r="Y409" s="91"/>
      <c r="Z409" s="91"/>
      <c r="AA409" s="91"/>
      <c r="AB409" s="91"/>
      <c r="AC409" s="91"/>
      <c r="AD409" s="91"/>
      <c r="AE409" s="91"/>
      <c r="AF409" s="91"/>
      <c r="AG409" s="91"/>
      <c r="AH409" s="91"/>
      <c r="AI409" s="91"/>
    </row>
    <row r="410" spans="1:35">
      <c r="A410" s="49"/>
      <c r="B410" s="156">
        <v>408</v>
      </c>
      <c r="C410" s="49">
        <v>88602</v>
      </c>
      <c r="D410" s="49">
        <v>49065468</v>
      </c>
      <c r="E410" s="61" t="s">
        <v>4261</v>
      </c>
      <c r="F410" s="49">
        <v>49</v>
      </c>
      <c r="G410" s="49" t="s">
        <v>4262</v>
      </c>
      <c r="H410" s="49" t="s">
        <v>301</v>
      </c>
      <c r="I410" s="248">
        <v>966326565</v>
      </c>
      <c r="J410" s="387" t="s">
        <v>302</v>
      </c>
      <c r="K410" s="51">
        <v>46072</v>
      </c>
      <c r="L410" s="49" t="s">
        <v>916</v>
      </c>
      <c r="M410" s="49" t="s">
        <v>230</v>
      </c>
      <c r="N410" s="49" t="s">
        <v>317</v>
      </c>
      <c r="O410" s="437">
        <v>46086</v>
      </c>
      <c r="P410" s="765" t="s">
        <v>2169</v>
      </c>
      <c r="Q410" s="91"/>
      <c r="R410" s="91"/>
      <c r="S410" s="91"/>
      <c r="T410" s="91"/>
      <c r="U410" s="91"/>
      <c r="V410" s="91"/>
      <c r="W410" s="91"/>
      <c r="X410" s="91"/>
      <c r="Y410" s="91"/>
      <c r="Z410" s="91"/>
      <c r="AA410" s="91"/>
      <c r="AB410" s="91"/>
      <c r="AC410" s="91"/>
      <c r="AD410" s="91"/>
      <c r="AE410" s="91"/>
      <c r="AF410" s="91"/>
      <c r="AG410" s="91"/>
      <c r="AH410" s="91"/>
      <c r="AI410" s="91"/>
    </row>
    <row r="411" spans="1:35">
      <c r="A411" s="49"/>
      <c r="B411" s="156">
        <v>409</v>
      </c>
      <c r="C411" s="49">
        <v>237957</v>
      </c>
      <c r="D411" s="49">
        <v>41461286</v>
      </c>
      <c r="E411" s="61" t="s">
        <v>4263</v>
      </c>
      <c r="F411" s="49">
        <v>43</v>
      </c>
      <c r="G411" s="49" t="s">
        <v>4264</v>
      </c>
      <c r="H411" s="49" t="s">
        <v>4265</v>
      </c>
      <c r="I411" s="248">
        <v>949820899</v>
      </c>
      <c r="J411" s="387" t="s">
        <v>238</v>
      </c>
      <c r="K411" s="51">
        <v>46073</v>
      </c>
      <c r="L411" s="49" t="s">
        <v>458</v>
      </c>
      <c r="M411" s="49" t="s">
        <v>260</v>
      </c>
      <c r="N411" s="49" t="s">
        <v>241</v>
      </c>
      <c r="O411" s="441">
        <v>46083</v>
      </c>
      <c r="P411" s="765"/>
      <c r="Q411" s="91"/>
      <c r="R411" s="91"/>
      <c r="S411" s="91"/>
      <c r="T411" s="91"/>
      <c r="U411" s="91"/>
      <c r="V411" s="91"/>
      <c r="W411" s="91"/>
      <c r="X411" s="91"/>
      <c r="Y411" s="91"/>
      <c r="Z411" s="91"/>
      <c r="AA411" s="91"/>
      <c r="AB411" s="91"/>
      <c r="AC411" s="91"/>
      <c r="AD411" s="91"/>
      <c r="AE411" s="91"/>
      <c r="AF411" s="91"/>
      <c r="AG411" s="91"/>
      <c r="AH411" s="91"/>
      <c r="AI411" s="91"/>
    </row>
    <row r="412" spans="1:35">
      <c r="A412" s="56"/>
      <c r="B412" s="156">
        <v>410</v>
      </c>
      <c r="C412" s="56">
        <v>282108</v>
      </c>
      <c r="D412" s="56">
        <v>43169603</v>
      </c>
      <c r="E412" s="219" t="s">
        <v>286</v>
      </c>
      <c r="F412" s="56">
        <v>40</v>
      </c>
      <c r="G412" s="56" t="s">
        <v>287</v>
      </c>
      <c r="H412" s="56" t="s">
        <v>288</v>
      </c>
      <c r="I412" s="250">
        <v>950735869</v>
      </c>
      <c r="J412" s="388" t="s">
        <v>289</v>
      </c>
      <c r="K412" s="344">
        <v>46073</v>
      </c>
      <c r="L412" s="56" t="s">
        <v>290</v>
      </c>
      <c r="M412" s="56" t="s">
        <v>225</v>
      </c>
      <c r="N412" s="56" t="s">
        <v>291</v>
      </c>
      <c r="O412" s="440">
        <v>46083</v>
      </c>
      <c r="P412" s="873" t="s">
        <v>292</v>
      </c>
      <c r="Q412" s="91"/>
      <c r="R412" s="91"/>
      <c r="S412" s="91"/>
      <c r="T412" s="91"/>
      <c r="U412" s="91"/>
      <c r="V412" s="91"/>
      <c r="W412" s="91"/>
      <c r="X412" s="91"/>
      <c r="Y412" s="91"/>
      <c r="Z412" s="91"/>
      <c r="AA412" s="91"/>
      <c r="AB412" s="91"/>
      <c r="AC412" s="91"/>
      <c r="AD412" s="91"/>
      <c r="AE412" s="91"/>
      <c r="AF412" s="91"/>
      <c r="AG412" s="91"/>
      <c r="AH412" s="91"/>
      <c r="AI412" s="91"/>
    </row>
    <row r="413" spans="1:35">
      <c r="A413" s="44"/>
      <c r="B413" s="156">
        <v>411</v>
      </c>
      <c r="C413" s="43">
        <v>249236</v>
      </c>
      <c r="D413" s="46">
        <v>15862165</v>
      </c>
      <c r="E413" s="62" t="s">
        <v>4266</v>
      </c>
      <c r="F413" s="46">
        <v>48</v>
      </c>
      <c r="G413" s="46" t="s">
        <v>4267</v>
      </c>
      <c r="H413" s="46" t="s">
        <v>237</v>
      </c>
      <c r="I413" s="397">
        <v>991218666</v>
      </c>
      <c r="J413" s="387" t="s">
        <v>384</v>
      </c>
      <c r="K413" s="44">
        <v>46049</v>
      </c>
      <c r="L413" s="43" t="s">
        <v>584</v>
      </c>
      <c r="M413" s="43" t="s">
        <v>230</v>
      </c>
      <c r="N413" s="43" t="s">
        <v>655</v>
      </c>
      <c r="O413" s="448">
        <v>46065</v>
      </c>
      <c r="P413" s="874" t="s">
        <v>292</v>
      </c>
      <c r="Q413" s="91"/>
      <c r="R413" s="91"/>
      <c r="S413" s="91"/>
      <c r="T413" s="91"/>
      <c r="U413" s="91"/>
      <c r="V413" s="91"/>
      <c r="W413" s="91"/>
      <c r="X413" s="91"/>
      <c r="Y413" s="91"/>
      <c r="Z413" s="91"/>
      <c r="AA413" s="91"/>
      <c r="AB413" s="91"/>
      <c r="AC413" s="91"/>
      <c r="AD413" s="91"/>
      <c r="AE413" s="91"/>
      <c r="AF413" s="91"/>
      <c r="AG413" s="91"/>
      <c r="AH413" s="91"/>
      <c r="AI413" s="91"/>
    </row>
    <row r="414" spans="1:35">
      <c r="A414" s="262" t="s">
        <v>513</v>
      </c>
      <c r="B414" s="156">
        <v>412</v>
      </c>
      <c r="C414" s="43">
        <v>113896</v>
      </c>
      <c r="D414" s="43">
        <v>15658901</v>
      </c>
      <c r="E414" s="156" t="s">
        <v>4268</v>
      </c>
      <c r="F414" s="43">
        <v>58</v>
      </c>
      <c r="G414" s="43" t="s">
        <v>4269</v>
      </c>
      <c r="H414" s="43" t="s">
        <v>4270</v>
      </c>
      <c r="I414" s="224">
        <v>910285019</v>
      </c>
      <c r="J414" s="387" t="s">
        <v>4271</v>
      </c>
      <c r="K414" s="44">
        <v>46105</v>
      </c>
      <c r="L414" s="46" t="s">
        <v>376</v>
      </c>
      <c r="M414" s="43" t="s">
        <v>230</v>
      </c>
      <c r="N414" s="43" t="s">
        <v>4272</v>
      </c>
      <c r="O414" s="448">
        <v>46108</v>
      </c>
      <c r="P414" s="732" t="s">
        <v>4273</v>
      </c>
      <c r="Q414" s="91"/>
      <c r="R414" s="91"/>
      <c r="S414" s="91"/>
      <c r="T414" s="91"/>
      <c r="U414" s="91"/>
      <c r="V414" s="91"/>
      <c r="W414" s="91"/>
      <c r="X414" s="91"/>
      <c r="Y414" s="91"/>
      <c r="Z414" s="91"/>
      <c r="AA414" s="91"/>
      <c r="AB414" s="91"/>
      <c r="AC414" s="91"/>
      <c r="AD414" s="91"/>
      <c r="AE414" s="91"/>
      <c r="AF414" s="91"/>
      <c r="AG414" s="91"/>
      <c r="AH414" s="91"/>
      <c r="AI414" s="91"/>
    </row>
    <row r="415" spans="1:35">
      <c r="A415" s="206"/>
      <c r="B415" s="156">
        <v>413</v>
      </c>
      <c r="C415" s="43">
        <v>153350</v>
      </c>
      <c r="D415" s="331">
        <v>15642627</v>
      </c>
      <c r="E415" s="384" t="s">
        <v>4274</v>
      </c>
      <c r="F415" s="331">
        <v>62</v>
      </c>
      <c r="G415" s="331" t="s">
        <v>4275</v>
      </c>
      <c r="H415" s="43" t="s">
        <v>4270</v>
      </c>
      <c r="I415" s="398">
        <v>991869199</v>
      </c>
      <c r="J415" s="387" t="s">
        <v>4271</v>
      </c>
      <c r="K415" s="44">
        <v>46105</v>
      </c>
      <c r="L415" s="46" t="s">
        <v>376</v>
      </c>
      <c r="M415" s="43" t="s">
        <v>230</v>
      </c>
      <c r="N415" s="43" t="s">
        <v>4272</v>
      </c>
      <c r="O415" s="448">
        <v>46108</v>
      </c>
      <c r="P415" s="732" t="s">
        <v>4273</v>
      </c>
      <c r="Q415" s="91"/>
      <c r="R415" s="91"/>
      <c r="S415" s="91"/>
      <c r="T415" s="91"/>
      <c r="U415" s="91"/>
      <c r="V415" s="91"/>
      <c r="W415" s="91"/>
      <c r="X415" s="91"/>
      <c r="Y415" s="91"/>
      <c r="Z415" s="91"/>
      <c r="AA415" s="91"/>
      <c r="AB415" s="91"/>
      <c r="AC415" s="91"/>
      <c r="AD415" s="91"/>
      <c r="AE415" s="91"/>
      <c r="AF415" s="91"/>
      <c r="AG415" s="91"/>
      <c r="AH415" s="91"/>
      <c r="AI415" s="91"/>
    </row>
    <row r="416" spans="1:35">
      <c r="A416" s="206"/>
      <c r="B416" s="156">
        <v>414</v>
      </c>
      <c r="C416" s="43">
        <v>118795</v>
      </c>
      <c r="D416" s="43">
        <v>15723339</v>
      </c>
      <c r="E416" s="156" t="s">
        <v>4276</v>
      </c>
      <c r="F416" s="43">
        <v>56</v>
      </c>
      <c r="G416" s="43" t="s">
        <v>4277</v>
      </c>
      <c r="H416" s="43" t="s">
        <v>278</v>
      </c>
      <c r="I416" s="224">
        <v>912064814</v>
      </c>
      <c r="J416" s="387" t="s">
        <v>384</v>
      </c>
      <c r="K416" s="44">
        <v>46105</v>
      </c>
      <c r="L416" s="46" t="s">
        <v>376</v>
      </c>
      <c r="M416" s="43" t="s">
        <v>230</v>
      </c>
      <c r="N416" s="43" t="s">
        <v>4272</v>
      </c>
      <c r="O416" s="463">
        <v>46108</v>
      </c>
      <c r="P416" s="224" t="s">
        <v>3947</v>
      </c>
      <c r="Q416" s="91"/>
      <c r="R416" s="91"/>
      <c r="S416" s="91"/>
      <c r="T416" s="91"/>
      <c r="U416" s="91"/>
      <c r="V416" s="91"/>
      <c r="W416" s="91"/>
      <c r="X416" s="91"/>
      <c r="Y416" s="91"/>
      <c r="Z416" s="91"/>
      <c r="AA416" s="91"/>
      <c r="AB416" s="91"/>
      <c r="AC416" s="91"/>
      <c r="AD416" s="91"/>
      <c r="AE416" s="91"/>
      <c r="AF416" s="91"/>
      <c r="AG416" s="91"/>
      <c r="AH416" s="91"/>
      <c r="AI416" s="91"/>
    </row>
    <row r="417" spans="1:35">
      <c r="A417" s="46"/>
      <c r="B417" s="156">
        <v>415</v>
      </c>
      <c r="C417" s="46">
        <v>261277</v>
      </c>
      <c r="D417" s="46">
        <v>15612423</v>
      </c>
      <c r="E417" s="65" t="s">
        <v>4278</v>
      </c>
      <c r="F417" s="46">
        <v>69</v>
      </c>
      <c r="G417" s="46" t="s">
        <v>4279</v>
      </c>
      <c r="H417" s="46" t="s">
        <v>278</v>
      </c>
      <c r="I417" s="399">
        <v>992899487</v>
      </c>
      <c r="J417" s="387" t="s">
        <v>238</v>
      </c>
      <c r="K417" s="44">
        <v>46105</v>
      </c>
      <c r="L417" s="46" t="s">
        <v>376</v>
      </c>
      <c r="M417" s="43" t="s">
        <v>230</v>
      </c>
      <c r="N417" s="43" t="s">
        <v>4272</v>
      </c>
      <c r="O417" s="680">
        <v>46108</v>
      </c>
      <c r="P417" s="399"/>
      <c r="Q417" s="91"/>
      <c r="R417" s="91"/>
      <c r="S417" s="91"/>
      <c r="T417" s="91"/>
      <c r="U417" s="91"/>
      <c r="V417" s="91"/>
      <c r="W417" s="91"/>
      <c r="X417" s="91"/>
      <c r="Y417" s="91"/>
      <c r="Z417" s="91"/>
      <c r="AA417" s="91"/>
      <c r="AB417" s="91"/>
      <c r="AC417" s="91"/>
      <c r="AD417" s="91"/>
      <c r="AE417" s="91"/>
      <c r="AF417" s="91"/>
      <c r="AG417" s="91"/>
      <c r="AH417" s="91"/>
      <c r="AI417" s="91"/>
    </row>
    <row r="418" spans="1:35">
      <c r="A418" s="43"/>
      <c r="B418" s="156">
        <v>416</v>
      </c>
      <c r="C418" s="43">
        <v>249155</v>
      </c>
      <c r="D418" s="43">
        <v>40746193</v>
      </c>
      <c r="E418" s="156" t="s">
        <v>4280</v>
      </c>
      <c r="F418" s="43">
        <v>45</v>
      </c>
      <c r="G418" s="43" t="s">
        <v>4281</v>
      </c>
      <c r="H418" s="43" t="s">
        <v>1581</v>
      </c>
      <c r="I418" s="224">
        <v>984183574</v>
      </c>
      <c r="J418" s="387" t="s">
        <v>238</v>
      </c>
      <c r="K418" s="44">
        <v>46105</v>
      </c>
      <c r="L418" s="43" t="s">
        <v>4282</v>
      </c>
      <c r="M418" s="43" t="s">
        <v>323</v>
      </c>
      <c r="N418" s="43" t="s">
        <v>3253</v>
      </c>
      <c r="O418" s="680">
        <v>46108</v>
      </c>
      <c r="P418" s="224"/>
      <c r="Q418" s="897" t="s">
        <v>4165</v>
      </c>
      <c r="R418" s="91"/>
      <c r="S418" s="91"/>
      <c r="T418" s="91"/>
      <c r="U418" s="91"/>
      <c r="V418" s="91"/>
      <c r="W418" s="91"/>
      <c r="X418" s="91"/>
      <c r="Y418" s="91"/>
      <c r="Z418" s="91"/>
      <c r="AA418" s="91"/>
      <c r="AB418" s="91"/>
      <c r="AC418" s="91"/>
      <c r="AD418" s="91"/>
      <c r="AE418" s="91"/>
      <c r="AF418" s="91"/>
      <c r="AG418" s="91"/>
      <c r="AH418" s="91"/>
      <c r="AI418" s="91"/>
    </row>
    <row r="419" spans="1:35">
      <c r="A419" s="43"/>
      <c r="B419" s="156">
        <v>417</v>
      </c>
      <c r="C419" s="43">
        <v>113124</v>
      </c>
      <c r="D419" s="43">
        <v>15657051</v>
      </c>
      <c r="E419" s="156" t="s">
        <v>4283</v>
      </c>
      <c r="F419" s="43">
        <v>64</v>
      </c>
      <c r="G419" s="43" t="s">
        <v>4284</v>
      </c>
      <c r="H419" s="43" t="s">
        <v>301</v>
      </c>
      <c r="I419" s="224">
        <v>973256177</v>
      </c>
      <c r="J419" s="387" t="s">
        <v>380</v>
      </c>
      <c r="K419" s="44">
        <v>46105</v>
      </c>
      <c r="L419" s="43" t="s">
        <v>376</v>
      </c>
      <c r="M419" s="43" t="s">
        <v>230</v>
      </c>
      <c r="N419" s="43" t="s">
        <v>4272</v>
      </c>
      <c r="O419" s="463">
        <v>46108</v>
      </c>
      <c r="P419" s="224" t="s">
        <v>4285</v>
      </c>
      <c r="Q419" s="91"/>
      <c r="R419" s="91"/>
      <c r="S419" s="91"/>
      <c r="T419" s="91"/>
      <c r="U419" s="91"/>
      <c r="V419" s="91"/>
      <c r="W419" s="91"/>
      <c r="X419" s="91"/>
      <c r="Y419" s="91"/>
      <c r="Z419" s="91"/>
      <c r="AA419" s="91"/>
      <c r="AB419" s="91"/>
      <c r="AC419" s="91"/>
      <c r="AD419" s="91"/>
      <c r="AE419" s="91"/>
      <c r="AF419" s="91"/>
      <c r="AG419" s="91"/>
      <c r="AH419" s="91"/>
      <c r="AI419" s="91"/>
    </row>
    <row r="420" spans="1:35">
      <c r="A420" s="206"/>
      <c r="B420" s="156">
        <v>418</v>
      </c>
      <c r="C420" s="43">
        <v>524262</v>
      </c>
      <c r="D420" s="43">
        <v>16011869</v>
      </c>
      <c r="E420" s="156" t="s">
        <v>4286</v>
      </c>
      <c r="F420" s="43">
        <v>49</v>
      </c>
      <c r="G420" s="43" t="s">
        <v>4287</v>
      </c>
      <c r="H420" s="43" t="s">
        <v>461</v>
      </c>
      <c r="I420" s="393">
        <v>990361791</v>
      </c>
      <c r="J420" s="387" t="s">
        <v>162</v>
      </c>
      <c r="K420" s="44">
        <v>46105</v>
      </c>
      <c r="L420" s="43" t="s">
        <v>376</v>
      </c>
      <c r="M420" s="43" t="s">
        <v>230</v>
      </c>
      <c r="N420" s="43" t="s">
        <v>4272</v>
      </c>
      <c r="O420" s="680">
        <v>46108</v>
      </c>
      <c r="P420" s="242"/>
      <c r="Q420" s="879" t="s">
        <v>358</v>
      </c>
    </row>
    <row r="421" spans="1:35">
      <c r="A421" s="43"/>
      <c r="B421" s="156">
        <v>419</v>
      </c>
      <c r="C421" s="43">
        <v>70316</v>
      </c>
      <c r="D421" s="43">
        <v>15757625</v>
      </c>
      <c r="E421" s="156" t="s">
        <v>4288</v>
      </c>
      <c r="F421" s="43">
        <v>49</v>
      </c>
      <c r="G421" s="43" t="s">
        <v>4289</v>
      </c>
      <c r="H421" s="43" t="s">
        <v>326</v>
      </c>
      <c r="I421" s="224">
        <v>936752008</v>
      </c>
      <c r="J421" s="387" t="s">
        <v>375</v>
      </c>
      <c r="K421" s="44">
        <v>46105</v>
      </c>
      <c r="L421" s="43" t="s">
        <v>4290</v>
      </c>
      <c r="M421" s="43" t="s">
        <v>323</v>
      </c>
      <c r="N421" s="43" t="s">
        <v>3253</v>
      </c>
      <c r="O421" s="463">
        <v>46108</v>
      </c>
      <c r="P421" s="224" t="s">
        <v>4131</v>
      </c>
      <c r="Q421" s="91"/>
      <c r="R421" s="91"/>
      <c r="S421" s="91"/>
      <c r="T421" s="91"/>
      <c r="U421" s="91"/>
      <c r="V421" s="91"/>
      <c r="W421" s="91"/>
      <c r="X421" s="91"/>
      <c r="Y421" s="91"/>
      <c r="Z421" s="91"/>
      <c r="AA421" s="91"/>
      <c r="AB421" s="91"/>
      <c r="AC421" s="91"/>
      <c r="AD421" s="91"/>
      <c r="AE421" s="91"/>
      <c r="AF421" s="91"/>
      <c r="AG421" s="91"/>
      <c r="AH421" s="91"/>
      <c r="AI421" s="91"/>
    </row>
    <row r="422" spans="1:35">
      <c r="A422" s="206"/>
      <c r="B422" s="156">
        <v>420</v>
      </c>
      <c r="C422" s="43">
        <v>524260</v>
      </c>
      <c r="D422" s="43">
        <v>15626820</v>
      </c>
      <c r="E422" s="156" t="s">
        <v>4291</v>
      </c>
      <c r="F422" s="43">
        <v>59</v>
      </c>
      <c r="G422" s="43" t="s">
        <v>4292</v>
      </c>
      <c r="H422" s="43" t="s">
        <v>2724</v>
      </c>
      <c r="I422" s="393">
        <v>980914526</v>
      </c>
      <c r="J422" s="387" t="s">
        <v>4041</v>
      </c>
      <c r="K422" s="44">
        <v>46105</v>
      </c>
      <c r="L422" s="43" t="s">
        <v>878</v>
      </c>
      <c r="M422" s="43" t="s">
        <v>323</v>
      </c>
      <c r="N422" s="43" t="s">
        <v>4210</v>
      </c>
      <c r="O422" s="680">
        <v>46108</v>
      </c>
      <c r="P422" s="43" t="s">
        <v>4293</v>
      </c>
      <c r="Q422" s="877" t="s">
        <v>358</v>
      </c>
    </row>
    <row r="423" spans="1:35">
      <c r="A423" s="206"/>
      <c r="B423" s="156">
        <v>421</v>
      </c>
      <c r="C423" s="43">
        <v>524267</v>
      </c>
      <c r="D423" s="43">
        <v>15748148</v>
      </c>
      <c r="E423" s="156" t="s">
        <v>4294</v>
      </c>
      <c r="F423" s="43">
        <v>53</v>
      </c>
      <c r="G423" s="43" t="s">
        <v>4295</v>
      </c>
      <c r="H423" s="43" t="s">
        <v>461</v>
      </c>
      <c r="I423" s="393">
        <v>944415049</v>
      </c>
      <c r="J423" s="387" t="s">
        <v>162</v>
      </c>
      <c r="K423" s="44">
        <v>46105</v>
      </c>
      <c r="L423" s="43" t="s">
        <v>388</v>
      </c>
      <c r="M423" s="43" t="s">
        <v>230</v>
      </c>
      <c r="N423" s="43" t="s">
        <v>3253</v>
      </c>
      <c r="O423" s="680">
        <v>46108</v>
      </c>
      <c r="P423" s="242"/>
      <c r="Q423" s="875" t="s">
        <v>358</v>
      </c>
    </row>
    <row r="424" spans="1:35">
      <c r="A424" s="43"/>
      <c r="B424" s="156">
        <v>422</v>
      </c>
      <c r="C424" s="43">
        <v>524265</v>
      </c>
      <c r="D424" s="43">
        <v>16020975</v>
      </c>
      <c r="E424" s="156" t="s">
        <v>4296</v>
      </c>
      <c r="F424" s="43">
        <v>48</v>
      </c>
      <c r="G424" s="43" t="s">
        <v>4297</v>
      </c>
      <c r="H424" s="43" t="s">
        <v>278</v>
      </c>
      <c r="I424" s="224">
        <v>910257619</v>
      </c>
      <c r="J424" s="387" t="s">
        <v>1012</v>
      </c>
      <c r="K424" s="44">
        <v>46105</v>
      </c>
      <c r="L424" s="43" t="s">
        <v>376</v>
      </c>
      <c r="M424" s="43" t="s">
        <v>230</v>
      </c>
      <c r="N424" s="43" t="s">
        <v>4272</v>
      </c>
      <c r="O424" s="448">
        <v>46108</v>
      </c>
      <c r="P424" s="732" t="s">
        <v>3794</v>
      </c>
      <c r="Q424" s="91"/>
      <c r="R424" s="91"/>
      <c r="S424" s="91"/>
      <c r="T424" s="91"/>
      <c r="U424" s="91"/>
      <c r="V424" s="91"/>
      <c r="W424" s="91"/>
      <c r="X424" s="91"/>
      <c r="Y424" s="91"/>
      <c r="Z424" s="91"/>
      <c r="AA424" s="91"/>
      <c r="AB424" s="91"/>
      <c r="AC424" s="91"/>
      <c r="AD424" s="91"/>
      <c r="AE424" s="91"/>
      <c r="AF424" s="91"/>
      <c r="AG424" s="91"/>
      <c r="AH424" s="91"/>
      <c r="AI424" s="91"/>
    </row>
    <row r="425" spans="1:35">
      <c r="A425" s="43"/>
      <c r="B425" s="156">
        <v>423</v>
      </c>
      <c r="C425" s="43">
        <v>112207</v>
      </c>
      <c r="D425" s="43">
        <v>15756658</v>
      </c>
      <c r="E425" s="156" t="s">
        <v>4298</v>
      </c>
      <c r="F425" s="43">
        <v>63</v>
      </c>
      <c r="G425" s="43" t="s">
        <v>4299</v>
      </c>
      <c r="H425" s="43" t="s">
        <v>237</v>
      </c>
      <c r="I425" s="224">
        <v>963778528</v>
      </c>
      <c r="J425" s="387" t="s">
        <v>289</v>
      </c>
      <c r="K425" s="44">
        <v>46105</v>
      </c>
      <c r="L425" s="43" t="s">
        <v>376</v>
      </c>
      <c r="M425" s="43" t="s">
        <v>230</v>
      </c>
      <c r="N425" s="43" t="s">
        <v>4272</v>
      </c>
      <c r="O425" s="731" t="s">
        <v>4196</v>
      </c>
      <c r="P425" s="872" t="s">
        <v>4197</v>
      </c>
      <c r="Q425" s="91"/>
      <c r="R425" s="91"/>
      <c r="S425" s="91"/>
      <c r="T425" s="91"/>
      <c r="U425" s="91"/>
      <c r="V425" s="91"/>
      <c r="W425" s="91"/>
      <c r="X425" s="91"/>
      <c r="Y425" s="91"/>
      <c r="Z425" s="91"/>
      <c r="AA425" s="91"/>
      <c r="AB425" s="91"/>
      <c r="AC425" s="91"/>
      <c r="AD425" s="91"/>
      <c r="AE425" s="91"/>
      <c r="AF425" s="91"/>
      <c r="AG425" s="91"/>
      <c r="AH425" s="91"/>
      <c r="AI425" s="91"/>
    </row>
    <row r="426" spans="1:35">
      <c r="A426" s="43"/>
      <c r="B426" s="156">
        <v>424</v>
      </c>
      <c r="C426" s="43">
        <v>107847</v>
      </c>
      <c r="D426" s="43">
        <v>41526398</v>
      </c>
      <c r="E426" s="156" t="s">
        <v>4300</v>
      </c>
      <c r="F426" s="43">
        <v>43</v>
      </c>
      <c r="G426" s="43" t="s">
        <v>4301</v>
      </c>
      <c r="H426" s="43" t="s">
        <v>237</v>
      </c>
      <c r="I426" s="224">
        <v>984349270</v>
      </c>
      <c r="J426" s="387" t="s">
        <v>289</v>
      </c>
      <c r="K426" s="44">
        <v>46105</v>
      </c>
      <c r="L426" s="43" t="s">
        <v>388</v>
      </c>
      <c r="M426" s="43" t="s">
        <v>230</v>
      </c>
      <c r="N426" s="43" t="s">
        <v>3253</v>
      </c>
      <c r="O426" s="731" t="s">
        <v>4196</v>
      </c>
      <c r="P426" s="872" t="s">
        <v>4197</v>
      </c>
      <c r="Q426" s="91"/>
      <c r="R426" s="91"/>
      <c r="S426" s="91"/>
      <c r="T426" s="91"/>
      <c r="U426" s="91"/>
      <c r="V426" s="91"/>
      <c r="W426" s="91"/>
      <c r="X426" s="91"/>
      <c r="Y426" s="91"/>
      <c r="Z426" s="91"/>
      <c r="AA426" s="91"/>
      <c r="AB426" s="91"/>
      <c r="AC426" s="91"/>
      <c r="AD426" s="91"/>
      <c r="AE426" s="91"/>
      <c r="AF426" s="91"/>
      <c r="AG426" s="91"/>
      <c r="AH426" s="91"/>
      <c r="AI426" s="91"/>
    </row>
    <row r="427" spans="1:35">
      <c r="A427" s="206"/>
      <c r="B427" s="156">
        <v>425</v>
      </c>
      <c r="C427" s="43">
        <v>71862</v>
      </c>
      <c r="D427" s="43">
        <v>15590852</v>
      </c>
      <c r="E427" s="156" t="s">
        <v>4302</v>
      </c>
      <c r="F427" s="43">
        <v>64</v>
      </c>
      <c r="G427" s="43" t="s">
        <v>4303</v>
      </c>
      <c r="H427" s="43" t="s">
        <v>278</v>
      </c>
      <c r="I427" s="393">
        <v>968863148</v>
      </c>
      <c r="J427" s="387" t="s">
        <v>238</v>
      </c>
      <c r="K427" s="44">
        <v>46105</v>
      </c>
      <c r="L427" s="43" t="s">
        <v>376</v>
      </c>
      <c r="M427" s="43" t="s">
        <v>230</v>
      </c>
      <c r="N427" s="43" t="s">
        <v>317</v>
      </c>
      <c r="O427" s="680">
        <v>46108</v>
      </c>
      <c r="P427" s="732"/>
      <c r="Q427" s="91"/>
      <c r="R427" s="91"/>
      <c r="S427" s="91"/>
      <c r="T427" s="91"/>
      <c r="U427" s="91"/>
      <c r="V427" s="91"/>
      <c r="W427" s="91"/>
      <c r="X427" s="91"/>
      <c r="Y427" s="91"/>
      <c r="Z427" s="91"/>
      <c r="AA427" s="91"/>
      <c r="AB427" s="91"/>
      <c r="AC427" s="91"/>
      <c r="AD427" s="91"/>
      <c r="AE427" s="91"/>
      <c r="AF427" s="91"/>
      <c r="AG427" s="91"/>
      <c r="AH427" s="91"/>
      <c r="AI427" s="91"/>
    </row>
    <row r="428" spans="1:35">
      <c r="A428" s="206"/>
      <c r="B428" s="156">
        <v>426</v>
      </c>
      <c r="C428" s="43">
        <v>101714</v>
      </c>
      <c r="D428" s="43">
        <v>41003647</v>
      </c>
      <c r="E428" s="156" t="s">
        <v>4304</v>
      </c>
      <c r="F428" s="43">
        <v>44</v>
      </c>
      <c r="G428" s="43" t="s">
        <v>4303</v>
      </c>
      <c r="H428" s="43" t="s">
        <v>278</v>
      </c>
      <c r="I428" s="393">
        <v>924630190</v>
      </c>
      <c r="J428" s="387" t="s">
        <v>238</v>
      </c>
      <c r="K428" s="44">
        <v>46105</v>
      </c>
      <c r="L428" s="43" t="s">
        <v>4305</v>
      </c>
      <c r="M428" s="43" t="s">
        <v>323</v>
      </c>
      <c r="N428" s="43" t="s">
        <v>4210</v>
      </c>
      <c r="O428" s="680">
        <v>46108</v>
      </c>
      <c r="P428" s="732"/>
      <c r="Q428" s="91"/>
      <c r="R428" s="91"/>
      <c r="S428" s="91"/>
      <c r="T428" s="91"/>
      <c r="U428" s="91"/>
      <c r="V428" s="91"/>
      <c r="W428" s="91"/>
      <c r="X428" s="91"/>
      <c r="Y428" s="91"/>
      <c r="Z428" s="91"/>
      <c r="AA428" s="91"/>
      <c r="AB428" s="91"/>
      <c r="AC428" s="91"/>
      <c r="AD428" s="91"/>
      <c r="AE428" s="91"/>
      <c r="AF428" s="91"/>
      <c r="AG428" s="91"/>
      <c r="AH428" s="91"/>
      <c r="AI428" s="91"/>
    </row>
    <row r="429" spans="1:35">
      <c r="A429" s="131">
        <v>46106</v>
      </c>
      <c r="B429" s="156">
        <v>427</v>
      </c>
      <c r="C429" s="43">
        <v>445174</v>
      </c>
      <c r="D429" s="347">
        <v>15674430</v>
      </c>
      <c r="E429" s="385" t="s">
        <v>4306</v>
      </c>
      <c r="F429" s="347">
        <v>68</v>
      </c>
      <c r="G429" s="347" t="s">
        <v>4307</v>
      </c>
      <c r="H429" s="348" t="s">
        <v>4308</v>
      </c>
      <c r="I429" s="400">
        <v>920168719</v>
      </c>
      <c r="J429" s="389" t="s">
        <v>4309</v>
      </c>
      <c r="K429" s="44">
        <v>46106</v>
      </c>
      <c r="L429" s="43" t="s">
        <v>1794</v>
      </c>
      <c r="M429" s="43" t="s">
        <v>312</v>
      </c>
      <c r="N429" s="43" t="s">
        <v>1199</v>
      </c>
      <c r="O429" s="680">
        <v>46111</v>
      </c>
      <c r="P429" s="242" t="s">
        <v>4310</v>
      </c>
      <c r="Q429" s="877" t="s">
        <v>358</v>
      </c>
    </row>
    <row r="430" spans="1:35">
      <c r="A430" s="43"/>
      <c r="B430" s="156">
        <v>428</v>
      </c>
      <c r="C430" s="43">
        <v>524289</v>
      </c>
      <c r="D430" s="347">
        <v>15676355</v>
      </c>
      <c r="E430" s="385" t="s">
        <v>4311</v>
      </c>
      <c r="F430" s="347">
        <v>58</v>
      </c>
      <c r="G430" s="347" t="s">
        <v>4307</v>
      </c>
      <c r="H430" s="348" t="s">
        <v>4308</v>
      </c>
      <c r="I430" s="400">
        <v>966720117</v>
      </c>
      <c r="J430" s="389" t="s">
        <v>4312</v>
      </c>
      <c r="K430" s="44">
        <v>46106</v>
      </c>
      <c r="L430" s="43" t="s">
        <v>747</v>
      </c>
      <c r="M430" s="43" t="s">
        <v>312</v>
      </c>
      <c r="N430" s="43" t="s">
        <v>1199</v>
      </c>
      <c r="O430" s="680">
        <v>46111</v>
      </c>
      <c r="P430" s="242" t="s">
        <v>4310</v>
      </c>
      <c r="Q430" s="471" t="s">
        <v>358</v>
      </c>
    </row>
    <row r="431" spans="1:35">
      <c r="A431" s="43"/>
      <c r="B431" s="156">
        <v>429</v>
      </c>
      <c r="C431" s="43">
        <v>78744</v>
      </c>
      <c r="D431" s="347">
        <v>15675625</v>
      </c>
      <c r="E431" s="385" t="s">
        <v>4313</v>
      </c>
      <c r="F431" s="347">
        <v>65</v>
      </c>
      <c r="G431" s="347" t="s">
        <v>4307</v>
      </c>
      <c r="H431" s="348" t="s">
        <v>4308</v>
      </c>
      <c r="I431" s="401">
        <v>918193404</v>
      </c>
      <c r="J431" s="389" t="s">
        <v>4309</v>
      </c>
      <c r="K431" s="44">
        <v>46106</v>
      </c>
      <c r="L431" s="43" t="s">
        <v>747</v>
      </c>
      <c r="M431" s="43" t="s">
        <v>230</v>
      </c>
      <c r="N431" s="43" t="s">
        <v>1199</v>
      </c>
      <c r="O431" s="680">
        <v>46111</v>
      </c>
      <c r="P431" s="242" t="s">
        <v>4310</v>
      </c>
      <c r="Q431" s="471" t="s">
        <v>358</v>
      </c>
    </row>
    <row r="432" spans="1:35">
      <c r="A432" s="43"/>
      <c r="B432" s="156">
        <v>430</v>
      </c>
      <c r="C432" s="43">
        <v>524288</v>
      </c>
      <c r="D432" s="347">
        <v>41582800</v>
      </c>
      <c r="E432" s="385" t="s">
        <v>4314</v>
      </c>
      <c r="F432" s="347">
        <v>43</v>
      </c>
      <c r="G432" s="347" t="s">
        <v>4307</v>
      </c>
      <c r="H432" s="348" t="s">
        <v>4308</v>
      </c>
      <c r="I432" s="400">
        <v>933528269</v>
      </c>
      <c r="J432" s="389" t="s">
        <v>4309</v>
      </c>
      <c r="K432" s="44">
        <v>46106</v>
      </c>
      <c r="L432" s="43" t="s">
        <v>4315</v>
      </c>
      <c r="M432" s="43" t="s">
        <v>312</v>
      </c>
      <c r="N432" s="43" t="s">
        <v>241</v>
      </c>
      <c r="O432" s="680">
        <v>46111</v>
      </c>
      <c r="P432" s="242" t="s">
        <v>4310</v>
      </c>
      <c r="Q432" s="471" t="s">
        <v>358</v>
      </c>
    </row>
    <row r="433" spans="1:35">
      <c r="A433" s="43"/>
      <c r="B433" s="156">
        <v>431</v>
      </c>
      <c r="C433" s="43">
        <v>78724</v>
      </c>
      <c r="D433" s="349">
        <v>15680014</v>
      </c>
      <c r="E433" s="386" t="s">
        <v>4316</v>
      </c>
      <c r="F433" s="349">
        <v>63</v>
      </c>
      <c r="G433" s="349" t="s">
        <v>4307</v>
      </c>
      <c r="H433" s="350" t="s">
        <v>4308</v>
      </c>
      <c r="I433" s="402">
        <v>940472605</v>
      </c>
      <c r="J433" s="390" t="s">
        <v>4309</v>
      </c>
      <c r="K433" s="44">
        <v>46106</v>
      </c>
      <c r="L433" s="43" t="s">
        <v>747</v>
      </c>
      <c r="M433" s="43" t="s">
        <v>230</v>
      </c>
      <c r="N433" s="43" t="s">
        <v>1199</v>
      </c>
      <c r="O433" s="680">
        <v>46111</v>
      </c>
      <c r="P433" s="242" t="s">
        <v>4310</v>
      </c>
      <c r="Q433" s="471" t="s">
        <v>358</v>
      </c>
    </row>
    <row r="434" spans="1:35">
      <c r="A434" s="43"/>
      <c r="B434" s="156">
        <v>432</v>
      </c>
      <c r="C434" s="43">
        <v>78736</v>
      </c>
      <c r="D434" s="347">
        <v>15840714</v>
      </c>
      <c r="E434" s="385" t="s">
        <v>4317</v>
      </c>
      <c r="F434" s="347">
        <v>55</v>
      </c>
      <c r="G434" s="347" t="s">
        <v>4307</v>
      </c>
      <c r="H434" s="348" t="s">
        <v>4308</v>
      </c>
      <c r="I434" s="400">
        <v>957100832</v>
      </c>
      <c r="J434" s="389" t="s">
        <v>4309</v>
      </c>
      <c r="K434" s="44">
        <v>46106</v>
      </c>
      <c r="L434" s="43" t="s">
        <v>4318</v>
      </c>
      <c r="M434" s="43" t="s">
        <v>312</v>
      </c>
      <c r="N434" s="43" t="s">
        <v>241</v>
      </c>
      <c r="O434" s="680">
        <v>46111</v>
      </c>
      <c r="P434" s="242" t="s">
        <v>4310</v>
      </c>
      <c r="Q434" s="471" t="s">
        <v>358</v>
      </c>
    </row>
    <row r="435" spans="1:35">
      <c r="A435" s="43"/>
      <c r="B435" s="156">
        <v>433</v>
      </c>
      <c r="C435" s="43">
        <v>78748</v>
      </c>
      <c r="D435" s="347">
        <v>15842450</v>
      </c>
      <c r="E435" s="385" t="s">
        <v>4319</v>
      </c>
      <c r="F435" s="347">
        <v>53</v>
      </c>
      <c r="G435" s="347" t="s">
        <v>4307</v>
      </c>
      <c r="H435" s="348" t="s">
        <v>4308</v>
      </c>
      <c r="I435" s="400">
        <v>986152758</v>
      </c>
      <c r="J435" s="389" t="s">
        <v>4309</v>
      </c>
      <c r="K435" s="44">
        <v>46106</v>
      </c>
      <c r="L435" s="43" t="s">
        <v>747</v>
      </c>
      <c r="M435" s="43" t="s">
        <v>230</v>
      </c>
      <c r="N435" s="43" t="s">
        <v>1199</v>
      </c>
      <c r="O435" s="680">
        <v>46111</v>
      </c>
      <c r="P435" s="242" t="s">
        <v>4310</v>
      </c>
      <c r="Q435" s="471" t="s">
        <v>358</v>
      </c>
    </row>
    <row r="436" spans="1:35">
      <c r="A436" s="43"/>
      <c r="B436" s="156">
        <v>434</v>
      </c>
      <c r="C436" s="43">
        <v>78732</v>
      </c>
      <c r="D436" s="347">
        <v>15681597</v>
      </c>
      <c r="E436" s="385" t="s">
        <v>4320</v>
      </c>
      <c r="F436" s="347">
        <v>57</v>
      </c>
      <c r="G436" s="347" t="s">
        <v>4307</v>
      </c>
      <c r="H436" s="348" t="s">
        <v>4308</v>
      </c>
      <c r="I436" s="400">
        <v>977103405</v>
      </c>
      <c r="J436" s="389" t="s">
        <v>4309</v>
      </c>
      <c r="K436" s="44">
        <v>46106</v>
      </c>
      <c r="L436" s="43" t="s">
        <v>747</v>
      </c>
      <c r="M436" s="43" t="s">
        <v>230</v>
      </c>
      <c r="N436" s="43" t="s">
        <v>1199</v>
      </c>
      <c r="O436" s="680">
        <v>46111</v>
      </c>
      <c r="P436" s="242" t="s">
        <v>4310</v>
      </c>
      <c r="Q436" s="471" t="s">
        <v>358</v>
      </c>
    </row>
    <row r="437" spans="1:35">
      <c r="A437" s="43"/>
      <c r="B437" s="156">
        <v>435</v>
      </c>
      <c r="C437" s="43">
        <v>447187</v>
      </c>
      <c r="D437" s="347">
        <v>41081730</v>
      </c>
      <c r="E437" s="385" t="s">
        <v>4321</v>
      </c>
      <c r="F437" s="347">
        <v>44</v>
      </c>
      <c r="G437" s="347" t="s">
        <v>4307</v>
      </c>
      <c r="H437" s="348" t="s">
        <v>4308</v>
      </c>
      <c r="I437" s="400">
        <v>918095976</v>
      </c>
      <c r="J437" s="389" t="s">
        <v>4309</v>
      </c>
      <c r="K437" s="44">
        <v>46106</v>
      </c>
      <c r="L437" s="43" t="s">
        <v>1156</v>
      </c>
      <c r="M437" s="43" t="s">
        <v>260</v>
      </c>
      <c r="N437" s="43" t="s">
        <v>349</v>
      </c>
      <c r="O437" s="680">
        <v>46111</v>
      </c>
      <c r="P437" s="242" t="s">
        <v>4310</v>
      </c>
      <c r="Q437" s="471" t="s">
        <v>358</v>
      </c>
    </row>
    <row r="438" spans="1:35">
      <c r="A438" s="43"/>
      <c r="B438" s="156">
        <v>436</v>
      </c>
      <c r="C438" s="43">
        <v>78731</v>
      </c>
      <c r="D438" s="347">
        <v>15843224</v>
      </c>
      <c r="E438" s="385" t="s">
        <v>4322</v>
      </c>
      <c r="F438" s="347">
        <v>52</v>
      </c>
      <c r="G438" s="347" t="s">
        <v>4307</v>
      </c>
      <c r="H438" s="348" t="s">
        <v>4308</v>
      </c>
      <c r="I438" s="400">
        <v>918095976</v>
      </c>
      <c r="J438" s="389" t="s">
        <v>4309</v>
      </c>
      <c r="K438" s="44">
        <v>46106</v>
      </c>
      <c r="L438" s="43" t="s">
        <v>1156</v>
      </c>
      <c r="M438" s="43" t="s">
        <v>230</v>
      </c>
      <c r="N438" s="43" t="s">
        <v>241</v>
      </c>
      <c r="O438" s="680">
        <v>46111</v>
      </c>
      <c r="P438" s="242" t="s">
        <v>4310</v>
      </c>
      <c r="Q438" s="471" t="s">
        <v>358</v>
      </c>
    </row>
    <row r="439" spans="1:35" s="1123" customFormat="1" ht="24.75">
      <c r="A439" s="1116"/>
      <c r="B439" s="1116">
        <v>437</v>
      </c>
      <c r="C439" s="1116">
        <v>9878</v>
      </c>
      <c r="D439" s="1117">
        <v>41971584</v>
      </c>
      <c r="E439" s="1118" t="s">
        <v>4323</v>
      </c>
      <c r="F439" s="1117">
        <v>60</v>
      </c>
      <c r="G439" s="1117" t="s">
        <v>4307</v>
      </c>
      <c r="H439" s="1118" t="s">
        <v>4308</v>
      </c>
      <c r="I439" s="1119" t="s">
        <v>4324</v>
      </c>
      <c r="J439" s="1120" t="s">
        <v>4309</v>
      </c>
      <c r="K439" s="1121">
        <v>46106</v>
      </c>
      <c r="L439" s="1116" t="s">
        <v>4325</v>
      </c>
      <c r="M439" s="1116" t="s">
        <v>4326</v>
      </c>
      <c r="N439" s="1116" t="s">
        <v>4327</v>
      </c>
      <c r="O439" s="1121">
        <v>46111</v>
      </c>
      <c r="P439" s="1116" t="s">
        <v>4310</v>
      </c>
      <c r="Q439" s="1122" t="s">
        <v>358</v>
      </c>
    </row>
    <row r="440" spans="1:35">
      <c r="A440" s="43"/>
      <c r="B440" s="156">
        <v>438</v>
      </c>
      <c r="C440" s="43">
        <v>447188</v>
      </c>
      <c r="D440" s="347">
        <v>80322584</v>
      </c>
      <c r="E440" s="385" t="s">
        <v>4328</v>
      </c>
      <c r="F440" s="347">
        <v>57</v>
      </c>
      <c r="G440" s="347" t="s">
        <v>4307</v>
      </c>
      <c r="H440" s="348" t="s">
        <v>4308</v>
      </c>
      <c r="I440" s="400">
        <v>907742682</v>
      </c>
      <c r="J440" s="389" t="s">
        <v>4309</v>
      </c>
      <c r="K440" s="44">
        <v>46106</v>
      </c>
      <c r="L440" s="43" t="s">
        <v>3567</v>
      </c>
      <c r="M440" s="43" t="s">
        <v>312</v>
      </c>
      <c r="N440" s="43" t="s">
        <v>1199</v>
      </c>
      <c r="O440" s="680">
        <v>46111</v>
      </c>
      <c r="P440" s="242" t="s">
        <v>4310</v>
      </c>
      <c r="Q440" s="471" t="s">
        <v>358</v>
      </c>
    </row>
    <row r="441" spans="1:35">
      <c r="A441" s="43"/>
      <c r="B441" s="156">
        <v>439</v>
      </c>
      <c r="C441" s="43">
        <v>443906</v>
      </c>
      <c r="D441" s="347">
        <v>15672243</v>
      </c>
      <c r="E441" s="385" t="s">
        <v>4329</v>
      </c>
      <c r="F441" s="347">
        <v>62</v>
      </c>
      <c r="G441" s="347" t="s">
        <v>4307</v>
      </c>
      <c r="H441" s="348" t="s">
        <v>4308</v>
      </c>
      <c r="I441" s="351" t="s">
        <v>4330</v>
      </c>
      <c r="J441" s="389" t="s">
        <v>4309</v>
      </c>
      <c r="K441" s="44">
        <v>46106</v>
      </c>
      <c r="L441" s="43" t="s">
        <v>2164</v>
      </c>
      <c r="M441" s="43" t="s">
        <v>312</v>
      </c>
      <c r="N441" s="43" t="s">
        <v>241</v>
      </c>
      <c r="O441" s="680">
        <v>46111</v>
      </c>
      <c r="P441" s="242" t="s">
        <v>4310</v>
      </c>
      <c r="Q441" s="471" t="s">
        <v>358</v>
      </c>
    </row>
    <row r="442" spans="1:35">
      <c r="A442" s="43"/>
      <c r="B442" s="156">
        <v>440</v>
      </c>
      <c r="C442" s="43">
        <v>97773</v>
      </c>
      <c r="D442" s="347">
        <v>15634548</v>
      </c>
      <c r="E442" s="385" t="s">
        <v>4331</v>
      </c>
      <c r="F442" s="347">
        <v>65</v>
      </c>
      <c r="G442" s="347" t="s">
        <v>4307</v>
      </c>
      <c r="H442" s="348" t="s">
        <v>4308</v>
      </c>
      <c r="I442" s="400">
        <v>967329498</v>
      </c>
      <c r="J442" s="389" t="s">
        <v>4309</v>
      </c>
      <c r="K442" s="44">
        <v>46106</v>
      </c>
      <c r="L442" s="43" t="s">
        <v>4332</v>
      </c>
      <c r="M442" s="43" t="s">
        <v>312</v>
      </c>
      <c r="N442" s="43" t="s">
        <v>241</v>
      </c>
      <c r="O442" s="680">
        <v>46111</v>
      </c>
      <c r="P442" s="242" t="s">
        <v>4310</v>
      </c>
      <c r="Q442" s="471" t="s">
        <v>358</v>
      </c>
    </row>
    <row r="443" spans="1:35" ht="24.75">
      <c r="A443" s="43"/>
      <c r="B443" s="156">
        <v>441</v>
      </c>
      <c r="C443" s="43">
        <v>78753</v>
      </c>
      <c r="D443" s="347">
        <v>15681173</v>
      </c>
      <c r="E443" s="385" t="s">
        <v>4333</v>
      </c>
      <c r="F443" s="347">
        <v>59</v>
      </c>
      <c r="G443" s="347" t="s">
        <v>4307</v>
      </c>
      <c r="H443" s="348" t="s">
        <v>4308</v>
      </c>
      <c r="I443" s="400" t="s">
        <v>4334</v>
      </c>
      <c r="J443" s="389" t="s">
        <v>4309</v>
      </c>
      <c r="K443" s="44">
        <v>46106</v>
      </c>
      <c r="L443" s="43" t="s">
        <v>576</v>
      </c>
      <c r="M443" s="43" t="s">
        <v>260</v>
      </c>
      <c r="N443" s="43" t="s">
        <v>4335</v>
      </c>
      <c r="O443" s="680">
        <v>46111</v>
      </c>
      <c r="P443" s="242" t="s">
        <v>4310</v>
      </c>
      <c r="Q443" s="875" t="s">
        <v>358</v>
      </c>
    </row>
    <row r="444" spans="1:35">
      <c r="A444" s="43"/>
      <c r="B444" s="156">
        <v>442</v>
      </c>
      <c r="C444" s="43">
        <v>108658</v>
      </c>
      <c r="D444" s="43">
        <v>15741525</v>
      </c>
      <c r="E444" s="156" t="s">
        <v>4336</v>
      </c>
      <c r="F444" s="43">
        <v>62</v>
      </c>
      <c r="G444" s="43" t="s">
        <v>237</v>
      </c>
      <c r="H444" s="43" t="s">
        <v>288</v>
      </c>
      <c r="I444" s="224">
        <v>953228054</v>
      </c>
      <c r="J444" s="387" t="s">
        <v>742</v>
      </c>
      <c r="K444" s="44">
        <v>46106</v>
      </c>
      <c r="L444" s="43" t="s">
        <v>4337</v>
      </c>
      <c r="M444" s="43" t="s">
        <v>312</v>
      </c>
      <c r="N444" s="43" t="s">
        <v>1199</v>
      </c>
      <c r="O444" s="463">
        <v>46108</v>
      </c>
      <c r="P444" s="732" t="s">
        <v>4145</v>
      </c>
      <c r="Q444" s="91"/>
      <c r="R444" s="91"/>
      <c r="S444" s="91"/>
      <c r="T444" s="91"/>
      <c r="U444" s="91"/>
      <c r="V444" s="91"/>
      <c r="W444" s="91"/>
      <c r="X444" s="91"/>
      <c r="Y444" s="91"/>
      <c r="Z444" s="91"/>
      <c r="AA444" s="91"/>
      <c r="AB444" s="91"/>
      <c r="AC444" s="91"/>
      <c r="AD444" s="91"/>
      <c r="AE444" s="91"/>
      <c r="AF444" s="91"/>
      <c r="AG444" s="91"/>
      <c r="AH444" s="91"/>
      <c r="AI444" s="91"/>
    </row>
    <row r="445" spans="1:35">
      <c r="A445" s="206"/>
      <c r="B445" s="156">
        <v>443</v>
      </c>
      <c r="C445" s="43">
        <v>65832</v>
      </c>
      <c r="D445" s="43">
        <v>15600392</v>
      </c>
      <c r="E445" s="156" t="s">
        <v>4338</v>
      </c>
      <c r="F445" s="43">
        <v>63</v>
      </c>
      <c r="G445" s="347" t="s">
        <v>4307</v>
      </c>
      <c r="H445" s="43" t="s">
        <v>4308</v>
      </c>
      <c r="I445" s="393">
        <v>943705108</v>
      </c>
      <c r="J445" s="389" t="s">
        <v>4309</v>
      </c>
      <c r="K445" s="44">
        <v>46106</v>
      </c>
      <c r="L445" s="43" t="s">
        <v>4339</v>
      </c>
      <c r="M445" s="43" t="s">
        <v>312</v>
      </c>
      <c r="N445" s="43" t="s">
        <v>1199</v>
      </c>
      <c r="O445" s="680">
        <v>46111</v>
      </c>
      <c r="P445" s="242" t="s">
        <v>4310</v>
      </c>
      <c r="Q445" s="877" t="s">
        <v>358</v>
      </c>
    </row>
    <row r="446" spans="1:35">
      <c r="A446" s="206"/>
      <c r="B446" s="156">
        <v>444</v>
      </c>
      <c r="C446" s="43">
        <v>78817</v>
      </c>
      <c r="D446" s="43">
        <v>42600444</v>
      </c>
      <c r="E446" s="156" t="s">
        <v>4340</v>
      </c>
      <c r="F446" s="43">
        <v>45</v>
      </c>
      <c r="G446" s="347" t="s">
        <v>4307</v>
      </c>
      <c r="H446" s="43" t="s">
        <v>4308</v>
      </c>
      <c r="I446" s="393">
        <v>976319348</v>
      </c>
      <c r="J446" s="389" t="s">
        <v>4309</v>
      </c>
      <c r="K446" s="44">
        <v>46106</v>
      </c>
      <c r="L446" s="43" t="s">
        <v>4341</v>
      </c>
      <c r="M446" s="43" t="s">
        <v>230</v>
      </c>
      <c r="N446" s="43" t="s">
        <v>4335</v>
      </c>
      <c r="O446" s="680">
        <v>46111</v>
      </c>
      <c r="P446" s="242" t="s">
        <v>4310</v>
      </c>
      <c r="Q446" s="471" t="s">
        <v>358</v>
      </c>
    </row>
    <row r="447" spans="1:35">
      <c r="A447" s="206"/>
      <c r="B447" s="156">
        <v>445</v>
      </c>
      <c r="C447" s="43">
        <v>524296</v>
      </c>
      <c r="D447" s="43">
        <v>40673350</v>
      </c>
      <c r="E447" s="156" t="s">
        <v>4342</v>
      </c>
      <c r="F447" s="43">
        <v>46</v>
      </c>
      <c r="G447" s="43" t="s">
        <v>4343</v>
      </c>
      <c r="H447" s="43" t="s">
        <v>461</v>
      </c>
      <c r="I447" s="393" t="s">
        <v>4344</v>
      </c>
      <c r="J447" s="387" t="s">
        <v>162</v>
      </c>
      <c r="K447" s="44">
        <v>46106</v>
      </c>
      <c r="L447" s="43" t="s">
        <v>584</v>
      </c>
      <c r="M447" s="43" t="s">
        <v>260</v>
      </c>
      <c r="N447" s="43" t="s">
        <v>4335</v>
      </c>
      <c r="O447" s="680">
        <v>46111</v>
      </c>
      <c r="P447" s="253" t="s">
        <v>4345</v>
      </c>
      <c r="Q447" s="875" t="s">
        <v>358</v>
      </c>
    </row>
    <row r="448" spans="1:35">
      <c r="A448" s="206"/>
      <c r="B448" s="156">
        <v>446</v>
      </c>
      <c r="C448" s="43">
        <v>290902</v>
      </c>
      <c r="D448" s="43">
        <v>43440407</v>
      </c>
      <c r="E448" s="156" t="s">
        <v>4346</v>
      </c>
      <c r="F448" s="43">
        <v>40</v>
      </c>
      <c r="G448" s="43" t="s">
        <v>4347</v>
      </c>
      <c r="H448" s="43" t="s">
        <v>278</v>
      </c>
      <c r="I448" s="393">
        <v>996237499</v>
      </c>
      <c r="J448" s="387" t="s">
        <v>238</v>
      </c>
      <c r="K448" s="44">
        <v>46106</v>
      </c>
      <c r="L448" s="43" t="s">
        <v>584</v>
      </c>
      <c r="M448" s="43" t="s">
        <v>230</v>
      </c>
      <c r="N448" s="43" t="s">
        <v>4335</v>
      </c>
      <c r="O448" s="463">
        <v>46108</v>
      </c>
      <c r="P448" s="874" t="s">
        <v>4348</v>
      </c>
      <c r="Q448" s="91"/>
      <c r="R448" s="91"/>
      <c r="S448" s="91"/>
      <c r="T448" s="91"/>
      <c r="U448" s="91"/>
      <c r="V448" s="91"/>
      <c r="W448" s="91"/>
      <c r="X448" s="91"/>
      <c r="Y448" s="91"/>
      <c r="Z448" s="91"/>
      <c r="AA448" s="91"/>
      <c r="AB448" s="91"/>
      <c r="AC448" s="91"/>
      <c r="AD448" s="91"/>
      <c r="AE448" s="91"/>
      <c r="AF448" s="91"/>
      <c r="AG448" s="91"/>
      <c r="AH448" s="91"/>
      <c r="AI448" s="91"/>
    </row>
    <row r="449" spans="1:35">
      <c r="A449" s="262" t="s">
        <v>513</v>
      </c>
      <c r="B449" s="156">
        <v>447</v>
      </c>
      <c r="C449" s="43">
        <v>524302</v>
      </c>
      <c r="D449" s="43">
        <v>41292299</v>
      </c>
      <c r="E449" s="156" t="s">
        <v>4349</v>
      </c>
      <c r="F449" s="43">
        <v>44</v>
      </c>
      <c r="G449" s="43" t="s">
        <v>4350</v>
      </c>
      <c r="H449" s="43" t="s">
        <v>461</v>
      </c>
      <c r="I449" s="320">
        <v>980222858</v>
      </c>
      <c r="J449" s="43" t="s">
        <v>162</v>
      </c>
      <c r="K449" s="44">
        <v>46106</v>
      </c>
      <c r="L449" s="43" t="s">
        <v>4351</v>
      </c>
      <c r="M449" s="43" t="s">
        <v>260</v>
      </c>
      <c r="N449" s="43" t="s">
        <v>4335</v>
      </c>
      <c r="O449" s="680">
        <v>46111</v>
      </c>
      <c r="P449" s="253" t="s">
        <v>4345</v>
      </c>
      <c r="Q449" s="879" t="s">
        <v>358</v>
      </c>
    </row>
    <row r="450" spans="1:35">
      <c r="A450" s="43"/>
      <c r="B450" s="156">
        <v>448</v>
      </c>
      <c r="C450" s="43">
        <v>91901</v>
      </c>
      <c r="D450" s="406">
        <v>15718837</v>
      </c>
      <c r="E450" s="62" t="s">
        <v>4352</v>
      </c>
      <c r="F450" s="213">
        <v>59</v>
      </c>
      <c r="G450" s="213" t="s">
        <v>4353</v>
      </c>
      <c r="H450" s="213" t="s">
        <v>1764</v>
      </c>
      <c r="I450" s="339">
        <v>979556186</v>
      </c>
      <c r="J450" s="43" t="s">
        <v>1527</v>
      </c>
      <c r="K450" s="44">
        <v>46106</v>
      </c>
      <c r="L450" s="43" t="s">
        <v>4354</v>
      </c>
      <c r="M450" s="43" t="s">
        <v>260</v>
      </c>
      <c r="N450" s="43" t="s">
        <v>4335</v>
      </c>
      <c r="O450" s="463">
        <v>46108</v>
      </c>
      <c r="P450" s="224" t="s">
        <v>4355</v>
      </c>
      <c r="Q450" s="91"/>
      <c r="R450" s="91"/>
      <c r="S450" s="91"/>
      <c r="T450" s="91"/>
      <c r="U450" s="91"/>
      <c r="V450" s="91"/>
      <c r="W450" s="91"/>
      <c r="X450" s="91"/>
      <c r="Y450" s="91"/>
      <c r="Z450" s="91"/>
      <c r="AA450" s="91"/>
      <c r="AB450" s="91"/>
      <c r="AC450" s="91"/>
      <c r="AD450" s="91"/>
      <c r="AE450" s="91"/>
      <c r="AF450" s="91"/>
      <c r="AG450" s="91"/>
      <c r="AH450" s="91"/>
      <c r="AI450" s="91"/>
    </row>
    <row r="451" spans="1:35">
      <c r="A451" s="43"/>
      <c r="B451" s="156">
        <v>449</v>
      </c>
      <c r="C451" s="43">
        <v>325766</v>
      </c>
      <c r="D451" s="406">
        <v>41438580</v>
      </c>
      <c r="E451" s="62" t="s">
        <v>4356</v>
      </c>
      <c r="F451" s="213">
        <v>43</v>
      </c>
      <c r="G451" s="213" t="s">
        <v>4357</v>
      </c>
      <c r="H451" s="213" t="s">
        <v>1764</v>
      </c>
      <c r="I451" s="339">
        <v>993754589</v>
      </c>
      <c r="J451" s="43" t="s">
        <v>1527</v>
      </c>
      <c r="K451" s="44">
        <v>46106</v>
      </c>
      <c r="L451" s="43" t="s">
        <v>4358</v>
      </c>
      <c r="M451" s="43" t="s">
        <v>260</v>
      </c>
      <c r="N451" s="43" t="s">
        <v>4335</v>
      </c>
      <c r="O451" s="463">
        <v>46108</v>
      </c>
      <c r="P451" s="224" t="s">
        <v>4355</v>
      </c>
      <c r="Q451" s="91"/>
      <c r="R451" s="91"/>
      <c r="S451" s="91"/>
      <c r="T451" s="91"/>
      <c r="U451" s="91"/>
      <c r="V451" s="91"/>
      <c r="W451" s="91"/>
      <c r="X451" s="91"/>
      <c r="Y451" s="91"/>
      <c r="Z451" s="91"/>
      <c r="AA451" s="91"/>
      <c r="AB451" s="91"/>
      <c r="AC451" s="91"/>
      <c r="AD451" s="91"/>
      <c r="AE451" s="91"/>
      <c r="AF451" s="91"/>
      <c r="AG451" s="91"/>
      <c r="AH451" s="91"/>
      <c r="AI451" s="91"/>
    </row>
    <row r="452" spans="1:35">
      <c r="A452" s="407"/>
      <c r="B452" s="156">
        <v>450</v>
      </c>
      <c r="C452" s="43">
        <v>524301</v>
      </c>
      <c r="D452" s="43">
        <v>40721528</v>
      </c>
      <c r="E452" s="156" t="s">
        <v>4359</v>
      </c>
      <c r="F452" s="43">
        <v>45</v>
      </c>
      <c r="G452" s="43" t="s">
        <v>4360</v>
      </c>
      <c r="H452" s="43" t="s">
        <v>461</v>
      </c>
      <c r="I452" s="320">
        <v>974462323</v>
      </c>
      <c r="J452" s="43" t="s">
        <v>162</v>
      </c>
      <c r="K452" s="44">
        <v>46106</v>
      </c>
      <c r="L452" s="43" t="s">
        <v>4361</v>
      </c>
      <c r="M452" s="43" t="s">
        <v>323</v>
      </c>
      <c r="N452" s="43" t="s">
        <v>4335</v>
      </c>
      <c r="O452" s="680">
        <v>46111</v>
      </c>
      <c r="P452" s="253" t="s">
        <v>4345</v>
      </c>
      <c r="Q452" s="879" t="s">
        <v>358</v>
      </c>
    </row>
    <row r="453" spans="1:35">
      <c r="A453" s="43"/>
      <c r="B453" s="156">
        <v>451</v>
      </c>
      <c r="C453" s="43">
        <v>177416</v>
      </c>
      <c r="D453" s="406">
        <v>46375150</v>
      </c>
      <c r="E453" s="62" t="s">
        <v>4362</v>
      </c>
      <c r="F453" s="213">
        <v>43</v>
      </c>
      <c r="G453" s="213" t="s">
        <v>4363</v>
      </c>
      <c r="H453" s="213" t="s">
        <v>222</v>
      </c>
      <c r="I453" s="339">
        <v>988333173</v>
      </c>
      <c r="J453" s="43" t="s">
        <v>588</v>
      </c>
      <c r="K453" s="44">
        <v>46106</v>
      </c>
      <c r="L453" s="43" t="s">
        <v>458</v>
      </c>
      <c r="M453" s="43" t="s">
        <v>260</v>
      </c>
      <c r="N453" s="43" t="s">
        <v>4335</v>
      </c>
      <c r="O453" s="463">
        <v>46111</v>
      </c>
      <c r="P453" s="224" t="s">
        <v>4364</v>
      </c>
      <c r="Q453" s="91"/>
      <c r="R453" s="91"/>
      <c r="S453" s="91"/>
      <c r="T453" s="91"/>
      <c r="U453" s="91"/>
      <c r="V453" s="91"/>
      <c r="W453" s="91"/>
      <c r="X453" s="91"/>
      <c r="Y453" s="91"/>
      <c r="Z453" s="91"/>
      <c r="AA453" s="91"/>
      <c r="AB453" s="91"/>
      <c r="AC453" s="91"/>
      <c r="AD453" s="91"/>
      <c r="AE453" s="91"/>
      <c r="AF453" s="91"/>
      <c r="AG453" s="91"/>
      <c r="AH453" s="91"/>
      <c r="AI453" s="91"/>
    </row>
    <row r="454" spans="1:35">
      <c r="A454" s="43"/>
      <c r="B454" s="156">
        <v>452</v>
      </c>
      <c r="C454" s="112">
        <v>524303</v>
      </c>
      <c r="D454" s="408">
        <v>15862644</v>
      </c>
      <c r="E454" s="62" t="s">
        <v>4365</v>
      </c>
      <c r="F454" s="213">
        <v>49</v>
      </c>
      <c r="G454" s="409" t="s">
        <v>4366</v>
      </c>
      <c r="H454" s="410" t="s">
        <v>2724</v>
      </c>
      <c r="I454" s="327">
        <v>976937147</v>
      </c>
      <c r="J454" s="43" t="s">
        <v>4041</v>
      </c>
      <c r="K454" s="44">
        <v>46106</v>
      </c>
      <c r="L454" s="43" t="s">
        <v>458</v>
      </c>
      <c r="M454" s="43" t="s">
        <v>260</v>
      </c>
      <c r="N454" s="43" t="s">
        <v>4335</v>
      </c>
      <c r="O454" s="680">
        <v>46111</v>
      </c>
      <c r="P454" s="242" t="s">
        <v>4131</v>
      </c>
      <c r="Q454" s="877" t="s">
        <v>358</v>
      </c>
    </row>
    <row r="455" spans="1:35">
      <c r="A455" s="244"/>
      <c r="B455" s="156">
        <v>453</v>
      </c>
      <c r="C455" s="43">
        <v>460850</v>
      </c>
      <c r="D455" s="326">
        <v>16020770</v>
      </c>
      <c r="E455" s="411" t="s">
        <v>4367</v>
      </c>
      <c r="F455" s="43">
        <v>48</v>
      </c>
      <c r="G455" s="213" t="s">
        <v>4368</v>
      </c>
      <c r="H455" s="43" t="s">
        <v>271</v>
      </c>
      <c r="I455" s="327">
        <v>991551651</v>
      </c>
      <c r="J455" s="43" t="s">
        <v>164</v>
      </c>
      <c r="K455" s="44">
        <v>46106</v>
      </c>
      <c r="L455" s="43" t="s">
        <v>683</v>
      </c>
      <c r="M455" s="43" t="s">
        <v>312</v>
      </c>
      <c r="N455" s="43" t="s">
        <v>1199</v>
      </c>
      <c r="O455" s="680">
        <v>46111</v>
      </c>
      <c r="P455" s="51" t="s">
        <v>3588</v>
      </c>
      <c r="Q455" s="471" t="s">
        <v>358</v>
      </c>
    </row>
    <row r="456" spans="1:35">
      <c r="A456" s="43"/>
      <c r="B456" s="156">
        <v>454</v>
      </c>
      <c r="C456" s="43">
        <v>524304</v>
      </c>
      <c r="D456" s="43">
        <v>41687218</v>
      </c>
      <c r="E456" s="255" t="s">
        <v>4369</v>
      </c>
      <c r="F456" s="43">
        <v>44</v>
      </c>
      <c r="G456" s="43" t="s">
        <v>4370</v>
      </c>
      <c r="H456" s="43" t="s">
        <v>911</v>
      </c>
      <c r="I456" s="257">
        <v>923950827</v>
      </c>
      <c r="J456" s="43" t="s">
        <v>421</v>
      </c>
      <c r="K456" s="44">
        <v>46106</v>
      </c>
      <c r="L456" s="43" t="s">
        <v>4371</v>
      </c>
      <c r="M456" s="43" t="s">
        <v>260</v>
      </c>
      <c r="N456" s="43" t="s">
        <v>4335</v>
      </c>
      <c r="O456" s="680">
        <v>46111</v>
      </c>
      <c r="P456" s="51" t="s">
        <v>3588</v>
      </c>
      <c r="Q456" s="471" t="s">
        <v>358</v>
      </c>
    </row>
    <row r="457" spans="1:35">
      <c r="A457" s="206"/>
      <c r="B457" s="156">
        <v>455</v>
      </c>
      <c r="C457" s="43">
        <v>524306</v>
      </c>
      <c r="D457" s="43">
        <v>16018342</v>
      </c>
      <c r="E457" s="156" t="s">
        <v>4372</v>
      </c>
      <c r="F457" s="43">
        <v>48</v>
      </c>
      <c r="G457" s="43" t="s">
        <v>4373</v>
      </c>
      <c r="H457" s="43" t="s">
        <v>461</v>
      </c>
      <c r="I457" s="320">
        <v>941334925</v>
      </c>
      <c r="J457" s="43" t="s">
        <v>162</v>
      </c>
      <c r="K457" s="44">
        <v>46106</v>
      </c>
      <c r="L457" s="43" t="s">
        <v>4374</v>
      </c>
      <c r="M457" s="43" t="s">
        <v>230</v>
      </c>
      <c r="N457" s="43" t="s">
        <v>4335</v>
      </c>
      <c r="O457" s="680">
        <v>46111</v>
      </c>
      <c r="P457" s="253" t="s">
        <v>4345</v>
      </c>
      <c r="Q457" s="875" t="s">
        <v>358</v>
      </c>
    </row>
    <row r="458" spans="1:35">
      <c r="A458" s="206"/>
      <c r="B458" s="156">
        <v>456</v>
      </c>
      <c r="C458" s="43">
        <v>161040</v>
      </c>
      <c r="D458" s="43">
        <v>32386816</v>
      </c>
      <c r="E458" s="156" t="s">
        <v>4375</v>
      </c>
      <c r="F458" s="43">
        <v>60</v>
      </c>
      <c r="G458" s="43" t="s">
        <v>4376</v>
      </c>
      <c r="H458" s="43" t="s">
        <v>278</v>
      </c>
      <c r="I458" s="320">
        <v>989866586</v>
      </c>
      <c r="J458" s="43" t="s">
        <v>238</v>
      </c>
      <c r="K458" s="44">
        <v>46106</v>
      </c>
      <c r="L458" s="43" t="s">
        <v>683</v>
      </c>
      <c r="M458" s="43" t="s">
        <v>312</v>
      </c>
      <c r="N458" s="43" t="s">
        <v>4335</v>
      </c>
      <c r="O458" s="680">
        <v>46111</v>
      </c>
      <c r="P458" s="732"/>
      <c r="Q458" s="91"/>
      <c r="R458" s="91"/>
      <c r="S458" s="91"/>
      <c r="T458" s="91"/>
      <c r="U458" s="91"/>
      <c r="V458" s="91"/>
      <c r="W458" s="91"/>
      <c r="X458" s="91"/>
      <c r="Y458" s="91"/>
      <c r="Z458" s="91"/>
      <c r="AA458" s="91"/>
      <c r="AB458" s="91"/>
      <c r="AC458" s="91"/>
      <c r="AD458" s="91"/>
      <c r="AE458" s="91"/>
      <c r="AF458" s="91"/>
      <c r="AG458" s="91"/>
      <c r="AH458" s="91"/>
      <c r="AI458" s="91"/>
    </row>
    <row r="459" spans="1:35">
      <c r="A459" s="131">
        <v>46107</v>
      </c>
      <c r="B459" s="156">
        <v>457</v>
      </c>
      <c r="C459" s="43">
        <v>16811</v>
      </c>
      <c r="D459" s="320">
        <v>15727294</v>
      </c>
      <c r="E459" s="648" t="s">
        <v>4377</v>
      </c>
      <c r="F459" s="42">
        <v>54</v>
      </c>
      <c r="G459" s="43" t="s">
        <v>4378</v>
      </c>
      <c r="H459" s="43" t="s">
        <v>278</v>
      </c>
      <c r="I459" s="320">
        <v>987000930</v>
      </c>
      <c r="J459" s="43" t="s">
        <v>238</v>
      </c>
      <c r="K459" s="44">
        <v>46107</v>
      </c>
      <c r="L459" s="43" t="s">
        <v>3305</v>
      </c>
      <c r="M459" s="43" t="s">
        <v>323</v>
      </c>
      <c r="N459" s="43" t="s">
        <v>3370</v>
      </c>
      <c r="O459" s="649">
        <v>46111</v>
      </c>
      <c r="P459" s="224"/>
      <c r="Q459" s="91"/>
      <c r="R459" s="91"/>
      <c r="S459" s="91"/>
      <c r="T459" s="91"/>
      <c r="U459" s="91"/>
      <c r="V459" s="91"/>
      <c r="W459" s="91"/>
      <c r="X459" s="91"/>
      <c r="Y459" s="91"/>
      <c r="Z459" s="91"/>
      <c r="AA459" s="91"/>
      <c r="AB459" s="91"/>
      <c r="AC459" s="91"/>
      <c r="AD459" s="91"/>
      <c r="AE459" s="91"/>
      <c r="AF459" s="91"/>
      <c r="AG459" s="91"/>
      <c r="AH459" s="91"/>
      <c r="AI459" s="91"/>
    </row>
    <row r="460" spans="1:35">
      <c r="A460" s="43"/>
      <c r="B460" s="156">
        <v>458</v>
      </c>
      <c r="C460" s="43">
        <v>52709</v>
      </c>
      <c r="D460" s="320">
        <v>15729135</v>
      </c>
      <c r="E460" s="648" t="s">
        <v>4379</v>
      </c>
      <c r="F460" s="42">
        <v>53</v>
      </c>
      <c r="G460" s="43" t="s">
        <v>4380</v>
      </c>
      <c r="H460" s="43" t="s">
        <v>278</v>
      </c>
      <c r="I460" s="320">
        <v>948372481</v>
      </c>
      <c r="J460" s="43" t="s">
        <v>238</v>
      </c>
      <c r="K460" s="44">
        <v>46107</v>
      </c>
      <c r="L460" s="43" t="s">
        <v>584</v>
      </c>
      <c r="M460" s="43" t="s">
        <v>260</v>
      </c>
      <c r="N460" s="43" t="s">
        <v>241</v>
      </c>
      <c r="O460" s="649">
        <v>46111</v>
      </c>
      <c r="P460" s="224"/>
      <c r="Q460" s="91"/>
      <c r="R460" s="91"/>
      <c r="S460" s="91"/>
      <c r="T460" s="91"/>
      <c r="U460" s="91"/>
      <c r="V460" s="91"/>
      <c r="W460" s="91"/>
      <c r="X460" s="91"/>
      <c r="Y460" s="91"/>
      <c r="Z460" s="91"/>
      <c r="AA460" s="91"/>
      <c r="AB460" s="91"/>
      <c r="AC460" s="91"/>
      <c r="AD460" s="91"/>
      <c r="AE460" s="91"/>
      <c r="AF460" s="91"/>
      <c r="AG460" s="91"/>
      <c r="AH460" s="91"/>
      <c r="AI460" s="91"/>
    </row>
    <row r="461" spans="1:35">
      <c r="A461" s="43"/>
      <c r="B461" s="156">
        <v>459</v>
      </c>
      <c r="C461" s="43">
        <v>131341</v>
      </c>
      <c r="D461" s="320">
        <v>40252148</v>
      </c>
      <c r="E461" s="648" t="s">
        <v>4381</v>
      </c>
      <c r="F461" s="42">
        <v>47</v>
      </c>
      <c r="G461" s="43" t="s">
        <v>4382</v>
      </c>
      <c r="H461" s="43" t="s">
        <v>246</v>
      </c>
      <c r="I461" s="320">
        <v>951600536</v>
      </c>
      <c r="J461" s="43" t="s">
        <v>238</v>
      </c>
      <c r="K461" s="44">
        <v>46107</v>
      </c>
      <c r="L461" s="43" t="s">
        <v>576</v>
      </c>
      <c r="M461" s="43" t="s">
        <v>260</v>
      </c>
      <c r="N461" s="43" t="s">
        <v>241</v>
      </c>
      <c r="O461" s="649">
        <v>46111</v>
      </c>
      <c r="P461" s="224"/>
      <c r="Q461" s="91"/>
      <c r="R461" s="91"/>
      <c r="S461" s="91"/>
      <c r="T461" s="91"/>
      <c r="U461" s="91"/>
      <c r="V461" s="91"/>
      <c r="W461" s="91"/>
      <c r="X461" s="91"/>
      <c r="Y461" s="91"/>
      <c r="Z461" s="91"/>
      <c r="AA461" s="91"/>
      <c r="AB461" s="91"/>
      <c r="AC461" s="91"/>
      <c r="AD461" s="91"/>
      <c r="AE461" s="91"/>
      <c r="AF461" s="91"/>
      <c r="AG461" s="91"/>
      <c r="AH461" s="91"/>
      <c r="AI461" s="91"/>
    </row>
    <row r="462" spans="1:35">
      <c r="A462" s="43"/>
      <c r="B462" s="156">
        <v>460</v>
      </c>
      <c r="C462" s="43">
        <v>263929</v>
      </c>
      <c r="D462" s="650">
        <v>43707496</v>
      </c>
      <c r="E462" s="651" t="s">
        <v>4383</v>
      </c>
      <c r="F462" s="652">
        <v>41</v>
      </c>
      <c r="G462" s="653" t="s">
        <v>4384</v>
      </c>
      <c r="H462" s="654" t="s">
        <v>237</v>
      </c>
      <c r="I462" s="655">
        <v>934171085</v>
      </c>
      <c r="J462" s="43" t="s">
        <v>223</v>
      </c>
      <c r="K462" s="44">
        <v>46107</v>
      </c>
      <c r="L462" s="43" t="s">
        <v>584</v>
      </c>
      <c r="M462" s="49" t="s">
        <v>230</v>
      </c>
      <c r="N462" s="49" t="s">
        <v>3253</v>
      </c>
      <c r="O462" s="448">
        <v>46111</v>
      </c>
      <c r="P462" s="732" t="s">
        <v>4385</v>
      </c>
      <c r="Q462" s="91"/>
      <c r="R462" s="91"/>
      <c r="S462" s="91"/>
      <c r="T462" s="91"/>
      <c r="U462" s="91"/>
      <c r="V462" s="91"/>
      <c r="W462" s="91"/>
      <c r="X462" s="91"/>
      <c r="Y462" s="91"/>
      <c r="Z462" s="91"/>
      <c r="AA462" s="91"/>
      <c r="AB462" s="91"/>
      <c r="AC462" s="91"/>
      <c r="AD462" s="91"/>
      <c r="AE462" s="91"/>
      <c r="AF462" s="91"/>
      <c r="AG462" s="91"/>
      <c r="AH462" s="91"/>
      <c r="AI462" s="91"/>
    </row>
    <row r="463" spans="1:35">
      <c r="A463" s="43"/>
      <c r="B463" s="156">
        <v>461</v>
      </c>
      <c r="C463" s="43">
        <v>264810</v>
      </c>
      <c r="D463" s="320">
        <v>40844255</v>
      </c>
      <c r="E463" s="648" t="s">
        <v>4386</v>
      </c>
      <c r="F463" s="42">
        <v>45</v>
      </c>
      <c r="G463" s="43" t="s">
        <v>4387</v>
      </c>
      <c r="H463" s="43" t="s">
        <v>278</v>
      </c>
      <c r="I463" s="320">
        <v>960822637</v>
      </c>
      <c r="J463" s="43" t="s">
        <v>238</v>
      </c>
      <c r="K463" s="44">
        <v>46107</v>
      </c>
      <c r="L463" s="43" t="s">
        <v>4388</v>
      </c>
      <c r="M463" s="43" t="s">
        <v>260</v>
      </c>
      <c r="N463" s="43" t="s">
        <v>241</v>
      </c>
      <c r="O463" s="649">
        <v>46111</v>
      </c>
      <c r="P463" s="224"/>
      <c r="Q463" s="91"/>
      <c r="R463" s="91"/>
      <c r="S463" s="91"/>
      <c r="T463" s="91"/>
      <c r="U463" s="91"/>
      <c r="V463" s="91"/>
      <c r="W463" s="91"/>
      <c r="X463" s="91"/>
      <c r="Y463" s="91"/>
      <c r="Z463" s="91"/>
      <c r="AA463" s="91"/>
      <c r="AB463" s="91"/>
      <c r="AC463" s="91"/>
      <c r="AD463" s="91"/>
      <c r="AE463" s="91"/>
      <c r="AF463" s="91"/>
      <c r="AG463" s="91"/>
      <c r="AH463" s="91"/>
      <c r="AI463" s="91"/>
    </row>
    <row r="464" spans="1:35">
      <c r="A464" s="43"/>
      <c r="B464" s="156">
        <v>462</v>
      </c>
      <c r="C464" s="43">
        <v>175461</v>
      </c>
      <c r="D464" s="656">
        <v>43831846</v>
      </c>
      <c r="E464" s="657" t="s">
        <v>4389</v>
      </c>
      <c r="F464" s="658">
        <v>62</v>
      </c>
      <c r="G464" s="659" t="s">
        <v>4390</v>
      </c>
      <c r="H464" s="660" t="s">
        <v>278</v>
      </c>
      <c r="I464" s="661">
        <v>913803622</v>
      </c>
      <c r="J464" s="43" t="s">
        <v>238</v>
      </c>
      <c r="K464" s="44">
        <v>46107</v>
      </c>
      <c r="L464" s="43" t="s">
        <v>584</v>
      </c>
      <c r="M464" s="43" t="s">
        <v>230</v>
      </c>
      <c r="N464" s="43" t="s">
        <v>241</v>
      </c>
      <c r="O464" s="649">
        <v>46111</v>
      </c>
      <c r="P464" s="224"/>
      <c r="Q464" s="897" t="s">
        <v>4206</v>
      </c>
      <c r="R464" s="91"/>
      <c r="S464" s="91"/>
      <c r="T464" s="91"/>
      <c r="U464" s="91"/>
      <c r="V464" s="91"/>
      <c r="W464" s="91"/>
      <c r="X464" s="91"/>
      <c r="Y464" s="91"/>
      <c r="Z464" s="91"/>
      <c r="AA464" s="91"/>
      <c r="AB464" s="91"/>
      <c r="AC464" s="91"/>
      <c r="AD464" s="91"/>
      <c r="AE464" s="91"/>
      <c r="AF464" s="91"/>
      <c r="AG464" s="91"/>
      <c r="AH464" s="91"/>
      <c r="AI464" s="91"/>
    </row>
    <row r="465" spans="1:35">
      <c r="A465" s="43"/>
      <c r="B465" s="156">
        <v>463</v>
      </c>
      <c r="C465" s="43">
        <v>174297</v>
      </c>
      <c r="D465" s="320">
        <v>40859838</v>
      </c>
      <c r="E465" s="648" t="s">
        <v>4391</v>
      </c>
      <c r="F465" s="42">
        <v>44</v>
      </c>
      <c r="G465" s="43" t="s">
        <v>4392</v>
      </c>
      <c r="H465" s="43" t="s">
        <v>222</v>
      </c>
      <c r="I465" s="320">
        <v>956349934</v>
      </c>
      <c r="J465" s="43" t="s">
        <v>238</v>
      </c>
      <c r="K465" s="44">
        <v>46107</v>
      </c>
      <c r="L465" s="43" t="s">
        <v>4393</v>
      </c>
      <c r="M465" s="43" t="s">
        <v>260</v>
      </c>
      <c r="N465" s="43" t="s">
        <v>241</v>
      </c>
      <c r="O465" s="649">
        <v>46111</v>
      </c>
      <c r="P465" s="224"/>
      <c r="Q465" s="897" t="s">
        <v>4206</v>
      </c>
      <c r="R465" s="91"/>
      <c r="S465" s="91"/>
      <c r="T465" s="91"/>
      <c r="U465" s="91"/>
      <c r="V465" s="91"/>
      <c r="W465" s="91"/>
      <c r="X465" s="91"/>
      <c r="Y465" s="91"/>
      <c r="Z465" s="91"/>
      <c r="AA465" s="91"/>
      <c r="AB465" s="91"/>
      <c r="AC465" s="91"/>
      <c r="AD465" s="91"/>
      <c r="AE465" s="91"/>
      <c r="AF465" s="91"/>
      <c r="AG465" s="91"/>
      <c r="AH465" s="91"/>
      <c r="AI465" s="91"/>
    </row>
    <row r="466" spans="1:35">
      <c r="A466" s="43"/>
      <c r="B466" s="156">
        <v>464</v>
      </c>
      <c r="C466" s="43">
        <v>524319</v>
      </c>
      <c r="D466" s="662">
        <v>16022948</v>
      </c>
      <c r="E466" s="663" t="s">
        <v>4394</v>
      </c>
      <c r="F466" s="664">
        <v>54</v>
      </c>
      <c r="G466" s="665" t="s">
        <v>4395</v>
      </c>
      <c r="H466" s="665" t="s">
        <v>271</v>
      </c>
      <c r="I466" s="666">
        <v>924343187</v>
      </c>
      <c r="J466" s="43" t="s">
        <v>164</v>
      </c>
      <c r="K466" s="44">
        <v>46107</v>
      </c>
      <c r="L466" s="43" t="s">
        <v>376</v>
      </c>
      <c r="M466" s="43" t="s">
        <v>230</v>
      </c>
      <c r="N466" s="43" t="s">
        <v>317</v>
      </c>
      <c r="O466" s="649">
        <v>46111</v>
      </c>
      <c r="P466" s="43"/>
      <c r="Q466" s="879" t="s">
        <v>358</v>
      </c>
    </row>
    <row r="467" spans="1:35">
      <c r="A467" s="206"/>
      <c r="B467" s="156">
        <v>465</v>
      </c>
      <c r="C467" s="43">
        <v>187302</v>
      </c>
      <c r="D467" s="320">
        <v>15641483</v>
      </c>
      <c r="E467" s="648" t="s">
        <v>4396</v>
      </c>
      <c r="F467" s="42">
        <v>49</v>
      </c>
      <c r="G467" s="43" t="s">
        <v>4397</v>
      </c>
      <c r="H467" s="43" t="s">
        <v>432</v>
      </c>
      <c r="I467" s="320">
        <v>955214869</v>
      </c>
      <c r="J467" s="43" t="s">
        <v>238</v>
      </c>
      <c r="K467" s="44">
        <v>46107</v>
      </c>
      <c r="L467" s="43" t="s">
        <v>388</v>
      </c>
      <c r="M467" s="43" t="s">
        <v>230</v>
      </c>
      <c r="N467" s="43" t="s">
        <v>241</v>
      </c>
      <c r="O467" s="649">
        <v>46111</v>
      </c>
      <c r="P467" s="732"/>
      <c r="Q467" s="91"/>
      <c r="R467" s="91"/>
      <c r="S467" s="91"/>
      <c r="T467" s="91"/>
      <c r="U467" s="91"/>
      <c r="V467" s="91"/>
      <c r="W467" s="91"/>
      <c r="X467" s="91"/>
      <c r="Y467" s="91"/>
      <c r="Z467" s="91"/>
      <c r="AA467" s="91"/>
      <c r="AB467" s="91"/>
      <c r="AC467" s="91"/>
      <c r="AD467" s="91"/>
      <c r="AE467" s="91"/>
      <c r="AF467" s="91"/>
      <c r="AG467" s="91"/>
      <c r="AH467" s="91"/>
      <c r="AI467" s="91"/>
    </row>
    <row r="468" spans="1:35">
      <c r="A468" s="43"/>
      <c r="B468" s="156">
        <v>466</v>
      </c>
      <c r="C468" s="43">
        <v>524320</v>
      </c>
      <c r="D468" s="662">
        <v>15750501</v>
      </c>
      <c r="E468" s="667" t="s">
        <v>4398</v>
      </c>
      <c r="F468" s="664">
        <v>51</v>
      </c>
      <c r="G468" s="665" t="s">
        <v>4395</v>
      </c>
      <c r="H468" s="665" t="s">
        <v>271</v>
      </c>
      <c r="I468" s="666">
        <v>910482602</v>
      </c>
      <c r="J468" s="43" t="s">
        <v>164</v>
      </c>
      <c r="K468" s="44">
        <v>46107</v>
      </c>
      <c r="L468" s="43" t="s">
        <v>376</v>
      </c>
      <c r="M468" s="43" t="s">
        <v>230</v>
      </c>
      <c r="N468" s="43" t="s">
        <v>317</v>
      </c>
      <c r="O468" s="649">
        <v>46111</v>
      </c>
      <c r="P468" s="43"/>
      <c r="Q468" s="879" t="s">
        <v>358</v>
      </c>
    </row>
    <row r="469" spans="1:35">
      <c r="A469" s="43"/>
      <c r="B469" s="156">
        <v>467</v>
      </c>
      <c r="C469" s="43">
        <v>96262</v>
      </c>
      <c r="D469" s="320">
        <v>15745152</v>
      </c>
      <c r="E469" s="648" t="s">
        <v>4399</v>
      </c>
      <c r="F469" s="42">
        <v>64</v>
      </c>
      <c r="G469" s="43" t="s">
        <v>4400</v>
      </c>
      <c r="H469" s="43" t="s">
        <v>301</v>
      </c>
      <c r="I469" s="320">
        <v>997048299</v>
      </c>
      <c r="J469" s="43" t="s">
        <v>380</v>
      </c>
      <c r="K469" s="44">
        <v>46107</v>
      </c>
      <c r="L469" s="43" t="s">
        <v>3998</v>
      </c>
      <c r="M469" s="43" t="s">
        <v>312</v>
      </c>
      <c r="N469" s="43" t="s">
        <v>4272</v>
      </c>
      <c r="O469" s="463">
        <v>46111</v>
      </c>
      <c r="P469" s="224" t="s">
        <v>4401</v>
      </c>
      <c r="Q469" s="91"/>
      <c r="R469" s="91"/>
      <c r="S469" s="91"/>
      <c r="T469" s="91"/>
      <c r="U469" s="91"/>
      <c r="V469" s="91"/>
      <c r="W469" s="91"/>
      <c r="X469" s="91"/>
      <c r="Y469" s="91"/>
      <c r="Z469" s="91"/>
      <c r="AA469" s="91"/>
      <c r="AB469" s="91"/>
      <c r="AC469" s="91"/>
      <c r="AD469" s="91"/>
      <c r="AE469" s="91"/>
      <c r="AF469" s="91"/>
      <c r="AG469" s="91"/>
      <c r="AH469" s="91"/>
      <c r="AI469" s="91"/>
    </row>
    <row r="470" spans="1:35">
      <c r="A470" s="43"/>
      <c r="B470" s="156">
        <v>468</v>
      </c>
      <c r="C470" s="43">
        <v>174388</v>
      </c>
      <c r="D470" s="320">
        <v>80283414</v>
      </c>
      <c r="E470" s="648" t="s">
        <v>4402</v>
      </c>
      <c r="F470" s="42">
        <v>56</v>
      </c>
      <c r="G470" s="43" t="s">
        <v>4403</v>
      </c>
      <c r="H470" s="43" t="s">
        <v>301</v>
      </c>
      <c r="I470" s="320">
        <v>992289091</v>
      </c>
      <c r="J470" s="43" t="s">
        <v>380</v>
      </c>
      <c r="K470" s="44">
        <v>46107</v>
      </c>
      <c r="L470" s="43" t="s">
        <v>516</v>
      </c>
      <c r="M470" s="43" t="s">
        <v>312</v>
      </c>
      <c r="N470" s="43" t="s">
        <v>4272</v>
      </c>
      <c r="O470" s="463">
        <v>46111</v>
      </c>
      <c r="P470" s="224" t="s">
        <v>4401</v>
      </c>
      <c r="Q470" s="91"/>
      <c r="R470" s="91"/>
      <c r="S470" s="91"/>
      <c r="T470" s="91"/>
      <c r="U470" s="91"/>
      <c r="V470" s="91"/>
      <c r="W470" s="91"/>
      <c r="X470" s="91"/>
      <c r="Y470" s="91"/>
      <c r="Z470" s="91"/>
      <c r="AA470" s="91"/>
      <c r="AB470" s="91"/>
      <c r="AC470" s="91"/>
      <c r="AD470" s="91"/>
      <c r="AE470" s="91"/>
      <c r="AF470" s="91"/>
      <c r="AG470" s="91"/>
      <c r="AH470" s="91"/>
      <c r="AI470" s="91"/>
    </row>
    <row r="471" spans="1:35">
      <c r="A471" s="43"/>
      <c r="B471" s="156">
        <v>469</v>
      </c>
      <c r="C471" s="43">
        <v>243657</v>
      </c>
      <c r="D471" s="320">
        <v>80257811</v>
      </c>
      <c r="E471" s="648" t="s">
        <v>4404</v>
      </c>
      <c r="F471" s="42">
        <v>57</v>
      </c>
      <c r="G471" s="43" t="s">
        <v>4405</v>
      </c>
      <c r="H471" s="43" t="s">
        <v>301</v>
      </c>
      <c r="I471" s="320">
        <v>942818605</v>
      </c>
      <c r="J471" s="43" t="s">
        <v>380</v>
      </c>
      <c r="K471" s="44">
        <v>46107</v>
      </c>
      <c r="L471" s="43" t="s">
        <v>388</v>
      </c>
      <c r="M471" s="43" t="s">
        <v>230</v>
      </c>
      <c r="N471" s="43" t="s">
        <v>241</v>
      </c>
      <c r="O471" s="463">
        <v>46111</v>
      </c>
      <c r="P471" s="224" t="s">
        <v>4401</v>
      </c>
      <c r="Q471" s="91"/>
      <c r="R471" s="91"/>
      <c r="S471" s="91"/>
      <c r="T471" s="91"/>
      <c r="U471" s="91"/>
      <c r="V471" s="91"/>
      <c r="W471" s="91"/>
      <c r="X471" s="91"/>
      <c r="Y471" s="91"/>
      <c r="Z471" s="91"/>
      <c r="AA471" s="91"/>
      <c r="AB471" s="91"/>
      <c r="AC471" s="91"/>
      <c r="AD471" s="91"/>
      <c r="AE471" s="91"/>
      <c r="AF471" s="91"/>
      <c r="AG471" s="91"/>
      <c r="AH471" s="91"/>
      <c r="AI471" s="91"/>
    </row>
    <row r="472" spans="1:35">
      <c r="A472" s="206"/>
      <c r="B472" s="156">
        <v>470</v>
      </c>
      <c r="C472" s="43">
        <v>524316</v>
      </c>
      <c r="D472" s="668">
        <v>16025251</v>
      </c>
      <c r="E472" s="669" t="s">
        <v>4406</v>
      </c>
      <c r="F472" s="42">
        <v>46</v>
      </c>
      <c r="G472" s="659" t="s">
        <v>4407</v>
      </c>
      <c r="H472" s="660" t="s">
        <v>461</v>
      </c>
      <c r="I472" s="656">
        <v>969693875</v>
      </c>
      <c r="J472" s="659" t="s">
        <v>162</v>
      </c>
      <c r="K472" s="44">
        <v>46107</v>
      </c>
      <c r="L472" s="43" t="s">
        <v>3880</v>
      </c>
      <c r="M472" s="43" t="s">
        <v>230</v>
      </c>
      <c r="N472" s="43" t="s">
        <v>349</v>
      </c>
      <c r="O472" s="649">
        <v>46111</v>
      </c>
      <c r="P472" s="242"/>
      <c r="Q472" s="879" t="s">
        <v>358</v>
      </c>
    </row>
    <row r="473" spans="1:35">
      <c r="A473" s="206"/>
      <c r="B473" s="156">
        <v>471</v>
      </c>
      <c r="C473" s="43">
        <v>210358</v>
      </c>
      <c r="D473" s="320">
        <v>15763368</v>
      </c>
      <c r="E473" s="648" t="s">
        <v>4408</v>
      </c>
      <c r="F473" s="42">
        <v>48</v>
      </c>
      <c r="G473" s="43" t="s">
        <v>4409</v>
      </c>
      <c r="H473" s="43" t="s">
        <v>1256</v>
      </c>
      <c r="I473" s="320">
        <v>933727303</v>
      </c>
      <c r="J473" s="43" t="s">
        <v>238</v>
      </c>
      <c r="K473" s="44">
        <v>46107</v>
      </c>
      <c r="L473" s="43" t="s">
        <v>388</v>
      </c>
      <c r="M473" s="43" t="s">
        <v>230</v>
      </c>
      <c r="N473" s="43" t="s">
        <v>241</v>
      </c>
      <c r="O473" s="649">
        <v>46111</v>
      </c>
      <c r="P473" s="732"/>
      <c r="Q473" s="900" t="s">
        <v>3797</v>
      </c>
      <c r="R473" s="91"/>
      <c r="S473" s="91"/>
      <c r="T473" s="91"/>
      <c r="U473" s="91"/>
      <c r="V473" s="91"/>
      <c r="W473" s="91"/>
      <c r="X473" s="91"/>
      <c r="Y473" s="91"/>
      <c r="Z473" s="91"/>
      <c r="AA473" s="91"/>
      <c r="AB473" s="91"/>
      <c r="AC473" s="91"/>
      <c r="AD473" s="91"/>
      <c r="AE473" s="91"/>
      <c r="AF473" s="91"/>
      <c r="AG473" s="91"/>
      <c r="AH473" s="91"/>
      <c r="AI473" s="91"/>
    </row>
    <row r="474" spans="1:35">
      <c r="A474" s="43"/>
      <c r="B474" s="156">
        <v>472</v>
      </c>
      <c r="C474" s="43">
        <v>524318</v>
      </c>
      <c r="D474" s="320" t="s">
        <v>4410</v>
      </c>
      <c r="E474" s="648" t="s">
        <v>4411</v>
      </c>
      <c r="F474" s="42">
        <v>52</v>
      </c>
      <c r="G474" s="43" t="s">
        <v>4412</v>
      </c>
      <c r="H474" s="43" t="s">
        <v>288</v>
      </c>
      <c r="I474" s="320">
        <v>928599600</v>
      </c>
      <c r="J474" s="43" t="s">
        <v>347</v>
      </c>
      <c r="K474" s="44">
        <v>46107</v>
      </c>
      <c r="L474" s="670" t="s">
        <v>1040</v>
      </c>
      <c r="M474" s="43" t="s">
        <v>230</v>
      </c>
      <c r="N474" s="43" t="s">
        <v>1199</v>
      </c>
      <c r="O474" s="463">
        <v>46111</v>
      </c>
      <c r="P474" s="732" t="s">
        <v>4413</v>
      </c>
      <c r="Q474" s="91"/>
      <c r="R474" s="91"/>
      <c r="S474" s="91"/>
      <c r="T474" s="91"/>
      <c r="U474" s="91"/>
      <c r="V474" s="91"/>
      <c r="W474" s="91"/>
      <c r="X474" s="91"/>
      <c r="Y474" s="91"/>
      <c r="Z474" s="91"/>
      <c r="AA474" s="91"/>
      <c r="AB474" s="91"/>
      <c r="AC474" s="91"/>
      <c r="AD474" s="91"/>
      <c r="AE474" s="91"/>
      <c r="AF474" s="91"/>
      <c r="AG474" s="91"/>
      <c r="AH474" s="91"/>
      <c r="AI474" s="91"/>
    </row>
    <row r="475" spans="1:35">
      <c r="A475" s="206"/>
      <c r="B475" s="156">
        <v>473</v>
      </c>
      <c r="C475" s="43">
        <v>384948</v>
      </c>
      <c r="D475" s="320">
        <v>15593532</v>
      </c>
      <c r="E475" s="648" t="s">
        <v>4414</v>
      </c>
      <c r="F475" s="42">
        <v>65</v>
      </c>
      <c r="G475" s="43" t="s">
        <v>4415</v>
      </c>
      <c r="H475" s="43" t="s">
        <v>278</v>
      </c>
      <c r="I475" s="320">
        <v>972727911</v>
      </c>
      <c r="J475" s="43" t="s">
        <v>238</v>
      </c>
      <c r="K475" s="44">
        <v>46107</v>
      </c>
      <c r="L475" s="670" t="s">
        <v>4416</v>
      </c>
      <c r="M475" s="43" t="s">
        <v>312</v>
      </c>
      <c r="N475" s="43" t="s">
        <v>1199</v>
      </c>
      <c r="O475" s="649">
        <v>46111</v>
      </c>
      <c r="P475" s="732" t="s">
        <v>4417</v>
      </c>
      <c r="Q475" s="91"/>
      <c r="R475" s="91"/>
      <c r="S475" s="91"/>
      <c r="T475" s="91"/>
      <c r="U475" s="91"/>
      <c r="V475" s="91"/>
      <c r="W475" s="91"/>
      <c r="X475" s="91"/>
      <c r="Y475" s="91"/>
      <c r="Z475" s="91"/>
      <c r="AA475" s="91"/>
      <c r="AB475" s="91"/>
      <c r="AC475" s="91"/>
      <c r="AD475" s="91"/>
      <c r="AE475" s="91"/>
      <c r="AF475" s="91"/>
      <c r="AG475" s="91"/>
      <c r="AH475" s="91"/>
      <c r="AI475" s="91"/>
    </row>
    <row r="476" spans="1:35">
      <c r="A476" s="43"/>
      <c r="B476" s="156">
        <v>474</v>
      </c>
      <c r="C476" s="43">
        <v>71700</v>
      </c>
      <c r="D476" s="671" t="s">
        <v>4418</v>
      </c>
      <c r="E476" s="672" t="s">
        <v>4419</v>
      </c>
      <c r="F476" s="673">
        <v>58</v>
      </c>
      <c r="G476" s="674" t="s">
        <v>4420</v>
      </c>
      <c r="H476" s="674" t="s">
        <v>2724</v>
      </c>
      <c r="I476" s="671">
        <v>944754465</v>
      </c>
      <c r="J476" s="674" t="s">
        <v>175</v>
      </c>
      <c r="K476" s="44">
        <v>46107</v>
      </c>
      <c r="L476" s="43" t="s">
        <v>376</v>
      </c>
      <c r="M476" s="43" t="s">
        <v>230</v>
      </c>
      <c r="N476" s="43" t="s">
        <v>807</v>
      </c>
      <c r="O476" s="649">
        <v>46111</v>
      </c>
      <c r="P476" s="242" t="s">
        <v>4131</v>
      </c>
      <c r="Q476" s="877" t="s">
        <v>358</v>
      </c>
    </row>
    <row r="477" spans="1:35">
      <c r="A477" s="43"/>
      <c r="B477" s="156">
        <v>475</v>
      </c>
      <c r="C477" s="43">
        <v>514602</v>
      </c>
      <c r="D477" s="320">
        <v>41280668</v>
      </c>
      <c r="E477" s="648" t="s">
        <v>4421</v>
      </c>
      <c r="F477" s="42">
        <v>43</v>
      </c>
      <c r="G477" s="43" t="s">
        <v>4422</v>
      </c>
      <c r="H477" s="43" t="s">
        <v>461</v>
      </c>
      <c r="I477" s="320">
        <v>903382503</v>
      </c>
      <c r="J477" s="43" t="s">
        <v>421</v>
      </c>
      <c r="K477" s="44">
        <v>46107</v>
      </c>
      <c r="L477" s="43" t="s">
        <v>1781</v>
      </c>
      <c r="M477" s="43" t="s">
        <v>323</v>
      </c>
      <c r="N477" s="43" t="s">
        <v>241</v>
      </c>
      <c r="O477" s="649">
        <v>46111</v>
      </c>
      <c r="P477" s="43"/>
      <c r="Q477" s="875" t="s">
        <v>358</v>
      </c>
    </row>
    <row r="478" spans="1:35">
      <c r="A478" s="206"/>
      <c r="B478" s="156">
        <v>476</v>
      </c>
      <c r="C478" s="43">
        <v>44628</v>
      </c>
      <c r="D478" s="320">
        <v>15737876</v>
      </c>
      <c r="E478" s="648" t="s">
        <v>4423</v>
      </c>
      <c r="F478" s="42">
        <v>51</v>
      </c>
      <c r="G478" s="43" t="s">
        <v>4424</v>
      </c>
      <c r="H478" s="43" t="s">
        <v>278</v>
      </c>
      <c r="I478" s="320">
        <v>933839223</v>
      </c>
      <c r="J478" s="43" t="s">
        <v>238</v>
      </c>
      <c r="K478" s="44">
        <v>46107</v>
      </c>
      <c r="L478" s="43" t="s">
        <v>2695</v>
      </c>
      <c r="M478" s="43" t="s">
        <v>260</v>
      </c>
      <c r="N478" s="43" t="s">
        <v>241</v>
      </c>
      <c r="O478" s="649">
        <v>46111</v>
      </c>
      <c r="P478" s="732"/>
      <c r="Q478" s="900" t="s">
        <v>3797</v>
      </c>
      <c r="R478" s="91"/>
      <c r="S478" s="91"/>
      <c r="T478" s="91"/>
      <c r="U478" s="91"/>
      <c r="V478" s="91"/>
      <c r="W478" s="91"/>
      <c r="X478" s="91"/>
      <c r="Y478" s="91"/>
      <c r="Z478" s="91"/>
      <c r="AA478" s="91"/>
      <c r="AB478" s="91"/>
      <c r="AC478" s="91"/>
      <c r="AD478" s="91"/>
      <c r="AE478" s="91"/>
      <c r="AF478" s="91"/>
      <c r="AG478" s="91"/>
      <c r="AH478" s="91"/>
      <c r="AI478" s="91"/>
    </row>
    <row r="479" spans="1:35">
      <c r="A479" s="206"/>
      <c r="B479" s="156">
        <v>477</v>
      </c>
      <c r="C479" s="43">
        <v>524323</v>
      </c>
      <c r="D479" s="320">
        <v>15965842</v>
      </c>
      <c r="E479" s="648" t="s">
        <v>4425</v>
      </c>
      <c r="F479" s="42">
        <v>64</v>
      </c>
      <c r="G479" s="43" t="s">
        <v>4426</v>
      </c>
      <c r="H479" s="43" t="s">
        <v>461</v>
      </c>
      <c r="I479" s="320">
        <v>918919870</v>
      </c>
      <c r="J479" s="43" t="s">
        <v>162</v>
      </c>
      <c r="K479" s="44">
        <v>46107</v>
      </c>
      <c r="L479" s="43" t="s">
        <v>516</v>
      </c>
      <c r="M479" s="43" t="s">
        <v>312</v>
      </c>
      <c r="N479" s="43" t="s">
        <v>1199</v>
      </c>
      <c r="O479" s="649">
        <v>46111</v>
      </c>
      <c r="P479" s="242"/>
      <c r="Q479" s="879" t="s">
        <v>358</v>
      </c>
    </row>
    <row r="480" spans="1:35">
      <c r="A480" s="675"/>
      <c r="B480" s="156">
        <v>478</v>
      </c>
      <c r="C480" s="675">
        <v>524332</v>
      </c>
      <c r="D480" s="676">
        <v>32298315</v>
      </c>
      <c r="E480" s="677" t="s">
        <v>4427</v>
      </c>
      <c r="F480" s="331">
        <v>56</v>
      </c>
      <c r="G480" s="675" t="s">
        <v>4428</v>
      </c>
      <c r="H480" s="675" t="s">
        <v>278</v>
      </c>
      <c r="I480" s="679">
        <v>991199617</v>
      </c>
      <c r="J480" s="675" t="s">
        <v>384</v>
      </c>
      <c r="K480" s="44">
        <v>46107</v>
      </c>
      <c r="L480" s="897" t="s">
        <v>4429</v>
      </c>
      <c r="M480" s="897" t="s">
        <v>260</v>
      </c>
      <c r="N480" s="897" t="s">
        <v>241</v>
      </c>
      <c r="O480" s="898">
        <v>46118</v>
      </c>
      <c r="P480" s="897" t="s">
        <v>4430</v>
      </c>
      <c r="Q480" s="91"/>
      <c r="R480" s="91"/>
      <c r="S480" s="91"/>
      <c r="T480" s="91"/>
      <c r="U480" s="91"/>
      <c r="V480" s="91"/>
      <c r="W480" s="91"/>
      <c r="X480" s="91"/>
      <c r="Y480" s="91"/>
      <c r="Z480" s="91"/>
      <c r="AA480" s="91"/>
      <c r="AB480" s="91"/>
      <c r="AC480" s="91"/>
      <c r="AD480" s="91"/>
      <c r="AE480" s="91"/>
      <c r="AF480" s="91"/>
      <c r="AG480" s="91"/>
      <c r="AH480" s="91"/>
      <c r="AI480" s="91"/>
    </row>
    <row r="481" spans="1:35">
      <c r="A481" s="206"/>
      <c r="B481" s="156">
        <v>479</v>
      </c>
      <c r="C481" s="43">
        <v>524325</v>
      </c>
      <c r="D481" s="320">
        <v>16001527</v>
      </c>
      <c r="E481" s="648" t="s">
        <v>4431</v>
      </c>
      <c r="F481" s="42">
        <v>56</v>
      </c>
      <c r="G481" s="43" t="s">
        <v>4432</v>
      </c>
      <c r="H481" s="43" t="s">
        <v>461</v>
      </c>
      <c r="I481" s="320">
        <v>935964955</v>
      </c>
      <c r="J481" s="43" t="s">
        <v>162</v>
      </c>
      <c r="K481" s="44">
        <v>46107</v>
      </c>
      <c r="L481" s="43" t="s">
        <v>4433</v>
      </c>
      <c r="M481" s="43" t="s">
        <v>256</v>
      </c>
      <c r="N481" s="43" t="s">
        <v>4434</v>
      </c>
      <c r="O481" s="649">
        <v>46111</v>
      </c>
      <c r="P481" s="242"/>
      <c r="Q481" s="877" t="s">
        <v>358</v>
      </c>
    </row>
    <row r="482" spans="1:35">
      <c r="A482" s="206"/>
      <c r="B482" s="156">
        <v>480</v>
      </c>
      <c r="C482" s="43">
        <v>524333</v>
      </c>
      <c r="D482" s="320">
        <v>16019831</v>
      </c>
      <c r="E482" s="648" t="s">
        <v>4435</v>
      </c>
      <c r="F482" s="42">
        <v>49</v>
      </c>
      <c r="G482" s="43" t="s">
        <v>4436</v>
      </c>
      <c r="H482" s="43" t="s">
        <v>461</v>
      </c>
      <c r="I482" s="320">
        <v>903544708</v>
      </c>
      <c r="J482" s="43" t="s">
        <v>162</v>
      </c>
      <c r="K482" s="44">
        <v>46107</v>
      </c>
      <c r="L482" s="43" t="s">
        <v>388</v>
      </c>
      <c r="M482" s="43" t="s">
        <v>230</v>
      </c>
      <c r="N482" s="43" t="s">
        <v>241</v>
      </c>
      <c r="O482" s="649">
        <v>46111</v>
      </c>
      <c r="P482" s="242"/>
      <c r="Q482" s="471" t="s">
        <v>358</v>
      </c>
    </row>
    <row r="483" spans="1:35">
      <c r="A483" s="206"/>
      <c r="B483" s="156">
        <v>481</v>
      </c>
      <c r="C483" s="43">
        <v>524334</v>
      </c>
      <c r="D483" s="320">
        <v>15974333</v>
      </c>
      <c r="E483" s="648" t="s">
        <v>4437</v>
      </c>
      <c r="F483" s="42">
        <v>58</v>
      </c>
      <c r="G483" s="43" t="s">
        <v>4438</v>
      </c>
      <c r="H483" s="43" t="s">
        <v>461</v>
      </c>
      <c r="I483" s="320" t="s">
        <v>4439</v>
      </c>
      <c r="J483" s="43" t="s">
        <v>162</v>
      </c>
      <c r="K483" s="44">
        <v>46107</v>
      </c>
      <c r="L483" s="43" t="s">
        <v>516</v>
      </c>
      <c r="M483" s="43" t="s">
        <v>312</v>
      </c>
      <c r="N483" s="43" t="s">
        <v>1199</v>
      </c>
      <c r="O483" s="649">
        <v>46111</v>
      </c>
      <c r="P483" s="242"/>
      <c r="Q483" s="471" t="s">
        <v>358</v>
      </c>
    </row>
    <row r="484" spans="1:35">
      <c r="A484" s="262" t="s">
        <v>513</v>
      </c>
      <c r="B484" s="156">
        <v>482</v>
      </c>
      <c r="C484" s="43">
        <v>477909</v>
      </c>
      <c r="D484" s="320">
        <v>15668844</v>
      </c>
      <c r="E484" s="648" t="s">
        <v>4440</v>
      </c>
      <c r="F484" s="42">
        <v>60</v>
      </c>
      <c r="G484" s="43" t="s">
        <v>4441</v>
      </c>
      <c r="H484" s="43" t="s">
        <v>4442</v>
      </c>
      <c r="I484" s="320">
        <v>941007568</v>
      </c>
      <c r="J484" s="244" t="s">
        <v>4443</v>
      </c>
      <c r="K484" s="44">
        <v>46107</v>
      </c>
      <c r="L484" s="43" t="s">
        <v>1755</v>
      </c>
      <c r="M484" s="43" t="s">
        <v>312</v>
      </c>
      <c r="N484" s="43" t="s">
        <v>1199</v>
      </c>
      <c r="O484" s="649">
        <v>46111</v>
      </c>
      <c r="P484" s="242" t="s">
        <v>4131</v>
      </c>
      <c r="Q484" s="471" t="s">
        <v>358</v>
      </c>
    </row>
    <row r="485" spans="1:35">
      <c r="A485" s="206"/>
      <c r="B485" s="156">
        <v>483</v>
      </c>
      <c r="C485" s="43">
        <v>524294</v>
      </c>
      <c r="D485" s="320">
        <v>15675770</v>
      </c>
      <c r="E485" s="648" t="s">
        <v>4444</v>
      </c>
      <c r="F485" s="42">
        <v>59</v>
      </c>
      <c r="G485" s="43" t="s">
        <v>4445</v>
      </c>
      <c r="H485" s="43" t="s">
        <v>4442</v>
      </c>
      <c r="I485" s="320">
        <v>967743271</v>
      </c>
      <c r="J485" s="244" t="s">
        <v>4443</v>
      </c>
      <c r="K485" s="44">
        <v>46107</v>
      </c>
      <c r="L485" s="43" t="s">
        <v>376</v>
      </c>
      <c r="M485" s="43" t="s">
        <v>230</v>
      </c>
      <c r="N485" s="43" t="s">
        <v>1199</v>
      </c>
      <c r="O485" s="649">
        <v>46111</v>
      </c>
      <c r="P485" s="242" t="s">
        <v>4131</v>
      </c>
      <c r="Q485" s="471" t="s">
        <v>358</v>
      </c>
    </row>
    <row r="486" spans="1:35">
      <c r="A486" s="206"/>
      <c r="B486" s="156">
        <v>484</v>
      </c>
      <c r="C486" s="43">
        <v>477885</v>
      </c>
      <c r="D486" s="320">
        <v>15846212</v>
      </c>
      <c r="E486" s="648" t="s">
        <v>4446</v>
      </c>
      <c r="F486" s="42">
        <v>54</v>
      </c>
      <c r="G486" s="43" t="s">
        <v>4447</v>
      </c>
      <c r="H486" s="43" t="s">
        <v>4442</v>
      </c>
      <c r="I486" s="320">
        <v>956074632</v>
      </c>
      <c r="J486" s="244" t="s">
        <v>4443</v>
      </c>
      <c r="K486" s="44">
        <v>46107</v>
      </c>
      <c r="L486" s="43" t="s">
        <v>516</v>
      </c>
      <c r="M486" s="43" t="s">
        <v>312</v>
      </c>
      <c r="N486" s="43" t="s">
        <v>1199</v>
      </c>
      <c r="O486" s="649">
        <v>46111</v>
      </c>
      <c r="P486" s="242" t="s">
        <v>4131</v>
      </c>
      <c r="Q486" s="875" t="s">
        <v>358</v>
      </c>
    </row>
    <row r="487" spans="1:35">
      <c r="A487" s="206"/>
      <c r="B487" s="156">
        <v>485</v>
      </c>
      <c r="C487" s="43">
        <v>22886</v>
      </c>
      <c r="D487" s="320">
        <v>15727085</v>
      </c>
      <c r="E487" s="648" t="s">
        <v>4448</v>
      </c>
      <c r="F487" s="42">
        <v>53</v>
      </c>
      <c r="G487" s="43" t="s">
        <v>4449</v>
      </c>
      <c r="H487" s="43" t="s">
        <v>278</v>
      </c>
      <c r="I487" s="320">
        <v>934710028</v>
      </c>
      <c r="J487" s="43" t="s">
        <v>238</v>
      </c>
      <c r="K487" s="44">
        <v>46107</v>
      </c>
      <c r="L487" s="43" t="s">
        <v>376</v>
      </c>
      <c r="M487" s="43" t="s">
        <v>230</v>
      </c>
      <c r="N487" s="43" t="s">
        <v>1199</v>
      </c>
      <c r="O487" s="680">
        <v>46111</v>
      </c>
      <c r="P487" s="732"/>
      <c r="Q487" s="900" t="s">
        <v>3797</v>
      </c>
      <c r="R487" s="91"/>
      <c r="S487" s="91"/>
      <c r="T487" s="91"/>
      <c r="U487" s="91"/>
      <c r="V487" s="91"/>
      <c r="W487" s="91"/>
      <c r="X487" s="91"/>
      <c r="Y487" s="91"/>
      <c r="Z487" s="91"/>
      <c r="AA487" s="91"/>
      <c r="AB487" s="91"/>
      <c r="AC487" s="91"/>
      <c r="AD487" s="91"/>
      <c r="AE487" s="91"/>
      <c r="AF487" s="91"/>
      <c r="AG487" s="91"/>
      <c r="AH487" s="91"/>
      <c r="AI487" s="91"/>
    </row>
    <row r="488" spans="1:35">
      <c r="A488" s="206"/>
      <c r="B488" s="156">
        <v>486</v>
      </c>
      <c r="C488" s="43">
        <v>524291</v>
      </c>
      <c r="D488" s="320">
        <v>40067651</v>
      </c>
      <c r="E488" s="648" t="s">
        <v>4450</v>
      </c>
      <c r="F488" s="42">
        <v>47</v>
      </c>
      <c r="G488" s="43" t="s">
        <v>4451</v>
      </c>
      <c r="H488" s="43" t="s">
        <v>2724</v>
      </c>
      <c r="I488" s="320">
        <v>943989944</v>
      </c>
      <c r="J488" s="43" t="s">
        <v>182</v>
      </c>
      <c r="K488" s="44">
        <v>46107</v>
      </c>
      <c r="L488" s="43" t="s">
        <v>413</v>
      </c>
      <c r="M488" s="43" t="s">
        <v>230</v>
      </c>
      <c r="N488" s="43" t="s">
        <v>241</v>
      </c>
      <c r="O488" s="680">
        <v>46111</v>
      </c>
      <c r="P488" s="242" t="s">
        <v>4131</v>
      </c>
      <c r="Q488" s="877" t="s">
        <v>358</v>
      </c>
    </row>
    <row r="489" spans="1:35">
      <c r="A489" s="206"/>
      <c r="B489" s="156">
        <v>487</v>
      </c>
      <c r="C489" s="43">
        <v>524293</v>
      </c>
      <c r="D489" s="320">
        <v>41708736</v>
      </c>
      <c r="E489" s="648" t="s">
        <v>4452</v>
      </c>
      <c r="F489" s="42">
        <v>42</v>
      </c>
      <c r="G489" s="43" t="s">
        <v>4453</v>
      </c>
      <c r="H489" s="43" t="s">
        <v>2724</v>
      </c>
      <c r="I489" s="320">
        <v>942455029</v>
      </c>
      <c r="J489" s="43" t="s">
        <v>182</v>
      </c>
      <c r="K489" s="44">
        <v>46107</v>
      </c>
      <c r="L489" s="43" t="s">
        <v>413</v>
      </c>
      <c r="M489" s="43" t="s">
        <v>230</v>
      </c>
      <c r="N489" s="43" t="s">
        <v>241</v>
      </c>
      <c r="O489" s="680">
        <v>46111</v>
      </c>
      <c r="P489" s="242" t="s">
        <v>4131</v>
      </c>
      <c r="Q489" s="471" t="s">
        <v>358</v>
      </c>
    </row>
    <row r="490" spans="1:35">
      <c r="A490" s="206"/>
      <c r="B490" s="156">
        <v>488</v>
      </c>
      <c r="C490" s="43">
        <v>261861</v>
      </c>
      <c r="D490" s="320">
        <v>41212083</v>
      </c>
      <c r="E490" s="648" t="s">
        <v>4454</v>
      </c>
      <c r="F490" s="42">
        <v>44</v>
      </c>
      <c r="G490" s="43" t="s">
        <v>4455</v>
      </c>
      <c r="H490" s="43" t="s">
        <v>4456</v>
      </c>
      <c r="I490" s="320">
        <v>994398457</v>
      </c>
      <c r="J490" s="43" t="s">
        <v>182</v>
      </c>
      <c r="K490" s="44">
        <v>46107</v>
      </c>
      <c r="L490" s="43" t="s">
        <v>388</v>
      </c>
      <c r="M490" s="43" t="s">
        <v>230</v>
      </c>
      <c r="N490" s="43" t="s">
        <v>241</v>
      </c>
      <c r="O490" s="680">
        <v>46111</v>
      </c>
      <c r="P490" s="242" t="s">
        <v>4131</v>
      </c>
      <c r="Q490" s="471" t="s">
        <v>358</v>
      </c>
    </row>
    <row r="491" spans="1:35">
      <c r="A491" s="206"/>
      <c r="B491" s="156">
        <v>489</v>
      </c>
      <c r="C491" s="43">
        <v>524292</v>
      </c>
      <c r="D491" s="320">
        <v>41424759</v>
      </c>
      <c r="E491" s="648" t="s">
        <v>4457</v>
      </c>
      <c r="F491" s="42">
        <v>43</v>
      </c>
      <c r="G491" s="43" t="s">
        <v>4458</v>
      </c>
      <c r="H491" s="43" t="s">
        <v>2724</v>
      </c>
      <c r="I491" s="320">
        <v>977153000</v>
      </c>
      <c r="J491" s="43" t="s">
        <v>182</v>
      </c>
      <c r="K491" s="44">
        <v>46107</v>
      </c>
      <c r="L491" s="43" t="s">
        <v>413</v>
      </c>
      <c r="M491" s="43" t="s">
        <v>230</v>
      </c>
      <c r="N491" s="43" t="s">
        <v>241</v>
      </c>
      <c r="O491" s="680">
        <v>46111</v>
      </c>
      <c r="P491" s="242" t="s">
        <v>4131</v>
      </c>
      <c r="Q491" s="875" t="s">
        <v>358</v>
      </c>
    </row>
    <row r="492" spans="1:35">
      <c r="A492" s="206"/>
      <c r="B492" s="156">
        <v>490</v>
      </c>
      <c r="C492" s="43">
        <v>162231</v>
      </c>
      <c r="D492" s="320">
        <v>15743828</v>
      </c>
      <c r="E492" s="648" t="s">
        <v>4459</v>
      </c>
      <c r="F492" s="42">
        <v>51</v>
      </c>
      <c r="G492" s="43" t="s">
        <v>4460</v>
      </c>
      <c r="H492" s="43" t="s">
        <v>222</v>
      </c>
      <c r="I492" s="320">
        <v>955796308</v>
      </c>
      <c r="J492" s="43" t="s">
        <v>223</v>
      </c>
      <c r="K492" s="44">
        <v>46107</v>
      </c>
      <c r="L492" s="43" t="s">
        <v>376</v>
      </c>
      <c r="M492" s="43" t="s">
        <v>230</v>
      </c>
      <c r="N492" s="43" t="s">
        <v>1199</v>
      </c>
      <c r="O492" s="448">
        <v>46111</v>
      </c>
      <c r="P492" s="732" t="s">
        <v>4385</v>
      </c>
      <c r="Q492" s="91"/>
      <c r="R492" s="91"/>
      <c r="S492" s="91"/>
      <c r="T492" s="91"/>
      <c r="U492" s="91"/>
      <c r="V492" s="91"/>
      <c r="W492" s="91"/>
      <c r="X492" s="91"/>
      <c r="Y492" s="91"/>
      <c r="Z492" s="91"/>
      <c r="AA492" s="91"/>
      <c r="AB492" s="91"/>
      <c r="AC492" s="91"/>
      <c r="AD492" s="91"/>
      <c r="AE492" s="91"/>
      <c r="AF492" s="91"/>
      <c r="AG492" s="91"/>
      <c r="AH492" s="91"/>
      <c r="AI492" s="91"/>
    </row>
    <row r="493" spans="1:35">
      <c r="A493" s="206"/>
      <c r="B493" s="156">
        <v>491</v>
      </c>
      <c r="C493" s="43">
        <v>115622</v>
      </c>
      <c r="D493" s="320">
        <v>41829021</v>
      </c>
      <c r="E493" s="648" t="s">
        <v>4461</v>
      </c>
      <c r="F493" s="42">
        <v>42</v>
      </c>
      <c r="G493" s="43" t="s">
        <v>4462</v>
      </c>
      <c r="H493" s="43" t="s">
        <v>2352</v>
      </c>
      <c r="I493" s="320">
        <v>978293373</v>
      </c>
      <c r="J493" s="43" t="s">
        <v>238</v>
      </c>
      <c r="K493" s="44">
        <v>46107</v>
      </c>
      <c r="L493" s="43" t="s">
        <v>388</v>
      </c>
      <c r="M493" s="43" t="s">
        <v>230</v>
      </c>
      <c r="N493" s="43" t="s">
        <v>241</v>
      </c>
      <c r="O493" s="680">
        <v>46111</v>
      </c>
      <c r="P493" s="732"/>
      <c r="Q493" s="91"/>
      <c r="R493" s="91"/>
      <c r="S493" s="91"/>
      <c r="T493" s="91"/>
      <c r="U493" s="91"/>
      <c r="V493" s="91"/>
      <c r="W493" s="91"/>
      <c r="X493" s="91"/>
      <c r="Y493" s="91"/>
      <c r="Z493" s="91"/>
      <c r="AA493" s="91"/>
      <c r="AB493" s="91"/>
      <c r="AC493" s="91"/>
      <c r="AD493" s="91"/>
      <c r="AE493" s="91"/>
      <c r="AF493" s="91"/>
      <c r="AG493" s="91"/>
      <c r="AH493" s="91"/>
      <c r="AI493" s="91"/>
    </row>
    <row r="494" spans="1:35">
      <c r="A494" s="206"/>
      <c r="B494" s="156">
        <v>492</v>
      </c>
      <c r="C494" s="43">
        <v>265883</v>
      </c>
      <c r="D494" s="320">
        <v>15765199</v>
      </c>
      <c r="E494" s="648" t="s">
        <v>4463</v>
      </c>
      <c r="F494" s="42">
        <v>47</v>
      </c>
      <c r="G494" s="43" t="s">
        <v>4464</v>
      </c>
      <c r="H494" s="43" t="s">
        <v>326</v>
      </c>
      <c r="I494" s="320">
        <v>983181979</v>
      </c>
      <c r="J494" s="43" t="s">
        <v>375</v>
      </c>
      <c r="K494" s="44">
        <v>46107</v>
      </c>
      <c r="L494" s="43" t="s">
        <v>388</v>
      </c>
      <c r="M494" s="43" t="s">
        <v>230</v>
      </c>
      <c r="N494" s="43" t="s">
        <v>241</v>
      </c>
      <c r="O494" s="448">
        <v>46111</v>
      </c>
      <c r="P494" s="732" t="s">
        <v>4465</v>
      </c>
      <c r="Q494" s="91"/>
      <c r="R494" s="91"/>
      <c r="S494" s="91"/>
      <c r="T494" s="91"/>
      <c r="U494" s="91"/>
      <c r="V494" s="91"/>
      <c r="W494" s="91"/>
      <c r="X494" s="91"/>
      <c r="Y494" s="91"/>
      <c r="Z494" s="91"/>
      <c r="AA494" s="91"/>
      <c r="AB494" s="91"/>
      <c r="AC494" s="91"/>
      <c r="AD494" s="91"/>
      <c r="AE494" s="91"/>
      <c r="AF494" s="91"/>
      <c r="AG494" s="91"/>
      <c r="AH494" s="91"/>
      <c r="AI494" s="91"/>
    </row>
    <row r="495" spans="1:35">
      <c r="A495" s="206"/>
      <c r="B495" s="156">
        <v>493</v>
      </c>
      <c r="C495" s="43">
        <v>85169</v>
      </c>
      <c r="D495" s="320">
        <v>41036412</v>
      </c>
      <c r="E495" s="648" t="s">
        <v>4466</v>
      </c>
      <c r="F495" s="42">
        <v>48</v>
      </c>
      <c r="G495" s="43" t="s">
        <v>4467</v>
      </c>
      <c r="H495" s="43" t="s">
        <v>4468</v>
      </c>
      <c r="I495" s="320">
        <v>995886575</v>
      </c>
      <c r="J495" s="43" t="s">
        <v>3202</v>
      </c>
      <c r="K495" s="44">
        <v>46107</v>
      </c>
      <c r="L495" s="43" t="s">
        <v>4469</v>
      </c>
      <c r="M495" s="43" t="s">
        <v>312</v>
      </c>
      <c r="N495" s="43" t="s">
        <v>1199</v>
      </c>
      <c r="O495" s="448">
        <v>46111</v>
      </c>
      <c r="P495" s="732" t="s">
        <v>4470</v>
      </c>
      <c r="Q495" s="91"/>
      <c r="R495" s="91"/>
      <c r="S495" s="91"/>
      <c r="T495" s="91"/>
      <c r="U495" s="91"/>
      <c r="V495" s="91"/>
      <c r="W495" s="91"/>
      <c r="X495" s="91"/>
      <c r="Y495" s="91"/>
      <c r="Z495" s="91"/>
      <c r="AA495" s="91"/>
      <c r="AB495" s="91"/>
      <c r="AC495" s="91"/>
      <c r="AD495" s="91"/>
      <c r="AE495" s="91"/>
      <c r="AF495" s="91"/>
      <c r="AG495" s="91"/>
      <c r="AH495" s="91"/>
      <c r="AI495" s="91"/>
    </row>
    <row r="496" spans="1:35">
      <c r="A496" s="206"/>
      <c r="B496" s="156">
        <v>494</v>
      </c>
      <c r="C496" s="43">
        <v>175148</v>
      </c>
      <c r="D496" s="320">
        <v>42048757</v>
      </c>
      <c r="E496" s="648" t="s">
        <v>4471</v>
      </c>
      <c r="F496" s="42">
        <v>42</v>
      </c>
      <c r="G496" s="43" t="s">
        <v>4472</v>
      </c>
      <c r="H496" s="43" t="s">
        <v>288</v>
      </c>
      <c r="I496" s="320">
        <v>944847093</v>
      </c>
      <c r="J496" s="43" t="s">
        <v>238</v>
      </c>
      <c r="K496" s="44">
        <v>46107</v>
      </c>
      <c r="L496" s="43" t="s">
        <v>376</v>
      </c>
      <c r="M496" s="43" t="s">
        <v>230</v>
      </c>
      <c r="N496" s="43" t="s">
        <v>1199</v>
      </c>
      <c r="O496" s="680">
        <v>46111</v>
      </c>
      <c r="P496" s="732"/>
      <c r="Q496" s="91"/>
      <c r="R496" s="91"/>
      <c r="S496" s="91"/>
      <c r="T496" s="91"/>
      <c r="U496" s="91"/>
      <c r="V496" s="91"/>
      <c r="W496" s="91"/>
      <c r="X496" s="91"/>
      <c r="Y496" s="91"/>
      <c r="Z496" s="91"/>
      <c r="AA496" s="91"/>
      <c r="AB496" s="91"/>
      <c r="AC496" s="91"/>
      <c r="AD496" s="91"/>
      <c r="AE496" s="91"/>
      <c r="AF496" s="91"/>
      <c r="AG496" s="91"/>
      <c r="AH496" s="91"/>
      <c r="AI496" s="91"/>
    </row>
    <row r="497" spans="1:35">
      <c r="A497" s="206"/>
      <c r="B497" s="156">
        <v>495</v>
      </c>
      <c r="C497" s="43">
        <v>460800</v>
      </c>
      <c r="D497" s="650" t="s">
        <v>4473</v>
      </c>
      <c r="E497" s="648" t="s">
        <v>4474</v>
      </c>
      <c r="F497" s="681">
        <v>53</v>
      </c>
      <c r="G497" s="654" t="s">
        <v>4475</v>
      </c>
      <c r="H497" s="654" t="s">
        <v>4476</v>
      </c>
      <c r="I497" s="655">
        <v>921617988</v>
      </c>
      <c r="J497" s="43" t="s">
        <v>164</v>
      </c>
      <c r="K497" s="44">
        <v>46107</v>
      </c>
      <c r="L497" s="43" t="s">
        <v>1716</v>
      </c>
      <c r="M497" s="43" t="s">
        <v>323</v>
      </c>
      <c r="N497" s="43" t="s">
        <v>4477</v>
      </c>
      <c r="O497" s="680">
        <v>46111</v>
      </c>
      <c r="P497" s="242" t="s">
        <v>4131</v>
      </c>
      <c r="Q497" s="879" t="s">
        <v>358</v>
      </c>
    </row>
    <row r="498" spans="1:35">
      <c r="A498" s="206"/>
      <c r="B498" s="156">
        <v>496</v>
      </c>
      <c r="C498" s="43">
        <v>179858</v>
      </c>
      <c r="D498" s="320">
        <v>44342049</v>
      </c>
      <c r="E498" s="648" t="s">
        <v>4478</v>
      </c>
      <c r="F498" s="42">
        <v>41</v>
      </c>
      <c r="G498" s="43" t="s">
        <v>4479</v>
      </c>
      <c r="H498" s="43" t="s">
        <v>432</v>
      </c>
      <c r="I498" s="320">
        <v>907932790</v>
      </c>
      <c r="J498" s="43" t="s">
        <v>1209</v>
      </c>
      <c r="K498" s="44">
        <v>46107</v>
      </c>
      <c r="L498" s="43" t="s">
        <v>388</v>
      </c>
      <c r="M498" s="43" t="s">
        <v>230</v>
      </c>
      <c r="N498" s="43" t="s">
        <v>241</v>
      </c>
      <c r="O498" s="151">
        <v>46111</v>
      </c>
      <c r="P498" s="732" t="s">
        <v>4480</v>
      </c>
      <c r="Q498" s="91"/>
      <c r="R498" s="91"/>
      <c r="S498" s="91"/>
      <c r="T498" s="91"/>
      <c r="U498" s="91"/>
      <c r="V498" s="91"/>
      <c r="W498" s="91"/>
      <c r="X498" s="91"/>
      <c r="Y498" s="91"/>
      <c r="Z498" s="91"/>
      <c r="AA498" s="91"/>
      <c r="AB498" s="91"/>
      <c r="AC498" s="91"/>
      <c r="AD498" s="91"/>
      <c r="AE498" s="91"/>
      <c r="AF498" s="91"/>
      <c r="AG498" s="91"/>
      <c r="AH498" s="91"/>
      <c r="AI498" s="91"/>
    </row>
    <row r="499" spans="1:35">
      <c r="A499" s="206"/>
      <c r="B499" s="156">
        <v>497</v>
      </c>
      <c r="C499" s="43">
        <v>223513</v>
      </c>
      <c r="D499" s="320">
        <v>41295861</v>
      </c>
      <c r="E499" s="648" t="s">
        <v>4481</v>
      </c>
      <c r="F499" s="42">
        <v>42</v>
      </c>
      <c r="G499" s="43" t="s">
        <v>4482</v>
      </c>
      <c r="H499" s="43" t="s">
        <v>278</v>
      </c>
      <c r="I499" s="320">
        <v>980617511</v>
      </c>
      <c r="J499" s="43" t="s">
        <v>238</v>
      </c>
      <c r="K499" s="44">
        <v>46107</v>
      </c>
      <c r="L499" s="43" t="s">
        <v>388</v>
      </c>
      <c r="M499" s="43" t="s">
        <v>230</v>
      </c>
      <c r="N499" s="43" t="s">
        <v>241</v>
      </c>
      <c r="O499" s="680">
        <v>46111</v>
      </c>
      <c r="P499" s="732"/>
      <c r="Q499" s="91"/>
      <c r="R499" s="91"/>
      <c r="S499" s="91"/>
      <c r="T499" s="91"/>
      <c r="U499" s="91"/>
      <c r="V499" s="91"/>
      <c r="W499" s="91"/>
      <c r="X499" s="91"/>
      <c r="Y499" s="91"/>
      <c r="Z499" s="91"/>
      <c r="AA499" s="91"/>
      <c r="AB499" s="91"/>
      <c r="AC499" s="91"/>
      <c r="AD499" s="91"/>
      <c r="AE499" s="91"/>
      <c r="AF499" s="91"/>
      <c r="AG499" s="91"/>
      <c r="AH499" s="91"/>
      <c r="AI499" s="91"/>
    </row>
    <row r="500" spans="1:35">
      <c r="A500" s="206"/>
      <c r="B500" s="156">
        <v>498</v>
      </c>
      <c r="C500" s="43">
        <v>2721</v>
      </c>
      <c r="D500" s="320">
        <v>15722974</v>
      </c>
      <c r="E500" s="648" t="s">
        <v>4483</v>
      </c>
      <c r="F500" s="42">
        <v>56</v>
      </c>
      <c r="G500" s="43" t="s">
        <v>4484</v>
      </c>
      <c r="H500" s="43" t="s">
        <v>237</v>
      </c>
      <c r="I500" s="320">
        <v>965177456</v>
      </c>
      <c r="J500" s="43" t="s">
        <v>238</v>
      </c>
      <c r="K500" s="44">
        <v>46107</v>
      </c>
      <c r="L500" s="43" t="s">
        <v>376</v>
      </c>
      <c r="M500" s="43" t="s">
        <v>230</v>
      </c>
      <c r="N500" s="43" t="s">
        <v>1199</v>
      </c>
      <c r="O500" s="680">
        <v>46111</v>
      </c>
      <c r="P500" s="732"/>
      <c r="Q500" s="927">
        <v>46121</v>
      </c>
      <c r="R500" s="91"/>
      <c r="S500" s="91"/>
      <c r="T500" s="91"/>
      <c r="U500" s="91"/>
      <c r="V500" s="91"/>
      <c r="W500" s="91"/>
      <c r="X500" s="91"/>
      <c r="Y500" s="91"/>
      <c r="Z500" s="91"/>
      <c r="AA500" s="91"/>
      <c r="AB500" s="91"/>
      <c r="AC500" s="91"/>
      <c r="AD500" s="91"/>
      <c r="AE500" s="91"/>
      <c r="AF500" s="91"/>
      <c r="AG500" s="91"/>
      <c r="AH500" s="91"/>
      <c r="AI500" s="91"/>
    </row>
    <row r="501" spans="1:35">
      <c r="A501" s="131">
        <v>46108</v>
      </c>
      <c r="B501" s="156">
        <v>499</v>
      </c>
      <c r="C501" s="43">
        <v>271493</v>
      </c>
      <c r="D501" s="662">
        <v>41187994</v>
      </c>
      <c r="E501" s="648" t="s">
        <v>4485</v>
      </c>
      <c r="F501" s="664">
        <v>44</v>
      </c>
      <c r="G501" s="682" t="s">
        <v>4486</v>
      </c>
      <c r="H501" s="682" t="s">
        <v>326</v>
      </c>
      <c r="I501" s="662">
        <v>935468216</v>
      </c>
      <c r="J501" s="43" t="s">
        <v>238</v>
      </c>
      <c r="K501" s="44">
        <v>46108</v>
      </c>
      <c r="L501" s="43" t="s">
        <v>679</v>
      </c>
      <c r="M501" s="43" t="s">
        <v>230</v>
      </c>
      <c r="N501" s="43" t="s">
        <v>4487</v>
      </c>
      <c r="O501" s="649">
        <v>46112</v>
      </c>
      <c r="P501" s="224"/>
      <c r="Q501" s="91"/>
      <c r="R501" s="91"/>
      <c r="S501" s="91"/>
      <c r="T501" s="91"/>
      <c r="U501" s="91"/>
      <c r="V501" s="91"/>
      <c r="W501" s="91"/>
      <c r="X501" s="91"/>
      <c r="Y501" s="91"/>
      <c r="Z501" s="91"/>
      <c r="AA501" s="91"/>
      <c r="AB501" s="91"/>
      <c r="AC501" s="91"/>
      <c r="AD501" s="91"/>
      <c r="AE501" s="91"/>
      <c r="AF501" s="91"/>
      <c r="AG501" s="91"/>
      <c r="AH501" s="91"/>
      <c r="AI501" s="91"/>
    </row>
    <row r="502" spans="1:35">
      <c r="A502" s="206"/>
      <c r="B502" s="156">
        <v>500</v>
      </c>
      <c r="C502" s="43">
        <v>107300</v>
      </c>
      <c r="D502" s="320">
        <v>15717823</v>
      </c>
      <c r="E502" s="648" t="s">
        <v>4488</v>
      </c>
      <c r="F502" s="42">
        <v>63</v>
      </c>
      <c r="G502" s="43" t="s">
        <v>4489</v>
      </c>
      <c r="H502" s="43" t="s">
        <v>301</v>
      </c>
      <c r="I502" s="320">
        <v>992977800</v>
      </c>
      <c r="J502" s="43" t="s">
        <v>238</v>
      </c>
      <c r="K502" s="44">
        <v>46108</v>
      </c>
      <c r="L502" s="43" t="s">
        <v>736</v>
      </c>
      <c r="M502" s="43" t="s">
        <v>312</v>
      </c>
      <c r="N502" s="43" t="s">
        <v>4487</v>
      </c>
      <c r="O502" s="649">
        <v>46112</v>
      </c>
      <c r="P502" s="732"/>
      <c r="Q502" s="900" t="s">
        <v>4206</v>
      </c>
      <c r="R502" s="91"/>
      <c r="S502" s="91"/>
      <c r="T502" s="91"/>
      <c r="U502" s="91"/>
      <c r="V502" s="91"/>
      <c r="W502" s="91"/>
      <c r="X502" s="91"/>
      <c r="Y502" s="91"/>
      <c r="Z502" s="91"/>
      <c r="AA502" s="91"/>
      <c r="AB502" s="91"/>
      <c r="AC502" s="91"/>
      <c r="AD502" s="91"/>
      <c r="AE502" s="91"/>
      <c r="AF502" s="91"/>
      <c r="AG502" s="91"/>
      <c r="AH502" s="91"/>
      <c r="AI502" s="91"/>
    </row>
    <row r="503" spans="1:35">
      <c r="A503" s="206"/>
      <c r="B503" s="156">
        <v>501</v>
      </c>
      <c r="C503" s="43">
        <v>272232</v>
      </c>
      <c r="D503" s="320">
        <v>80104155</v>
      </c>
      <c r="E503" s="648" t="s">
        <v>4490</v>
      </c>
      <c r="F503" s="42">
        <v>56</v>
      </c>
      <c r="G503" s="43" t="s">
        <v>4491</v>
      </c>
      <c r="H503" s="43" t="s">
        <v>301</v>
      </c>
      <c r="I503" s="320">
        <v>929262591</v>
      </c>
      <c r="J503" s="43" t="s">
        <v>302</v>
      </c>
      <c r="K503" s="44">
        <v>46108</v>
      </c>
      <c r="L503" s="43" t="s">
        <v>683</v>
      </c>
      <c r="M503" s="43" t="s">
        <v>312</v>
      </c>
      <c r="N503" s="43" t="s">
        <v>4487</v>
      </c>
      <c r="O503" s="448">
        <v>46111</v>
      </c>
      <c r="P503" s="732" t="s">
        <v>4492</v>
      </c>
      <c r="Q503" s="91"/>
      <c r="R503" s="91"/>
      <c r="S503" s="91"/>
      <c r="T503" s="91"/>
      <c r="U503" s="91"/>
      <c r="V503" s="91"/>
      <c r="W503" s="91"/>
      <c r="X503" s="91"/>
      <c r="Y503" s="91"/>
      <c r="Z503" s="91"/>
      <c r="AA503" s="91"/>
      <c r="AB503" s="91"/>
      <c r="AC503" s="91"/>
      <c r="AD503" s="91"/>
      <c r="AE503" s="91"/>
      <c r="AF503" s="91"/>
      <c r="AG503" s="91"/>
      <c r="AH503" s="91"/>
      <c r="AI503" s="91"/>
    </row>
    <row r="504" spans="1:35">
      <c r="A504" s="206"/>
      <c r="B504" s="156">
        <v>502</v>
      </c>
      <c r="C504" s="43">
        <v>132537</v>
      </c>
      <c r="D504" s="320">
        <v>15650049</v>
      </c>
      <c r="E504" s="648" t="s">
        <v>4493</v>
      </c>
      <c r="F504" s="42">
        <v>62</v>
      </c>
      <c r="G504" s="43" t="s">
        <v>4494</v>
      </c>
      <c r="H504" s="43" t="s">
        <v>301</v>
      </c>
      <c r="I504" s="320">
        <v>980846094</v>
      </c>
      <c r="J504" s="43" t="s">
        <v>302</v>
      </c>
      <c r="K504" s="44">
        <v>46108</v>
      </c>
      <c r="L504" s="43" t="s">
        <v>4495</v>
      </c>
      <c r="M504" s="43" t="s">
        <v>323</v>
      </c>
      <c r="N504" s="43" t="s">
        <v>4487</v>
      </c>
      <c r="O504" s="448">
        <v>46111</v>
      </c>
      <c r="P504" s="732" t="s">
        <v>4492</v>
      </c>
      <c r="Q504" s="91"/>
      <c r="R504" s="91"/>
      <c r="S504" s="91"/>
      <c r="T504" s="91"/>
      <c r="U504" s="91"/>
      <c r="V504" s="91"/>
      <c r="W504" s="91"/>
      <c r="X504" s="91"/>
      <c r="Y504" s="91"/>
      <c r="Z504" s="91"/>
      <c r="AA504" s="91"/>
      <c r="AB504" s="91"/>
      <c r="AC504" s="91"/>
      <c r="AD504" s="91"/>
      <c r="AE504" s="91"/>
      <c r="AF504" s="91"/>
      <c r="AG504" s="91"/>
      <c r="AH504" s="91"/>
      <c r="AI504" s="91"/>
    </row>
    <row r="505" spans="1:35">
      <c r="A505" s="206"/>
      <c r="B505" s="156">
        <v>503</v>
      </c>
      <c r="C505" s="43">
        <v>524353</v>
      </c>
      <c r="D505" s="320">
        <v>15996805</v>
      </c>
      <c r="E505" s="648" t="s">
        <v>4496</v>
      </c>
      <c r="F505" s="42">
        <v>65</v>
      </c>
      <c r="G505" s="43" t="s">
        <v>4497</v>
      </c>
      <c r="H505" s="43" t="s">
        <v>461</v>
      </c>
      <c r="I505" s="320">
        <v>977493778</v>
      </c>
      <c r="J505" s="43" t="s">
        <v>162</v>
      </c>
      <c r="K505" s="44">
        <v>46108</v>
      </c>
      <c r="L505" s="43" t="s">
        <v>4498</v>
      </c>
      <c r="M505" s="43" t="s">
        <v>260</v>
      </c>
      <c r="N505" s="43" t="s">
        <v>4487</v>
      </c>
      <c r="O505" s="680">
        <v>46111</v>
      </c>
      <c r="P505" s="242" t="s">
        <v>4131</v>
      </c>
      <c r="Q505" s="879" t="s">
        <v>358</v>
      </c>
    </row>
    <row r="506" spans="1:35">
      <c r="A506" s="43"/>
      <c r="B506" s="156">
        <v>504</v>
      </c>
      <c r="C506" s="43">
        <v>496131</v>
      </c>
      <c r="D506" s="320">
        <v>32298339</v>
      </c>
      <c r="E506" s="648" t="s">
        <v>4499</v>
      </c>
      <c r="F506" s="42">
        <v>55</v>
      </c>
      <c r="G506" s="43" t="s">
        <v>4500</v>
      </c>
      <c r="H506" s="43" t="s">
        <v>301</v>
      </c>
      <c r="I506" s="320">
        <v>971930552</v>
      </c>
      <c r="J506" s="43" t="s">
        <v>302</v>
      </c>
      <c r="K506" s="44">
        <v>46108</v>
      </c>
      <c r="L506" s="43" t="s">
        <v>683</v>
      </c>
      <c r="M506" s="43" t="s">
        <v>312</v>
      </c>
      <c r="N506" s="43" t="s">
        <v>1199</v>
      </c>
      <c r="O506" s="448">
        <v>46111</v>
      </c>
      <c r="P506" s="732" t="s">
        <v>4492</v>
      </c>
      <c r="Q506" s="91"/>
      <c r="R506" s="91"/>
      <c r="S506" s="91"/>
      <c r="T506" s="91"/>
      <c r="U506" s="91"/>
      <c r="V506" s="91"/>
      <c r="W506" s="91"/>
      <c r="X506" s="91"/>
      <c r="Y506" s="91"/>
      <c r="Z506" s="91"/>
      <c r="AA506" s="91"/>
      <c r="AB506" s="91"/>
      <c r="AC506" s="91"/>
      <c r="AD506" s="91"/>
      <c r="AE506" s="91"/>
      <c r="AF506" s="91"/>
      <c r="AG506" s="91"/>
      <c r="AH506" s="91"/>
      <c r="AI506" s="91"/>
    </row>
    <row r="507" spans="1:35">
      <c r="A507" s="43"/>
      <c r="B507" s="156">
        <v>505</v>
      </c>
      <c r="C507" s="43">
        <v>377753</v>
      </c>
      <c r="D507" s="320">
        <v>15848060</v>
      </c>
      <c r="E507" s="648" t="s">
        <v>4501</v>
      </c>
      <c r="F507" s="42">
        <v>51</v>
      </c>
      <c r="G507" s="43" t="s">
        <v>4502</v>
      </c>
      <c r="H507" s="43" t="s">
        <v>237</v>
      </c>
      <c r="I507" s="320">
        <v>916675787</v>
      </c>
      <c r="J507" s="43" t="s">
        <v>1105</v>
      </c>
      <c r="K507" s="44">
        <v>46108</v>
      </c>
      <c r="L507" s="43" t="s">
        <v>683</v>
      </c>
      <c r="M507" s="43" t="s">
        <v>312</v>
      </c>
      <c r="N507" s="43" t="s">
        <v>4487</v>
      </c>
      <c r="O507" s="463">
        <v>46111</v>
      </c>
      <c r="P507" s="224" t="s">
        <v>4503</v>
      </c>
      <c r="Q507" s="91"/>
      <c r="R507" s="91"/>
      <c r="S507" s="91"/>
      <c r="T507" s="91"/>
      <c r="U507" s="91"/>
      <c r="V507" s="91"/>
      <c r="W507" s="91"/>
      <c r="X507" s="91"/>
      <c r="Y507" s="91"/>
      <c r="Z507" s="91"/>
      <c r="AA507" s="91"/>
      <c r="AB507" s="91"/>
      <c r="AC507" s="91"/>
      <c r="AD507" s="91"/>
      <c r="AE507" s="91"/>
      <c r="AF507" s="91"/>
      <c r="AG507" s="91"/>
      <c r="AH507" s="91"/>
      <c r="AI507" s="91"/>
    </row>
    <row r="508" spans="1:35">
      <c r="A508" s="206"/>
      <c r="B508" s="156">
        <v>506</v>
      </c>
      <c r="C508" s="43">
        <v>13529</v>
      </c>
      <c r="D508" s="320">
        <v>43967501</v>
      </c>
      <c r="E508" s="648" t="s">
        <v>4504</v>
      </c>
      <c r="F508" s="42">
        <v>630</v>
      </c>
      <c r="G508" s="43" t="s">
        <v>4505</v>
      </c>
      <c r="H508" s="43" t="s">
        <v>301</v>
      </c>
      <c r="I508" s="320">
        <v>927594041</v>
      </c>
      <c r="J508" s="43" t="s">
        <v>302</v>
      </c>
      <c r="K508" s="44">
        <v>46108</v>
      </c>
      <c r="L508" s="43" t="s">
        <v>683</v>
      </c>
      <c r="M508" s="43" t="s">
        <v>312</v>
      </c>
      <c r="N508" s="43" t="s">
        <v>349</v>
      </c>
      <c r="O508" s="448">
        <v>46111</v>
      </c>
      <c r="P508" s="732" t="s">
        <v>4492</v>
      </c>
      <c r="Q508" s="91"/>
      <c r="R508" s="91"/>
      <c r="S508" s="91"/>
      <c r="T508" s="91"/>
      <c r="U508" s="91"/>
      <c r="V508" s="91"/>
      <c r="W508" s="91"/>
      <c r="X508" s="91"/>
      <c r="Y508" s="91"/>
      <c r="Z508" s="91"/>
      <c r="AA508" s="91"/>
      <c r="AB508" s="91"/>
      <c r="AC508" s="91"/>
      <c r="AD508" s="91"/>
      <c r="AE508" s="91"/>
      <c r="AF508" s="91"/>
      <c r="AG508" s="91"/>
      <c r="AH508" s="91"/>
      <c r="AI508" s="91"/>
    </row>
    <row r="509" spans="1:35">
      <c r="A509" s="43"/>
      <c r="B509" s="156">
        <v>507</v>
      </c>
      <c r="C509" s="43">
        <v>96739</v>
      </c>
      <c r="D509" s="320">
        <v>15616424</v>
      </c>
      <c r="E509" s="648" t="s">
        <v>4506</v>
      </c>
      <c r="F509" s="42">
        <v>58</v>
      </c>
      <c r="G509" s="43" t="s">
        <v>4507</v>
      </c>
      <c r="H509" s="43" t="s">
        <v>237</v>
      </c>
      <c r="I509" s="320">
        <v>934386471</v>
      </c>
      <c r="J509" s="43" t="s">
        <v>347</v>
      </c>
      <c r="K509" s="44">
        <v>46108</v>
      </c>
      <c r="L509" s="43" t="s">
        <v>4508</v>
      </c>
      <c r="M509" s="43" t="s">
        <v>230</v>
      </c>
      <c r="N509" s="43" t="s">
        <v>1199</v>
      </c>
      <c r="O509" s="463">
        <v>46111</v>
      </c>
      <c r="P509" s="224" t="s">
        <v>4131</v>
      </c>
      <c r="Q509" s="91"/>
      <c r="R509" s="91"/>
      <c r="S509" s="91"/>
      <c r="T509" s="91"/>
      <c r="U509" s="91"/>
      <c r="V509" s="91"/>
      <c r="W509" s="91"/>
      <c r="X509" s="91"/>
      <c r="Y509" s="91"/>
      <c r="Z509" s="91"/>
      <c r="AA509" s="91"/>
      <c r="AB509" s="91"/>
      <c r="AC509" s="91"/>
      <c r="AD509" s="91"/>
      <c r="AE509" s="91"/>
      <c r="AF509" s="91"/>
      <c r="AG509" s="91"/>
      <c r="AH509" s="91"/>
      <c r="AI509" s="91"/>
    </row>
    <row r="510" spans="1:35">
      <c r="A510" s="206"/>
      <c r="B510" s="156">
        <v>508</v>
      </c>
      <c r="C510" s="43">
        <v>26334</v>
      </c>
      <c r="D510" s="320">
        <v>43468338</v>
      </c>
      <c r="E510" s="648" t="s">
        <v>4509</v>
      </c>
      <c r="F510" s="42">
        <v>41</v>
      </c>
      <c r="G510" s="43" t="s">
        <v>4510</v>
      </c>
      <c r="H510" s="43" t="s">
        <v>301</v>
      </c>
      <c r="I510" s="320">
        <v>9985298393</v>
      </c>
      <c r="J510" s="43" t="s">
        <v>302</v>
      </c>
      <c r="K510" s="44">
        <v>46108</v>
      </c>
      <c r="L510" s="43" t="s">
        <v>458</v>
      </c>
      <c r="M510" s="43" t="s">
        <v>260</v>
      </c>
      <c r="N510" s="43" t="s">
        <v>349</v>
      </c>
      <c r="O510" s="448">
        <v>46111</v>
      </c>
      <c r="P510" s="732" t="s">
        <v>4492</v>
      </c>
      <c r="Q510" s="91"/>
      <c r="R510" s="91"/>
      <c r="S510" s="91"/>
      <c r="T510" s="91"/>
      <c r="U510" s="91"/>
      <c r="V510" s="91"/>
      <c r="W510" s="91"/>
      <c r="X510" s="91"/>
      <c r="Y510" s="91"/>
      <c r="Z510" s="91"/>
      <c r="AA510" s="91"/>
      <c r="AB510" s="91"/>
      <c r="AC510" s="91"/>
      <c r="AD510" s="91"/>
      <c r="AE510" s="91"/>
      <c r="AF510" s="91"/>
      <c r="AG510" s="91"/>
      <c r="AH510" s="91"/>
      <c r="AI510" s="91"/>
    </row>
    <row r="511" spans="1:35">
      <c r="A511" s="206"/>
      <c r="B511" s="156">
        <v>509</v>
      </c>
      <c r="C511" s="43">
        <v>93323</v>
      </c>
      <c r="D511" s="650">
        <v>45186898</v>
      </c>
      <c r="E511" s="651" t="s">
        <v>4511</v>
      </c>
      <c r="F511" s="42">
        <v>45</v>
      </c>
      <c r="G511" s="653" t="s">
        <v>4512</v>
      </c>
      <c r="H511" s="654" t="s">
        <v>301</v>
      </c>
      <c r="I511" s="655" t="s">
        <v>4513</v>
      </c>
      <c r="J511" s="43" t="s">
        <v>1483</v>
      </c>
      <c r="K511" s="44">
        <v>46108</v>
      </c>
      <c r="L511" s="43" t="s">
        <v>4514</v>
      </c>
      <c r="M511" s="43" t="s">
        <v>260</v>
      </c>
      <c r="N511" s="43" t="s">
        <v>349</v>
      </c>
      <c r="O511" s="448">
        <v>46111</v>
      </c>
      <c r="P511" s="732" t="s">
        <v>4515</v>
      </c>
      <c r="Q511" s="91"/>
      <c r="R511" s="91"/>
      <c r="S511" s="91"/>
      <c r="T511" s="91"/>
      <c r="U511" s="91"/>
      <c r="V511" s="91"/>
      <c r="W511" s="91"/>
      <c r="X511" s="91"/>
      <c r="Y511" s="91"/>
      <c r="Z511" s="91"/>
      <c r="AA511" s="91"/>
      <c r="AB511" s="91"/>
      <c r="AC511" s="91"/>
      <c r="AD511" s="91"/>
      <c r="AE511" s="91"/>
      <c r="AF511" s="91"/>
      <c r="AG511" s="91"/>
      <c r="AH511" s="91"/>
      <c r="AI511" s="91"/>
    </row>
    <row r="512" spans="1:35">
      <c r="A512" s="43"/>
      <c r="B512" s="156">
        <v>510</v>
      </c>
      <c r="C512" s="43">
        <v>166861</v>
      </c>
      <c r="D512" s="320">
        <v>10466922</v>
      </c>
      <c r="E512" s="648" t="s">
        <v>4516</v>
      </c>
      <c r="F512" s="42">
        <v>48</v>
      </c>
      <c r="G512" s="43" t="s">
        <v>4517</v>
      </c>
      <c r="H512" s="43" t="s">
        <v>278</v>
      </c>
      <c r="I512" s="320">
        <v>928638531</v>
      </c>
      <c r="J512" s="43" t="s">
        <v>384</v>
      </c>
      <c r="K512" s="44">
        <v>46108</v>
      </c>
      <c r="L512" s="43" t="s">
        <v>4518</v>
      </c>
      <c r="M512" s="43" t="s">
        <v>323</v>
      </c>
      <c r="N512" s="43" t="s">
        <v>4487</v>
      </c>
      <c r="O512" s="463">
        <v>46111</v>
      </c>
      <c r="P512" s="224" t="s">
        <v>4519</v>
      </c>
      <c r="Q512" s="91"/>
      <c r="R512" s="91"/>
      <c r="S512" s="91"/>
      <c r="T512" s="91"/>
      <c r="U512" s="91"/>
      <c r="V512" s="91"/>
      <c r="W512" s="91"/>
      <c r="X512" s="91"/>
      <c r="Y512" s="91"/>
      <c r="Z512" s="91"/>
      <c r="AA512" s="91"/>
      <c r="AB512" s="91"/>
      <c r="AC512" s="91"/>
      <c r="AD512" s="91"/>
      <c r="AE512" s="91"/>
      <c r="AF512" s="91"/>
      <c r="AG512" s="91"/>
      <c r="AH512" s="91"/>
      <c r="AI512" s="91"/>
    </row>
    <row r="513" spans="1:35">
      <c r="A513" s="43"/>
      <c r="B513" s="156">
        <v>511</v>
      </c>
      <c r="C513" s="43">
        <v>229833</v>
      </c>
      <c r="D513" s="320" t="s">
        <v>4520</v>
      </c>
      <c r="E513" s="648" t="s">
        <v>4521</v>
      </c>
      <c r="F513" s="42">
        <v>61</v>
      </c>
      <c r="G513" s="43" t="s">
        <v>4522</v>
      </c>
      <c r="H513" s="43" t="s">
        <v>288</v>
      </c>
      <c r="I513" s="320">
        <v>934483366</v>
      </c>
      <c r="J513" s="43" t="s">
        <v>347</v>
      </c>
      <c r="K513" s="44">
        <v>46108</v>
      </c>
      <c r="L513" s="43" t="s">
        <v>4523</v>
      </c>
      <c r="M513" s="43" t="s">
        <v>260</v>
      </c>
      <c r="N513" s="43" t="s">
        <v>4524</v>
      </c>
      <c r="O513" s="463">
        <v>46111</v>
      </c>
      <c r="P513" s="224" t="s">
        <v>4131</v>
      </c>
      <c r="Q513" s="91"/>
      <c r="R513" s="91"/>
      <c r="S513" s="91"/>
      <c r="T513" s="91"/>
      <c r="U513" s="91"/>
      <c r="V513" s="91"/>
      <c r="W513" s="91"/>
      <c r="X513" s="91"/>
      <c r="Y513" s="91"/>
      <c r="Z513" s="91"/>
      <c r="AA513" s="91"/>
      <c r="AB513" s="91"/>
      <c r="AC513" s="91"/>
      <c r="AD513" s="91"/>
      <c r="AE513" s="91"/>
      <c r="AF513" s="91"/>
      <c r="AG513" s="91"/>
      <c r="AH513" s="91"/>
      <c r="AI513" s="91"/>
    </row>
    <row r="514" spans="1:35">
      <c r="A514" s="206"/>
      <c r="B514" s="156">
        <v>512</v>
      </c>
      <c r="C514" s="43">
        <v>376757</v>
      </c>
      <c r="D514" s="320">
        <v>40891334</v>
      </c>
      <c r="E514" s="648" t="s">
        <v>4525</v>
      </c>
      <c r="F514" s="42">
        <v>57</v>
      </c>
      <c r="G514" s="43" t="s">
        <v>4526</v>
      </c>
      <c r="H514" s="43" t="s">
        <v>222</v>
      </c>
      <c r="I514" s="320">
        <v>991412229</v>
      </c>
      <c r="J514" s="43" t="s">
        <v>223</v>
      </c>
      <c r="K514" s="44">
        <v>46108</v>
      </c>
      <c r="L514" s="43" t="s">
        <v>679</v>
      </c>
      <c r="M514" s="43" t="s">
        <v>230</v>
      </c>
      <c r="N514" s="43" t="s">
        <v>1199</v>
      </c>
      <c r="O514" s="448">
        <v>46111</v>
      </c>
      <c r="P514" s="732" t="s">
        <v>4385</v>
      </c>
      <c r="Q514" s="91"/>
      <c r="R514" s="91"/>
      <c r="S514" s="91"/>
      <c r="T514" s="91"/>
      <c r="U514" s="91"/>
      <c r="V514" s="91"/>
      <c r="W514" s="91"/>
      <c r="X514" s="91"/>
      <c r="Y514" s="91"/>
      <c r="Z514" s="91"/>
      <c r="AA514" s="91"/>
      <c r="AB514" s="91"/>
      <c r="AC514" s="91"/>
      <c r="AD514" s="91"/>
      <c r="AE514" s="91"/>
      <c r="AF514" s="91"/>
      <c r="AG514" s="91"/>
      <c r="AH514" s="91"/>
      <c r="AI514" s="91"/>
    </row>
    <row r="515" spans="1:35">
      <c r="A515" s="43"/>
      <c r="B515" s="156">
        <v>513</v>
      </c>
      <c r="C515" s="43">
        <v>98351</v>
      </c>
      <c r="D515" s="684">
        <v>43252504</v>
      </c>
      <c r="E515" s="685" t="s">
        <v>4527</v>
      </c>
      <c r="F515" s="658">
        <v>45</v>
      </c>
      <c r="G515" s="686" t="s">
        <v>4528</v>
      </c>
      <c r="H515" s="686" t="s">
        <v>1885</v>
      </c>
      <c r="I515" s="684">
        <v>955527531</v>
      </c>
      <c r="J515" s="43" t="s">
        <v>164</v>
      </c>
      <c r="K515" s="44">
        <v>46108</v>
      </c>
      <c r="L515" s="43" t="s">
        <v>4529</v>
      </c>
      <c r="M515" s="43" t="s">
        <v>260</v>
      </c>
      <c r="N515" s="43" t="s">
        <v>4524</v>
      </c>
      <c r="O515" s="680">
        <v>46111</v>
      </c>
      <c r="P515" s="242" t="s">
        <v>4131</v>
      </c>
      <c r="Q515" s="877" t="s">
        <v>358</v>
      </c>
    </row>
    <row r="516" spans="1:35">
      <c r="A516" s="43"/>
      <c r="B516" s="156">
        <v>514</v>
      </c>
      <c r="C516" s="43">
        <v>524358</v>
      </c>
      <c r="D516" s="320" t="s">
        <v>4530</v>
      </c>
      <c r="E516" s="648" t="s">
        <v>4531</v>
      </c>
      <c r="F516" s="42">
        <v>58</v>
      </c>
      <c r="G516" s="43" t="s">
        <v>4532</v>
      </c>
      <c r="H516" s="43" t="s">
        <v>911</v>
      </c>
      <c r="I516" s="320">
        <v>984162909</v>
      </c>
      <c r="J516" s="43" t="s">
        <v>421</v>
      </c>
      <c r="K516" s="44">
        <v>46108</v>
      </c>
      <c r="L516" s="43" t="s">
        <v>4062</v>
      </c>
      <c r="M516" s="43" t="s">
        <v>312</v>
      </c>
      <c r="N516" s="43" t="s">
        <v>4487</v>
      </c>
      <c r="O516" s="649">
        <v>46111</v>
      </c>
      <c r="P516" s="43" t="s">
        <v>4131</v>
      </c>
      <c r="Q516" s="875" t="s">
        <v>358</v>
      </c>
    </row>
    <row r="517" spans="1:35">
      <c r="A517" s="206"/>
      <c r="B517" s="156">
        <v>515</v>
      </c>
      <c r="C517" s="43">
        <v>184032</v>
      </c>
      <c r="D517" s="320">
        <v>15641072</v>
      </c>
      <c r="E517" s="648" t="s">
        <v>4533</v>
      </c>
      <c r="F517" s="42">
        <v>58</v>
      </c>
      <c r="G517" s="43" t="s">
        <v>4534</v>
      </c>
      <c r="H517" s="43" t="s">
        <v>4535</v>
      </c>
      <c r="I517" s="320" t="s">
        <v>4536</v>
      </c>
      <c r="J517" s="43" t="s">
        <v>238</v>
      </c>
      <c r="K517" s="44">
        <v>46108</v>
      </c>
      <c r="L517" s="43" t="s">
        <v>4537</v>
      </c>
      <c r="M517" s="43" t="s">
        <v>260</v>
      </c>
      <c r="N517" s="43" t="s">
        <v>4538</v>
      </c>
      <c r="O517" s="649">
        <v>46112</v>
      </c>
      <c r="P517" s="732"/>
      <c r="Q517" s="928" t="s">
        <v>3797</v>
      </c>
      <c r="R517" s="91"/>
      <c r="S517" s="91"/>
      <c r="T517" s="91"/>
      <c r="U517" s="91"/>
      <c r="V517" s="91"/>
      <c r="W517" s="91"/>
      <c r="X517" s="91"/>
      <c r="Y517" s="91"/>
      <c r="Z517" s="91"/>
      <c r="AA517" s="91"/>
      <c r="AB517" s="91"/>
      <c r="AC517" s="91"/>
      <c r="AD517" s="91"/>
      <c r="AE517" s="91"/>
      <c r="AF517" s="91"/>
      <c r="AG517" s="91"/>
      <c r="AH517" s="91"/>
      <c r="AI517" s="91"/>
    </row>
    <row r="518" spans="1:35">
      <c r="A518" s="206"/>
      <c r="B518" s="156">
        <v>516</v>
      </c>
      <c r="C518" s="43">
        <v>325874</v>
      </c>
      <c r="D518" s="650">
        <v>42818934</v>
      </c>
      <c r="E518" s="651" t="s">
        <v>4539</v>
      </c>
      <c r="F518" s="652">
        <v>41</v>
      </c>
      <c r="G518" s="43" t="s">
        <v>4540</v>
      </c>
      <c r="H518" s="43" t="s">
        <v>301</v>
      </c>
      <c r="I518" s="650">
        <v>984171330</v>
      </c>
      <c r="J518" s="653" t="s">
        <v>4541</v>
      </c>
      <c r="K518" s="44">
        <v>46108</v>
      </c>
      <c r="L518" s="897" t="s">
        <v>576</v>
      </c>
      <c r="M518" s="897" t="s">
        <v>260</v>
      </c>
      <c r="N518" s="706" t="s">
        <v>241</v>
      </c>
      <c r="O518" s="898">
        <v>46118</v>
      </c>
      <c r="P518" s="900" t="s">
        <v>4542</v>
      </c>
      <c r="Q518" s="91"/>
      <c r="R518" s="91"/>
      <c r="S518" s="91"/>
      <c r="T518" s="91"/>
      <c r="U518" s="91"/>
      <c r="V518" s="91"/>
      <c r="W518" s="91"/>
      <c r="X518" s="91"/>
      <c r="Y518" s="91"/>
      <c r="Z518" s="91"/>
      <c r="AA518" s="91"/>
      <c r="AB518" s="91"/>
      <c r="AC518" s="91"/>
      <c r="AD518" s="91"/>
      <c r="AE518" s="91"/>
      <c r="AF518" s="91"/>
      <c r="AG518" s="91"/>
      <c r="AH518" s="91"/>
      <c r="AI518" s="91"/>
    </row>
    <row r="519" spans="1:35">
      <c r="A519" s="43"/>
      <c r="B519" s="156">
        <v>517</v>
      </c>
      <c r="C519" s="43">
        <v>524361</v>
      </c>
      <c r="D519" s="662">
        <v>10422270</v>
      </c>
      <c r="E519" s="663" t="s">
        <v>4543</v>
      </c>
      <c r="F519" s="664">
        <v>52</v>
      </c>
      <c r="G519" s="43" t="s">
        <v>4544</v>
      </c>
      <c r="H519" s="43" t="s">
        <v>271</v>
      </c>
      <c r="I519" s="662" t="s">
        <v>4545</v>
      </c>
      <c r="J519" s="43" t="s">
        <v>162</v>
      </c>
      <c r="K519" s="44">
        <v>46108</v>
      </c>
      <c r="L519" s="43" t="s">
        <v>4546</v>
      </c>
      <c r="M519" s="43" t="s">
        <v>312</v>
      </c>
      <c r="N519" s="43" t="s">
        <v>4547</v>
      </c>
      <c r="O519" s="680">
        <v>46111</v>
      </c>
      <c r="P519" s="242" t="s">
        <v>4131</v>
      </c>
      <c r="Q519" s="879" t="s">
        <v>358</v>
      </c>
    </row>
    <row r="520" spans="1:35">
      <c r="A520" s="43"/>
      <c r="B520" s="156">
        <v>518</v>
      </c>
      <c r="C520" s="43">
        <v>29602</v>
      </c>
      <c r="D520" s="320">
        <v>15731587</v>
      </c>
      <c r="E520" s="648" t="s">
        <v>4548</v>
      </c>
      <c r="F520" s="42">
        <v>52</v>
      </c>
      <c r="G520" s="43" t="s">
        <v>4549</v>
      </c>
      <c r="H520" s="43" t="s">
        <v>301</v>
      </c>
      <c r="I520" s="320">
        <v>999098258</v>
      </c>
      <c r="J520" s="43" t="s">
        <v>380</v>
      </c>
      <c r="K520" s="44">
        <v>46108</v>
      </c>
      <c r="L520" s="670" t="s">
        <v>1568</v>
      </c>
      <c r="M520" s="43" t="s">
        <v>4550</v>
      </c>
      <c r="N520" s="675" t="s">
        <v>601</v>
      </c>
      <c r="O520" s="463">
        <v>46111</v>
      </c>
      <c r="P520" s="224" t="s">
        <v>4401</v>
      </c>
      <c r="Q520" s="91"/>
      <c r="R520" s="91"/>
      <c r="S520" s="91"/>
      <c r="T520" s="91"/>
      <c r="U520" s="91"/>
      <c r="V520" s="91"/>
      <c r="W520" s="91"/>
      <c r="X520" s="91"/>
      <c r="Y520" s="91"/>
      <c r="Z520" s="91"/>
      <c r="AA520" s="91"/>
      <c r="AB520" s="91"/>
      <c r="AC520" s="91"/>
      <c r="AD520" s="91"/>
      <c r="AE520" s="91"/>
      <c r="AF520" s="91"/>
      <c r="AG520" s="91"/>
      <c r="AH520" s="91"/>
      <c r="AI520" s="91"/>
    </row>
    <row r="521" spans="1:35">
      <c r="A521" s="206"/>
      <c r="B521" s="156">
        <v>519</v>
      </c>
      <c r="C521" s="43">
        <v>261034</v>
      </c>
      <c r="D521" s="320">
        <v>22760088</v>
      </c>
      <c r="E521" s="648" t="s">
        <v>4551</v>
      </c>
      <c r="F521" s="42">
        <v>50</v>
      </c>
      <c r="G521" s="43" t="s">
        <v>4552</v>
      </c>
      <c r="H521" s="43" t="s">
        <v>237</v>
      </c>
      <c r="I521" s="320" t="s">
        <v>4553</v>
      </c>
      <c r="J521" s="43" t="s">
        <v>238</v>
      </c>
      <c r="K521" s="44">
        <v>46108</v>
      </c>
      <c r="L521" s="670" t="s">
        <v>1109</v>
      </c>
      <c r="M521" s="43" t="s">
        <v>4554</v>
      </c>
      <c r="N521" s="675" t="s">
        <v>601</v>
      </c>
      <c r="O521" s="649">
        <v>46112</v>
      </c>
      <c r="P521" s="732"/>
      <c r="Q521" s="91"/>
      <c r="R521" s="91"/>
      <c r="S521" s="91"/>
      <c r="T521" s="91"/>
      <c r="U521" s="91"/>
      <c r="V521" s="91"/>
      <c r="W521" s="91"/>
      <c r="X521" s="91"/>
      <c r="Y521" s="91"/>
      <c r="Z521" s="91"/>
      <c r="AA521" s="91"/>
      <c r="AB521" s="91"/>
      <c r="AC521" s="91"/>
      <c r="AD521" s="91"/>
      <c r="AE521" s="91"/>
      <c r="AF521" s="91"/>
      <c r="AG521" s="91"/>
      <c r="AH521" s="91"/>
      <c r="AI521" s="91"/>
    </row>
    <row r="522" spans="1:35">
      <c r="A522" s="43"/>
      <c r="B522" s="156">
        <v>520</v>
      </c>
      <c r="C522" s="43">
        <v>524363</v>
      </c>
      <c r="D522" s="662">
        <v>15981164</v>
      </c>
      <c r="E522" s="663" t="s">
        <v>4555</v>
      </c>
      <c r="F522" s="664">
        <v>66</v>
      </c>
      <c r="G522" s="43" t="s">
        <v>4556</v>
      </c>
      <c r="H522" s="43" t="s">
        <v>271</v>
      </c>
      <c r="I522" s="662">
        <v>933441027</v>
      </c>
      <c r="J522" s="682" t="s">
        <v>164</v>
      </c>
      <c r="K522" s="44">
        <v>46108</v>
      </c>
      <c r="L522" s="43" t="s">
        <v>4557</v>
      </c>
      <c r="M522" s="43" t="s">
        <v>260</v>
      </c>
      <c r="N522" s="43" t="s">
        <v>4558</v>
      </c>
      <c r="O522" s="680">
        <v>46111</v>
      </c>
      <c r="P522" s="242" t="s">
        <v>4131</v>
      </c>
      <c r="Q522" s="879" t="s">
        <v>358</v>
      </c>
    </row>
    <row r="523" spans="1:35">
      <c r="A523" s="43"/>
      <c r="B523" s="156">
        <v>521</v>
      </c>
      <c r="C523" s="43">
        <v>177535</v>
      </c>
      <c r="D523" s="320">
        <v>15734286</v>
      </c>
      <c r="E523" s="648" t="s">
        <v>4559</v>
      </c>
      <c r="F523" s="42">
        <v>55</v>
      </c>
      <c r="G523" s="43" t="s">
        <v>4560</v>
      </c>
      <c r="H523" s="43" t="s">
        <v>246</v>
      </c>
      <c r="I523" s="320">
        <v>993032548</v>
      </c>
      <c r="J523" s="43" t="s">
        <v>1312</v>
      </c>
      <c r="K523" s="44">
        <v>46108</v>
      </c>
      <c r="L523" s="670" t="s">
        <v>4561</v>
      </c>
      <c r="M523" s="43" t="s">
        <v>4550</v>
      </c>
      <c r="N523" s="43" t="s">
        <v>317</v>
      </c>
      <c r="O523" s="463">
        <v>46111</v>
      </c>
      <c r="P523" s="224" t="s">
        <v>4562</v>
      </c>
      <c r="Q523" s="91"/>
      <c r="R523" s="91"/>
      <c r="S523" s="91"/>
      <c r="T523" s="91"/>
      <c r="U523" s="91"/>
      <c r="V523" s="91"/>
      <c r="W523" s="91"/>
      <c r="X523" s="91"/>
      <c r="Y523" s="91"/>
      <c r="Z523" s="91"/>
      <c r="AA523" s="91"/>
      <c r="AB523" s="91"/>
      <c r="AC523" s="91"/>
      <c r="AD523" s="91"/>
      <c r="AE523" s="91"/>
      <c r="AF523" s="91"/>
      <c r="AG523" s="91"/>
      <c r="AH523" s="91"/>
      <c r="AI523" s="91"/>
    </row>
    <row r="524" spans="1:35">
      <c r="A524" s="687" t="s">
        <v>513</v>
      </c>
      <c r="B524" s="156">
        <v>522</v>
      </c>
      <c r="C524" s="43">
        <v>443951</v>
      </c>
      <c r="D524" s="320">
        <v>41751087</v>
      </c>
      <c r="E524" s="648" t="s">
        <v>4563</v>
      </c>
      <c r="F524" s="42">
        <v>43</v>
      </c>
      <c r="G524" s="43" t="s">
        <v>4564</v>
      </c>
      <c r="H524" s="43" t="s">
        <v>278</v>
      </c>
      <c r="I524" s="320">
        <v>952374249</v>
      </c>
      <c r="J524" s="43" t="s">
        <v>238</v>
      </c>
      <c r="K524" s="223">
        <v>46108</v>
      </c>
      <c r="L524" s="901" t="s">
        <v>584</v>
      </c>
      <c r="M524" s="897" t="s">
        <v>4565</v>
      </c>
      <c r="N524" s="897" t="s">
        <v>241</v>
      </c>
      <c r="O524" s="899">
        <v>46116</v>
      </c>
      <c r="P524" s="897"/>
      <c r="Q524" s="897" t="s">
        <v>3797</v>
      </c>
      <c r="R524" s="897"/>
      <c r="S524" s="897"/>
      <c r="T524" s="91"/>
      <c r="U524" s="91"/>
      <c r="V524" s="91"/>
      <c r="W524" s="91"/>
      <c r="X524" s="91"/>
      <c r="Y524" s="91"/>
      <c r="Z524" s="91"/>
      <c r="AA524" s="91"/>
      <c r="AB524" s="91"/>
      <c r="AC524" s="91"/>
      <c r="AD524" s="91"/>
      <c r="AE524" s="91"/>
      <c r="AF524" s="91"/>
      <c r="AG524" s="91"/>
      <c r="AH524" s="91"/>
      <c r="AI524" s="91"/>
    </row>
    <row r="525" spans="1:35">
      <c r="A525" s="43"/>
      <c r="B525" s="156">
        <v>523</v>
      </c>
      <c r="C525" s="43">
        <v>483286</v>
      </c>
      <c r="D525" s="320" t="s">
        <v>4566</v>
      </c>
      <c r="E525" s="648" t="s">
        <v>4567</v>
      </c>
      <c r="F525" s="42">
        <v>48</v>
      </c>
      <c r="G525" s="43" t="s">
        <v>4568</v>
      </c>
      <c r="H525" s="43" t="s">
        <v>278</v>
      </c>
      <c r="I525" s="320">
        <v>932493611</v>
      </c>
      <c r="J525" s="43" t="s">
        <v>384</v>
      </c>
      <c r="K525" s="44">
        <v>46108</v>
      </c>
      <c r="L525" s="670" t="s">
        <v>1568</v>
      </c>
      <c r="M525" s="43" t="s">
        <v>4550</v>
      </c>
      <c r="N525" s="675" t="s">
        <v>601</v>
      </c>
      <c r="O525" s="463">
        <v>46111</v>
      </c>
      <c r="P525" s="224" t="s">
        <v>4519</v>
      </c>
      <c r="Q525" s="91"/>
      <c r="R525" s="91"/>
      <c r="S525" s="91"/>
      <c r="T525" s="91"/>
      <c r="U525" s="91"/>
      <c r="V525" s="91"/>
      <c r="W525" s="91"/>
      <c r="X525" s="91"/>
      <c r="Y525" s="91"/>
      <c r="Z525" s="91"/>
      <c r="AA525" s="91"/>
      <c r="AB525" s="91"/>
      <c r="AC525" s="91"/>
      <c r="AD525" s="91"/>
      <c r="AE525" s="91"/>
      <c r="AF525" s="91"/>
      <c r="AG525" s="91"/>
      <c r="AH525" s="91"/>
      <c r="AI525" s="91"/>
    </row>
    <row r="526" spans="1:35">
      <c r="A526" s="206"/>
      <c r="B526" s="156">
        <v>524</v>
      </c>
      <c r="C526" s="43">
        <v>175728</v>
      </c>
      <c r="D526" s="320">
        <v>44787971</v>
      </c>
      <c r="E526" s="648" t="s">
        <v>4569</v>
      </c>
      <c r="F526" s="42">
        <v>52</v>
      </c>
      <c r="G526" s="43" t="s">
        <v>4570</v>
      </c>
      <c r="H526" s="43" t="s">
        <v>237</v>
      </c>
      <c r="I526" s="320">
        <v>939308914</v>
      </c>
      <c r="J526" s="43" t="s">
        <v>347</v>
      </c>
      <c r="K526" s="44">
        <v>46108</v>
      </c>
      <c r="L526" s="670" t="s">
        <v>1109</v>
      </c>
      <c r="M526" s="43" t="s">
        <v>4554</v>
      </c>
      <c r="N526" s="675" t="s">
        <v>601</v>
      </c>
      <c r="O526" s="448">
        <v>46111</v>
      </c>
      <c r="P526" s="732" t="s">
        <v>4413</v>
      </c>
      <c r="Q526" s="91"/>
      <c r="R526" s="91"/>
      <c r="S526" s="91"/>
      <c r="T526" s="91"/>
      <c r="U526" s="91"/>
      <c r="V526" s="91"/>
      <c r="W526" s="91"/>
      <c r="X526" s="91"/>
      <c r="Y526" s="91"/>
      <c r="Z526" s="91"/>
      <c r="AA526" s="91"/>
      <c r="AB526" s="91"/>
      <c r="AC526" s="91"/>
      <c r="AD526" s="91"/>
      <c r="AE526" s="91"/>
      <c r="AF526" s="91"/>
      <c r="AG526" s="91"/>
      <c r="AH526" s="91"/>
      <c r="AI526" s="91"/>
    </row>
    <row r="527" spans="1:35">
      <c r="A527" s="206"/>
      <c r="B527" s="156">
        <v>525</v>
      </c>
      <c r="C527" s="43">
        <v>524369</v>
      </c>
      <c r="D527" s="320">
        <v>15944838</v>
      </c>
      <c r="E527" s="648" t="s">
        <v>4571</v>
      </c>
      <c r="F527" s="42">
        <v>59</v>
      </c>
      <c r="G527" s="43" t="s">
        <v>4572</v>
      </c>
      <c r="H527" s="43" t="s">
        <v>461</v>
      </c>
      <c r="I527" s="320" t="s">
        <v>4573</v>
      </c>
      <c r="J527" s="43" t="s">
        <v>162</v>
      </c>
      <c r="K527" s="44">
        <v>46108</v>
      </c>
      <c r="L527" s="670" t="s">
        <v>4574</v>
      </c>
      <c r="M527" s="43" t="s">
        <v>4565</v>
      </c>
      <c r="N527" s="43" t="s">
        <v>317</v>
      </c>
      <c r="O527" s="680">
        <v>46111</v>
      </c>
      <c r="P527" s="242" t="s">
        <v>4131</v>
      </c>
      <c r="Q527" s="879" t="s">
        <v>358</v>
      </c>
    </row>
    <row r="528" spans="1:35">
      <c r="A528" s="43"/>
      <c r="B528" s="156">
        <v>526</v>
      </c>
      <c r="C528" s="43">
        <v>252047</v>
      </c>
      <c r="D528" s="320">
        <v>40447455</v>
      </c>
      <c r="E528" s="648" t="s">
        <v>4575</v>
      </c>
      <c r="F528" s="42">
        <v>46</v>
      </c>
      <c r="G528" s="43" t="s">
        <v>4576</v>
      </c>
      <c r="H528" s="43" t="s">
        <v>301</v>
      </c>
      <c r="I528" s="320">
        <v>986733622</v>
      </c>
      <c r="J528" s="43" t="s">
        <v>238</v>
      </c>
      <c r="K528" s="44">
        <v>46108</v>
      </c>
      <c r="L528" s="43" t="s">
        <v>4577</v>
      </c>
      <c r="M528" s="43" t="s">
        <v>4565</v>
      </c>
      <c r="N528" s="675" t="s">
        <v>601</v>
      </c>
      <c r="O528" s="649">
        <v>46112</v>
      </c>
      <c r="P528" s="224"/>
      <c r="Q528" s="897" t="s">
        <v>3797</v>
      </c>
      <c r="R528" s="91"/>
      <c r="S528" s="91"/>
      <c r="T528" s="91"/>
      <c r="U528" s="91"/>
      <c r="V528" s="91"/>
      <c r="W528" s="91"/>
      <c r="X528" s="91"/>
      <c r="Y528" s="91"/>
      <c r="Z528" s="91"/>
      <c r="AA528" s="91"/>
      <c r="AB528" s="91"/>
      <c r="AC528" s="91"/>
      <c r="AD528" s="91"/>
      <c r="AE528" s="91"/>
      <c r="AF528" s="91"/>
      <c r="AG528" s="91"/>
      <c r="AH528" s="91"/>
      <c r="AI528" s="91"/>
    </row>
    <row r="529" spans="1:35">
      <c r="A529" s="43"/>
      <c r="B529" s="156">
        <v>527</v>
      </c>
      <c r="C529" s="43">
        <v>169011</v>
      </c>
      <c r="D529" s="320">
        <v>15734358</v>
      </c>
      <c r="E529" s="648" t="s">
        <v>4578</v>
      </c>
      <c r="F529" s="42">
        <v>51</v>
      </c>
      <c r="G529" s="43" t="s">
        <v>4579</v>
      </c>
      <c r="H529" s="43" t="s">
        <v>301</v>
      </c>
      <c r="I529" s="320">
        <v>959148244</v>
      </c>
      <c r="J529" s="43" t="s">
        <v>3202</v>
      </c>
      <c r="K529" s="44">
        <v>46108</v>
      </c>
      <c r="L529" s="670" t="s">
        <v>1561</v>
      </c>
      <c r="M529" s="43" t="s">
        <v>4565</v>
      </c>
      <c r="N529" s="675" t="s">
        <v>601</v>
      </c>
      <c r="O529" s="463">
        <v>46111</v>
      </c>
      <c r="P529" s="223" t="s">
        <v>4580</v>
      </c>
      <c r="Q529" s="91"/>
      <c r="R529" s="91"/>
      <c r="S529" s="91"/>
      <c r="T529" s="91"/>
      <c r="U529" s="91"/>
      <c r="V529" s="91"/>
      <c r="W529" s="91"/>
      <c r="X529" s="91"/>
      <c r="Y529" s="91"/>
      <c r="Z529" s="91"/>
      <c r="AA529" s="91"/>
      <c r="AB529" s="91"/>
      <c r="AC529" s="91"/>
      <c r="AD529" s="91"/>
      <c r="AE529" s="91"/>
      <c r="AF529" s="91"/>
      <c r="AG529" s="91"/>
      <c r="AH529" s="91"/>
      <c r="AI529" s="91"/>
    </row>
    <row r="530" spans="1:35">
      <c r="A530" s="675"/>
      <c r="B530" s="156">
        <v>528</v>
      </c>
      <c r="C530" s="675">
        <v>194347</v>
      </c>
      <c r="D530" s="676">
        <v>15765636</v>
      </c>
      <c r="E530" s="677" t="s">
        <v>4581</v>
      </c>
      <c r="F530" s="331">
        <v>47</v>
      </c>
      <c r="G530" s="675" t="s">
        <v>4582</v>
      </c>
      <c r="H530" s="675" t="s">
        <v>301</v>
      </c>
      <c r="I530" s="676">
        <v>930503145</v>
      </c>
      <c r="J530" s="675" t="s">
        <v>3202</v>
      </c>
      <c r="K530" s="678">
        <v>46108</v>
      </c>
      <c r="L530" s="670" t="s">
        <v>1561</v>
      </c>
      <c r="M530" s="675" t="s">
        <v>4565</v>
      </c>
      <c r="N530" s="675" t="s">
        <v>601</v>
      </c>
      <c r="O530" s="463">
        <v>46111</v>
      </c>
      <c r="P530" s="223" t="s">
        <v>4580</v>
      </c>
      <c r="Q530" s="91"/>
      <c r="R530" s="91"/>
      <c r="S530" s="91"/>
      <c r="T530" s="91"/>
      <c r="U530" s="91"/>
      <c r="V530" s="91"/>
      <c r="W530" s="91"/>
      <c r="X530" s="91"/>
      <c r="Y530" s="91"/>
      <c r="Z530" s="91"/>
      <c r="AA530" s="91"/>
      <c r="AB530" s="91"/>
      <c r="AC530" s="91"/>
      <c r="AD530" s="91"/>
      <c r="AE530" s="91"/>
      <c r="AF530" s="91"/>
      <c r="AG530" s="91"/>
      <c r="AH530" s="91"/>
      <c r="AI530" s="91"/>
    </row>
    <row r="531" spans="1:35">
      <c r="A531" s="43"/>
      <c r="B531" s="156">
        <v>529</v>
      </c>
      <c r="C531" s="43">
        <v>7198</v>
      </c>
      <c r="D531" s="320">
        <v>15603678</v>
      </c>
      <c r="E531" s="648" t="s">
        <v>4583</v>
      </c>
      <c r="F531" s="42">
        <v>63</v>
      </c>
      <c r="G531" s="43" t="s">
        <v>4584</v>
      </c>
      <c r="H531" s="43" t="s">
        <v>278</v>
      </c>
      <c r="I531" s="320">
        <v>988270672</v>
      </c>
      <c r="J531" s="43" t="s">
        <v>238</v>
      </c>
      <c r="K531" s="44">
        <v>46108</v>
      </c>
      <c r="L531" s="670" t="s">
        <v>4585</v>
      </c>
      <c r="M531" s="43" t="s">
        <v>4586</v>
      </c>
      <c r="N531" s="43" t="s">
        <v>4587</v>
      </c>
      <c r="O531" s="649">
        <v>46112</v>
      </c>
      <c r="P531" s="224"/>
      <c r="Q531" s="91"/>
      <c r="R531" s="91"/>
      <c r="S531" s="91"/>
      <c r="T531" s="91"/>
      <c r="U531" s="91"/>
      <c r="V531" s="91"/>
      <c r="W531" s="91"/>
      <c r="X531" s="91"/>
      <c r="Y531" s="91"/>
      <c r="Z531" s="91"/>
      <c r="AA531" s="91"/>
      <c r="AB531" s="91"/>
      <c r="AC531" s="91"/>
      <c r="AD531" s="91"/>
      <c r="AE531" s="91"/>
      <c r="AF531" s="91"/>
      <c r="AG531" s="91"/>
      <c r="AH531" s="91"/>
      <c r="AI531" s="91"/>
    </row>
    <row r="532" spans="1:35">
      <c r="A532" s="43"/>
      <c r="B532" s="156">
        <v>530</v>
      </c>
      <c r="C532" s="43">
        <v>417945</v>
      </c>
      <c r="D532" s="320">
        <v>15858586</v>
      </c>
      <c r="E532" s="648" t="s">
        <v>4588</v>
      </c>
      <c r="F532" s="42">
        <v>55</v>
      </c>
      <c r="G532" s="43" t="s">
        <v>4589</v>
      </c>
      <c r="H532" s="43" t="s">
        <v>2724</v>
      </c>
      <c r="I532" s="320">
        <v>921878868</v>
      </c>
      <c r="J532" s="43" t="s">
        <v>238</v>
      </c>
      <c r="K532" s="44">
        <v>46108</v>
      </c>
      <c r="L532" s="897" t="s">
        <v>376</v>
      </c>
      <c r="M532" s="897" t="s">
        <v>4565</v>
      </c>
      <c r="N532" s="897" t="s">
        <v>317</v>
      </c>
      <c r="O532" s="899">
        <v>46118</v>
      </c>
      <c r="P532" s="224"/>
      <c r="Q532" s="91"/>
      <c r="R532" s="91"/>
      <c r="S532" s="91"/>
      <c r="T532" s="91"/>
      <c r="U532" s="91"/>
      <c r="V532" s="91"/>
      <c r="W532" s="91"/>
      <c r="X532" s="91"/>
      <c r="Y532" s="91"/>
      <c r="Z532" s="91"/>
      <c r="AA532" s="91"/>
      <c r="AB532" s="91"/>
      <c r="AC532" s="91"/>
      <c r="AD532" s="91"/>
      <c r="AE532" s="91"/>
      <c r="AF532" s="91"/>
      <c r="AG532" s="91"/>
      <c r="AH532" s="91"/>
      <c r="AI532" s="91"/>
    </row>
    <row r="533" spans="1:35">
      <c r="A533" s="43"/>
      <c r="B533" s="156">
        <v>531</v>
      </c>
      <c r="C533" s="43">
        <v>68084</v>
      </c>
      <c r="D533" s="320">
        <v>15688852</v>
      </c>
      <c r="E533" s="648" t="s">
        <v>4590</v>
      </c>
      <c r="F533" s="42">
        <v>66</v>
      </c>
      <c r="G533" s="43" t="s">
        <v>4591</v>
      </c>
      <c r="H533" s="43" t="s">
        <v>288</v>
      </c>
      <c r="I533" s="320">
        <v>934439520</v>
      </c>
      <c r="J533" s="43" t="s">
        <v>347</v>
      </c>
      <c r="K533" s="44">
        <v>46108</v>
      </c>
      <c r="L533" s="670" t="s">
        <v>4592</v>
      </c>
      <c r="M533" s="43" t="s">
        <v>4565</v>
      </c>
      <c r="N533" s="43" t="s">
        <v>601</v>
      </c>
      <c r="O533" s="463">
        <v>46111</v>
      </c>
      <c r="P533" s="224" t="s">
        <v>4413</v>
      </c>
      <c r="Q533" s="91"/>
      <c r="R533" s="91"/>
      <c r="S533" s="91"/>
      <c r="T533" s="91"/>
      <c r="U533" s="91"/>
      <c r="V533" s="91"/>
      <c r="W533" s="91"/>
      <c r="X533" s="91"/>
      <c r="Y533" s="91"/>
      <c r="Z533" s="91"/>
      <c r="AA533" s="91"/>
      <c r="AB533" s="91"/>
      <c r="AC533" s="91"/>
      <c r="AD533" s="91"/>
      <c r="AE533" s="91"/>
      <c r="AF533" s="91"/>
      <c r="AG533" s="91"/>
      <c r="AH533" s="91"/>
      <c r="AI533" s="91"/>
    </row>
    <row r="534" spans="1:35">
      <c r="A534" s="43"/>
      <c r="B534" s="156">
        <v>532</v>
      </c>
      <c r="C534" s="43">
        <v>248773</v>
      </c>
      <c r="D534" s="320">
        <v>15862755</v>
      </c>
      <c r="E534" s="648" t="s">
        <v>4593</v>
      </c>
      <c r="F534" s="42">
        <v>48</v>
      </c>
      <c r="G534" s="43" t="s">
        <v>4594</v>
      </c>
      <c r="H534" s="43" t="s">
        <v>237</v>
      </c>
      <c r="I534" s="320">
        <v>906620163</v>
      </c>
      <c r="J534" s="43" t="s">
        <v>347</v>
      </c>
      <c r="K534" s="44">
        <v>46108</v>
      </c>
      <c r="L534" s="897" t="s">
        <v>4595</v>
      </c>
      <c r="M534" s="897" t="s">
        <v>4586</v>
      </c>
      <c r="N534" s="706" t="s">
        <v>241</v>
      </c>
      <c r="O534" s="898">
        <v>46118</v>
      </c>
      <c r="P534" s="897" t="s">
        <v>4596</v>
      </c>
      <c r="Q534" s="43"/>
      <c r="R534" s="91"/>
      <c r="S534" s="91"/>
      <c r="T534" s="91"/>
      <c r="U534" s="91"/>
      <c r="V534" s="91"/>
      <c r="W534" s="91"/>
      <c r="X534" s="91"/>
      <c r="Y534" s="91"/>
      <c r="Z534" s="91"/>
      <c r="AA534" s="91"/>
      <c r="AB534" s="91"/>
      <c r="AC534" s="91"/>
      <c r="AD534" s="91"/>
      <c r="AE534" s="91"/>
      <c r="AF534" s="91"/>
      <c r="AG534" s="91"/>
      <c r="AH534" s="91"/>
      <c r="AI534" s="91"/>
    </row>
    <row r="535" spans="1:35">
      <c r="A535" s="43"/>
      <c r="B535" s="156">
        <v>533</v>
      </c>
      <c r="C535" s="43">
        <v>426594</v>
      </c>
      <c r="D535" s="320">
        <v>43399476</v>
      </c>
      <c r="E535" s="648" t="s">
        <v>4597</v>
      </c>
      <c r="F535" s="42">
        <v>40</v>
      </c>
      <c r="G535" s="43" t="s">
        <v>4598</v>
      </c>
      <c r="H535" s="43" t="s">
        <v>301</v>
      </c>
      <c r="I535" s="320">
        <v>928595562</v>
      </c>
      <c r="J535" s="43" t="s">
        <v>3202</v>
      </c>
      <c r="K535" s="44">
        <v>46108</v>
      </c>
      <c r="L535" s="897" t="s">
        <v>4599</v>
      </c>
      <c r="M535" s="897" t="s">
        <v>312</v>
      </c>
      <c r="N535" s="706" t="s">
        <v>241</v>
      </c>
      <c r="O535" s="898">
        <v>46118</v>
      </c>
      <c r="P535" s="897" t="s">
        <v>4600</v>
      </c>
      <c r="Q535" s="43"/>
      <c r="R535" s="91"/>
      <c r="S535" s="91"/>
      <c r="T535" s="91"/>
      <c r="U535" s="91"/>
      <c r="V535" s="91"/>
      <c r="W535" s="91"/>
      <c r="X535" s="91"/>
      <c r="Y535" s="91"/>
      <c r="Z535" s="91"/>
      <c r="AA535" s="91"/>
      <c r="AB535" s="91"/>
      <c r="AC535" s="91"/>
      <c r="AD535" s="91"/>
      <c r="AE535" s="91"/>
      <c r="AF535" s="91"/>
      <c r="AG535" s="91"/>
      <c r="AH535" s="91"/>
      <c r="AI535" s="91"/>
    </row>
    <row r="536" spans="1:35">
      <c r="A536" s="675"/>
      <c r="B536" s="156">
        <v>534</v>
      </c>
      <c r="C536" s="675">
        <v>28698</v>
      </c>
      <c r="D536" s="676">
        <v>23168981</v>
      </c>
      <c r="E536" s="677" t="s">
        <v>4601</v>
      </c>
      <c r="F536" s="331">
        <v>51</v>
      </c>
      <c r="G536" s="675" t="s">
        <v>4602</v>
      </c>
      <c r="H536" s="675" t="s">
        <v>237</v>
      </c>
      <c r="I536" s="676">
        <v>981524149</v>
      </c>
      <c r="J536" s="43" t="s">
        <v>347</v>
      </c>
      <c r="K536" s="678">
        <v>46108</v>
      </c>
      <c r="L536" s="897" t="s">
        <v>4599</v>
      </c>
      <c r="M536" s="897" t="s">
        <v>312</v>
      </c>
      <c r="N536" s="706" t="s">
        <v>241</v>
      </c>
      <c r="O536" s="898">
        <v>46118</v>
      </c>
      <c r="P536" s="897" t="s">
        <v>4596</v>
      </c>
      <c r="Q536" s="675"/>
      <c r="R536" s="91"/>
      <c r="S536" s="91"/>
      <c r="T536" s="91"/>
      <c r="U536" s="91"/>
      <c r="V536" s="91"/>
      <c r="W536" s="91"/>
      <c r="X536" s="91"/>
      <c r="Y536" s="91"/>
      <c r="Z536" s="91"/>
      <c r="AA536" s="91"/>
      <c r="AB536" s="91"/>
      <c r="AC536" s="91"/>
      <c r="AD536" s="91"/>
      <c r="AE536" s="91"/>
      <c r="AF536" s="91"/>
      <c r="AG536" s="91"/>
      <c r="AH536" s="91"/>
      <c r="AI536" s="91"/>
    </row>
    <row r="537" spans="1:35">
      <c r="A537" s="206"/>
      <c r="B537" s="156">
        <v>535</v>
      </c>
      <c r="C537" s="43">
        <v>284460</v>
      </c>
      <c r="D537" s="650">
        <v>41520149</v>
      </c>
      <c r="E537" s="651" t="s">
        <v>4603</v>
      </c>
      <c r="F537" s="42">
        <v>43</v>
      </c>
      <c r="G537" s="653" t="s">
        <v>4604</v>
      </c>
      <c r="H537" s="654" t="s">
        <v>326</v>
      </c>
      <c r="I537" s="655">
        <v>900167120</v>
      </c>
      <c r="J537" s="43" t="s">
        <v>238</v>
      </c>
      <c r="K537" s="44">
        <v>46108</v>
      </c>
      <c r="L537" s="897" t="s">
        <v>747</v>
      </c>
      <c r="M537" s="897" t="s">
        <v>230</v>
      </c>
      <c r="N537" s="706" t="s">
        <v>317</v>
      </c>
      <c r="O537" s="899">
        <v>46116</v>
      </c>
      <c r="P537" s="900"/>
      <c r="Q537" s="242"/>
      <c r="R537" s="91"/>
      <c r="S537" s="91"/>
      <c r="T537" s="91"/>
      <c r="U537" s="91"/>
      <c r="V537" s="91"/>
      <c r="W537" s="91"/>
      <c r="X537" s="91"/>
      <c r="Y537" s="91"/>
      <c r="Z537" s="91"/>
      <c r="AA537" s="91"/>
      <c r="AB537" s="91"/>
      <c r="AC537" s="91"/>
      <c r="AD537" s="91"/>
      <c r="AE537" s="91"/>
      <c r="AF537" s="91"/>
      <c r="AG537" s="91"/>
      <c r="AH537" s="91"/>
      <c r="AI537" s="91"/>
    </row>
    <row r="538" spans="1:35">
      <c r="A538" s="261">
        <v>46109</v>
      </c>
      <c r="B538" s="156">
        <v>536</v>
      </c>
      <c r="C538" s="43">
        <v>524384</v>
      </c>
      <c r="D538" s="320">
        <v>16004493</v>
      </c>
      <c r="E538" s="648" t="s">
        <v>4605</v>
      </c>
      <c r="F538" s="42">
        <v>55</v>
      </c>
      <c r="G538" s="43" t="s">
        <v>4606</v>
      </c>
      <c r="H538" s="43" t="s">
        <v>461</v>
      </c>
      <c r="I538" s="320">
        <v>956015978</v>
      </c>
      <c r="J538" s="43" t="s">
        <v>162</v>
      </c>
      <c r="K538" s="44">
        <v>46108</v>
      </c>
      <c r="L538" s="897" t="s">
        <v>2132</v>
      </c>
      <c r="M538" s="897" t="s">
        <v>260</v>
      </c>
      <c r="N538" s="706" t="s">
        <v>241</v>
      </c>
      <c r="O538" s="899">
        <v>46116</v>
      </c>
      <c r="P538" s="900"/>
      <c r="Q538" s="879" t="s">
        <v>358</v>
      </c>
    </row>
    <row r="539" spans="1:35">
      <c r="A539" s="261">
        <v>46111</v>
      </c>
      <c r="B539" s="156">
        <v>537</v>
      </c>
      <c r="C539" s="43">
        <v>117987</v>
      </c>
      <c r="D539" s="320">
        <v>42453111</v>
      </c>
      <c r="E539" s="648" t="s">
        <v>4607</v>
      </c>
      <c r="F539" s="42">
        <v>42</v>
      </c>
      <c r="G539" s="43" t="s">
        <v>4608</v>
      </c>
      <c r="H539" s="43" t="s">
        <v>278</v>
      </c>
      <c r="I539" s="320">
        <v>942351131</v>
      </c>
      <c r="J539" s="43" t="s">
        <v>238</v>
      </c>
      <c r="K539" s="44">
        <v>46111</v>
      </c>
      <c r="L539" s="897" t="s">
        <v>4609</v>
      </c>
      <c r="M539" s="897" t="s">
        <v>312</v>
      </c>
      <c r="N539" s="706" t="s">
        <v>241</v>
      </c>
      <c r="O539" s="899">
        <v>46116</v>
      </c>
      <c r="P539" s="897"/>
      <c r="Q539" s="897" t="s">
        <v>3379</v>
      </c>
      <c r="R539" s="91"/>
      <c r="S539" s="91"/>
      <c r="T539" s="91"/>
      <c r="U539" s="91"/>
      <c r="V539" s="91"/>
      <c r="W539" s="91"/>
      <c r="X539" s="91"/>
      <c r="Y539" s="91"/>
      <c r="Z539" s="91"/>
      <c r="AA539" s="91"/>
      <c r="AB539" s="91"/>
      <c r="AC539" s="91"/>
      <c r="AD539" s="91"/>
      <c r="AE539" s="91"/>
      <c r="AF539" s="91"/>
      <c r="AG539" s="91"/>
      <c r="AH539" s="91"/>
      <c r="AI539" s="91"/>
    </row>
    <row r="540" spans="1:35">
      <c r="A540" s="43"/>
      <c r="B540" s="156">
        <v>538</v>
      </c>
      <c r="C540" s="43">
        <v>4013</v>
      </c>
      <c r="D540" s="320">
        <v>15657858</v>
      </c>
      <c r="E540" s="648" t="s">
        <v>4610</v>
      </c>
      <c r="F540" s="42">
        <v>68</v>
      </c>
      <c r="G540" s="43" t="s">
        <v>4611</v>
      </c>
      <c r="H540" s="43" t="s">
        <v>301</v>
      </c>
      <c r="I540" s="320">
        <v>975893652</v>
      </c>
      <c r="J540" s="43" t="s">
        <v>380</v>
      </c>
      <c r="K540" s="44">
        <v>46111</v>
      </c>
      <c r="L540" s="897" t="s">
        <v>2164</v>
      </c>
      <c r="M540" s="897" t="s">
        <v>312</v>
      </c>
      <c r="N540" s="706" t="s">
        <v>241</v>
      </c>
      <c r="O540" s="898">
        <v>46118</v>
      </c>
      <c r="P540" s="897" t="s">
        <v>4612</v>
      </c>
      <c r="Q540" s="43"/>
      <c r="R540" s="91"/>
      <c r="S540" s="91"/>
      <c r="T540" s="91"/>
      <c r="U540" s="91"/>
      <c r="V540" s="91"/>
      <c r="W540" s="91"/>
      <c r="X540" s="91"/>
      <c r="Y540" s="91"/>
      <c r="Z540" s="91"/>
      <c r="AA540" s="91"/>
      <c r="AB540" s="91"/>
      <c r="AC540" s="91"/>
      <c r="AD540" s="91"/>
      <c r="AE540" s="91"/>
      <c r="AF540" s="91"/>
      <c r="AG540" s="91"/>
      <c r="AH540" s="91"/>
      <c r="AI540" s="91"/>
    </row>
    <row r="541" spans="1:35">
      <c r="A541" s="43"/>
      <c r="B541" s="156">
        <v>539</v>
      </c>
      <c r="C541" s="43">
        <v>524426</v>
      </c>
      <c r="D541" s="688">
        <v>16023795</v>
      </c>
      <c r="E541" s="689" t="s">
        <v>4613</v>
      </c>
      <c r="F541" s="658">
        <v>48</v>
      </c>
      <c r="G541" s="690" t="s">
        <v>4614</v>
      </c>
      <c r="H541" s="691" t="s">
        <v>1885</v>
      </c>
      <c r="I541" s="688">
        <v>998958279</v>
      </c>
      <c r="J541" s="659" t="s">
        <v>164</v>
      </c>
      <c r="K541" s="44">
        <v>46111</v>
      </c>
      <c r="L541" s="897" t="s">
        <v>584</v>
      </c>
      <c r="M541" s="897" t="s">
        <v>260</v>
      </c>
      <c r="N541" s="706" t="s">
        <v>241</v>
      </c>
      <c r="O541" s="899">
        <v>46116</v>
      </c>
      <c r="P541" s="897"/>
      <c r="Q541" s="879" t="s">
        <v>358</v>
      </c>
    </row>
    <row r="542" spans="1:35">
      <c r="A542" s="206"/>
      <c r="B542" s="156">
        <v>540</v>
      </c>
      <c r="C542" s="43">
        <v>189297</v>
      </c>
      <c r="D542" s="320">
        <v>15756963</v>
      </c>
      <c r="E542" s="648" t="s">
        <v>4615</v>
      </c>
      <c r="F542" s="42">
        <v>49</v>
      </c>
      <c r="G542" s="43" t="s">
        <v>4616</v>
      </c>
      <c r="H542" s="43" t="s">
        <v>278</v>
      </c>
      <c r="I542" s="320">
        <v>946802434</v>
      </c>
      <c r="J542" s="43" t="s">
        <v>238</v>
      </c>
      <c r="K542" s="44">
        <v>46111</v>
      </c>
      <c r="L542" s="897" t="s">
        <v>584</v>
      </c>
      <c r="M542" s="897" t="s">
        <v>260</v>
      </c>
      <c r="N542" s="706" t="s">
        <v>241</v>
      </c>
      <c r="O542" s="899">
        <v>46116</v>
      </c>
      <c r="P542" s="900"/>
      <c r="Q542" s="242"/>
      <c r="R542" s="91"/>
      <c r="S542" s="91"/>
      <c r="T542" s="91"/>
      <c r="U542" s="91"/>
      <c r="V542" s="91"/>
      <c r="W542" s="91"/>
      <c r="X542" s="91"/>
      <c r="Y542" s="91"/>
      <c r="Z542" s="91"/>
      <c r="AA542" s="91"/>
      <c r="AB542" s="91"/>
      <c r="AC542" s="91"/>
      <c r="AD542" s="91"/>
      <c r="AE542" s="91"/>
      <c r="AF542" s="91"/>
      <c r="AG542" s="91"/>
      <c r="AH542" s="91"/>
      <c r="AI542" s="91"/>
    </row>
    <row r="543" spans="1:35">
      <c r="A543" s="266"/>
      <c r="B543" s="156">
        <v>541</v>
      </c>
      <c r="C543" s="266">
        <v>40272</v>
      </c>
      <c r="D543" s="319">
        <v>15727237</v>
      </c>
      <c r="E543" s="669" t="s">
        <v>4617</v>
      </c>
      <c r="F543" s="692">
        <v>53</v>
      </c>
      <c r="G543" s="266" t="s">
        <v>4618</v>
      </c>
      <c r="H543" s="266" t="s">
        <v>326</v>
      </c>
      <c r="I543" s="319">
        <v>995724761</v>
      </c>
      <c r="J543" s="266" t="s">
        <v>1527</v>
      </c>
      <c r="K543" s="44">
        <v>46111</v>
      </c>
      <c r="L543" s="901" t="s">
        <v>1156</v>
      </c>
      <c r="M543" s="897" t="s">
        <v>230</v>
      </c>
      <c r="N543" s="706" t="s">
        <v>241</v>
      </c>
      <c r="O543" s="898">
        <v>46118</v>
      </c>
      <c r="P543" s="901" t="s">
        <v>4619</v>
      </c>
      <c r="Q543" s="266"/>
      <c r="R543" s="91"/>
      <c r="S543" s="91"/>
      <c r="T543" s="91"/>
      <c r="U543" s="91"/>
      <c r="V543" s="91"/>
      <c r="W543" s="91"/>
      <c r="X543" s="91"/>
      <c r="Y543" s="91"/>
      <c r="Z543" s="91"/>
      <c r="AA543" s="91"/>
      <c r="AB543" s="91"/>
      <c r="AC543" s="91"/>
      <c r="AD543" s="91"/>
      <c r="AE543" s="91"/>
      <c r="AF543" s="91"/>
      <c r="AG543" s="91"/>
      <c r="AH543" s="91"/>
      <c r="AI543" s="91"/>
    </row>
    <row r="544" spans="1:35">
      <c r="A544" s="206"/>
      <c r="B544" s="156">
        <v>542</v>
      </c>
      <c r="C544" s="43">
        <v>222228</v>
      </c>
      <c r="D544" s="320">
        <v>15721905</v>
      </c>
      <c r="E544" s="648" t="s">
        <v>4620</v>
      </c>
      <c r="F544" s="42">
        <v>58</v>
      </c>
      <c r="G544" s="43" t="s">
        <v>4621</v>
      </c>
      <c r="H544" s="43" t="s">
        <v>278</v>
      </c>
      <c r="I544" s="320">
        <v>959424730</v>
      </c>
      <c r="J544" s="43" t="s">
        <v>164</v>
      </c>
      <c r="K544" s="44">
        <v>46111</v>
      </c>
      <c r="L544" s="897" t="s">
        <v>747</v>
      </c>
      <c r="M544" s="897" t="s">
        <v>230</v>
      </c>
      <c r="N544" s="706" t="s">
        <v>317</v>
      </c>
      <c r="O544" s="899">
        <v>46116</v>
      </c>
      <c r="P544" s="900" t="s">
        <v>4206</v>
      </c>
      <c r="Q544" s="877" t="s">
        <v>358</v>
      </c>
    </row>
    <row r="545" spans="1:35">
      <c r="A545" s="675"/>
      <c r="B545" s="156">
        <v>543</v>
      </c>
      <c r="C545" s="675">
        <v>384159</v>
      </c>
      <c r="D545" s="693">
        <v>15857121</v>
      </c>
      <c r="E545" s="677" t="s">
        <v>4622</v>
      </c>
      <c r="F545" s="694">
        <v>56</v>
      </c>
      <c r="G545" s="686" t="s">
        <v>4623</v>
      </c>
      <c r="H545" s="686" t="s">
        <v>2724</v>
      </c>
      <c r="I545" s="693">
        <v>962726729</v>
      </c>
      <c r="J545" s="686" t="s">
        <v>175</v>
      </c>
      <c r="K545" s="678">
        <v>46111</v>
      </c>
      <c r="L545" s="897" t="s">
        <v>3567</v>
      </c>
      <c r="M545" s="897" t="s">
        <v>312</v>
      </c>
      <c r="N545" s="706" t="s">
        <v>317</v>
      </c>
      <c r="O545" s="899">
        <v>46116</v>
      </c>
      <c r="P545" s="897"/>
      <c r="Q545" s="875" t="s">
        <v>358</v>
      </c>
    </row>
    <row r="546" spans="1:35">
      <c r="A546" s="43"/>
      <c r="B546" s="156">
        <v>544</v>
      </c>
      <c r="C546" s="43">
        <v>215559</v>
      </c>
      <c r="D546" s="320">
        <v>15721453</v>
      </c>
      <c r="E546" s="648" t="s">
        <v>4624</v>
      </c>
      <c r="F546" s="42">
        <v>58</v>
      </c>
      <c r="G546" s="43" t="s">
        <v>4625</v>
      </c>
      <c r="H546" s="43" t="s">
        <v>326</v>
      </c>
      <c r="I546" s="320" t="s">
        <v>4626</v>
      </c>
      <c r="J546" s="43" t="s">
        <v>238</v>
      </c>
      <c r="K546" s="44">
        <v>46111</v>
      </c>
      <c r="L546" s="897" t="s">
        <v>747</v>
      </c>
      <c r="M546" s="897" t="s">
        <v>230</v>
      </c>
      <c r="N546" s="706" t="s">
        <v>317</v>
      </c>
      <c r="O546" s="899">
        <v>46116</v>
      </c>
      <c r="P546" s="897"/>
      <c r="Q546" s="897" t="s">
        <v>4206</v>
      </c>
      <c r="R546" s="91"/>
      <c r="S546" s="91"/>
      <c r="T546" s="91"/>
      <c r="U546" s="91"/>
      <c r="V546" s="91"/>
      <c r="W546" s="91"/>
      <c r="X546" s="91"/>
      <c r="Y546" s="91"/>
      <c r="Z546" s="91"/>
      <c r="AA546" s="91"/>
      <c r="AB546" s="91"/>
      <c r="AC546" s="91"/>
      <c r="AD546" s="91"/>
      <c r="AE546" s="91"/>
      <c r="AF546" s="91"/>
      <c r="AG546" s="91"/>
      <c r="AH546" s="91"/>
      <c r="AI546" s="91"/>
    </row>
    <row r="547" spans="1:35">
      <c r="A547" s="206"/>
      <c r="B547" s="156">
        <v>545</v>
      </c>
      <c r="C547" s="43">
        <v>524428</v>
      </c>
      <c r="D547" s="320">
        <v>16022657</v>
      </c>
      <c r="E547" s="648" t="s">
        <v>4627</v>
      </c>
      <c r="F547" s="42">
        <v>48</v>
      </c>
      <c r="G547" s="43" t="s">
        <v>4628</v>
      </c>
      <c r="H547" s="43" t="s">
        <v>271</v>
      </c>
      <c r="I547" s="320" t="s">
        <v>4629</v>
      </c>
      <c r="J547" s="43" t="s">
        <v>164</v>
      </c>
      <c r="K547" s="44">
        <v>46111</v>
      </c>
      <c r="L547" s="897" t="s">
        <v>4630</v>
      </c>
      <c r="M547" s="897" t="s">
        <v>260</v>
      </c>
      <c r="N547" s="706" t="s">
        <v>241</v>
      </c>
      <c r="O547" s="899">
        <v>46116</v>
      </c>
      <c r="P547" s="900"/>
      <c r="Q547" s="877" t="s">
        <v>358</v>
      </c>
    </row>
    <row r="548" spans="1:35">
      <c r="A548" s="206"/>
      <c r="B548" s="156">
        <v>546</v>
      </c>
      <c r="C548" s="43">
        <v>524427</v>
      </c>
      <c r="D548" s="320">
        <v>80592578</v>
      </c>
      <c r="E548" s="648" t="s">
        <v>4631</v>
      </c>
      <c r="F548" s="42">
        <v>52</v>
      </c>
      <c r="G548" s="43" t="s">
        <v>4632</v>
      </c>
      <c r="H548" s="43" t="s">
        <v>911</v>
      </c>
      <c r="I548" s="320">
        <v>944968499</v>
      </c>
      <c r="J548" s="43" t="s">
        <v>421</v>
      </c>
      <c r="K548" s="44">
        <v>46111</v>
      </c>
      <c r="L548" s="897" t="s">
        <v>458</v>
      </c>
      <c r="M548" s="897" t="s">
        <v>260</v>
      </c>
      <c r="N548" s="706" t="s">
        <v>241</v>
      </c>
      <c r="O548" s="899">
        <v>46116</v>
      </c>
      <c r="P548" s="900" t="s">
        <v>3797</v>
      </c>
      <c r="Q548" s="875" t="s">
        <v>358</v>
      </c>
    </row>
    <row r="549" spans="1:35">
      <c r="A549" s="43"/>
      <c r="B549" s="156">
        <v>547</v>
      </c>
      <c r="C549" s="43">
        <v>524427</v>
      </c>
      <c r="D549" s="320">
        <v>80618442</v>
      </c>
      <c r="E549" s="648" t="s">
        <v>4633</v>
      </c>
      <c r="F549" s="42">
        <v>47</v>
      </c>
      <c r="G549" s="43" t="s">
        <v>4634</v>
      </c>
      <c r="H549" s="43" t="s">
        <v>237</v>
      </c>
      <c r="I549" s="320">
        <v>968575256</v>
      </c>
      <c r="J549" s="43" t="s">
        <v>384</v>
      </c>
      <c r="K549" s="44">
        <v>46111</v>
      </c>
      <c r="L549" s="897" t="s">
        <v>4635</v>
      </c>
      <c r="M549" s="897" t="s">
        <v>260</v>
      </c>
      <c r="N549" s="706" t="s">
        <v>241</v>
      </c>
      <c r="O549" s="898">
        <v>46118</v>
      </c>
      <c r="P549" s="897" t="s">
        <v>4430</v>
      </c>
      <c r="Q549" s="43"/>
      <c r="R549" s="91"/>
      <c r="S549" s="91"/>
      <c r="T549" s="91"/>
      <c r="U549" s="91"/>
      <c r="V549" s="91"/>
      <c r="W549" s="91"/>
      <c r="X549" s="91"/>
      <c r="Y549" s="91"/>
      <c r="Z549" s="91"/>
      <c r="AA549" s="91"/>
      <c r="AB549" s="91"/>
      <c r="AC549" s="91"/>
      <c r="AD549" s="91"/>
      <c r="AE549" s="91"/>
      <c r="AF549" s="91"/>
      <c r="AG549" s="91"/>
      <c r="AH549" s="91"/>
      <c r="AI549" s="91"/>
    </row>
    <row r="550" spans="1:35">
      <c r="A550" s="43"/>
      <c r="B550" s="156">
        <v>548</v>
      </c>
      <c r="C550" s="43">
        <v>524431</v>
      </c>
      <c r="D550" s="320" t="s">
        <v>4636</v>
      </c>
      <c r="E550" s="648" t="s">
        <v>4637</v>
      </c>
      <c r="F550" s="42">
        <v>63</v>
      </c>
      <c r="G550" s="43" t="s">
        <v>4638</v>
      </c>
      <c r="H550" s="43" t="s">
        <v>911</v>
      </c>
      <c r="I550" s="320">
        <v>974028484</v>
      </c>
      <c r="J550" s="43" t="s">
        <v>421</v>
      </c>
      <c r="K550" s="44">
        <v>46111</v>
      </c>
      <c r="L550" s="897" t="s">
        <v>4639</v>
      </c>
      <c r="M550" s="897" t="s">
        <v>312</v>
      </c>
      <c r="N550" s="706" t="s">
        <v>241</v>
      </c>
      <c r="O550" s="899">
        <v>46116</v>
      </c>
      <c r="P550" s="897"/>
      <c r="Q550" s="877" t="s">
        <v>358</v>
      </c>
    </row>
    <row r="551" spans="1:35">
      <c r="A551" s="206"/>
      <c r="B551" s="156">
        <v>549</v>
      </c>
      <c r="C551" s="43">
        <v>524434</v>
      </c>
      <c r="D551" s="320">
        <v>15753467</v>
      </c>
      <c r="E551" s="648" t="s">
        <v>4640</v>
      </c>
      <c r="F551" s="42">
        <v>52</v>
      </c>
      <c r="G551" s="43" t="s">
        <v>4641</v>
      </c>
      <c r="H551" s="43" t="s">
        <v>461</v>
      </c>
      <c r="I551" s="320" t="s">
        <v>4642</v>
      </c>
      <c r="J551" s="43" t="s">
        <v>162</v>
      </c>
      <c r="K551" s="44">
        <v>46111</v>
      </c>
      <c r="L551" s="897" t="s">
        <v>4643</v>
      </c>
      <c r="M551" s="897" t="s">
        <v>260</v>
      </c>
      <c r="N551" s="706" t="s">
        <v>241</v>
      </c>
      <c r="O551" s="899">
        <v>46116</v>
      </c>
      <c r="P551" s="900"/>
      <c r="Q551" s="875" t="s">
        <v>358</v>
      </c>
    </row>
    <row r="552" spans="1:35">
      <c r="A552" s="206"/>
      <c r="B552" s="156">
        <v>550</v>
      </c>
      <c r="C552" s="43">
        <v>524436</v>
      </c>
      <c r="D552" s="320">
        <v>15764576</v>
      </c>
      <c r="E552" s="648" t="s">
        <v>4644</v>
      </c>
      <c r="F552" s="42">
        <v>47</v>
      </c>
      <c r="G552" s="43" t="s">
        <v>4645</v>
      </c>
      <c r="H552" s="43" t="s">
        <v>222</v>
      </c>
      <c r="I552" s="320" t="s">
        <v>4646</v>
      </c>
      <c r="J552" s="43" t="s">
        <v>283</v>
      </c>
      <c r="K552" s="44">
        <v>46111</v>
      </c>
      <c r="L552" s="897" t="s">
        <v>458</v>
      </c>
      <c r="M552" s="897" t="s">
        <v>260</v>
      </c>
      <c r="N552" s="706" t="s">
        <v>241</v>
      </c>
      <c r="O552" s="898">
        <v>46118</v>
      </c>
      <c r="P552" s="900" t="s">
        <v>3670</v>
      </c>
      <c r="Q552" s="242"/>
      <c r="R552" s="91"/>
      <c r="S552" s="91"/>
      <c r="T552" s="91"/>
      <c r="U552" s="91"/>
      <c r="V552" s="91"/>
      <c r="W552" s="91"/>
      <c r="X552" s="91"/>
      <c r="Y552" s="91"/>
      <c r="Z552" s="91"/>
      <c r="AA552" s="91"/>
      <c r="AB552" s="91"/>
      <c r="AC552" s="91"/>
      <c r="AD552" s="91"/>
      <c r="AE552" s="91"/>
      <c r="AF552" s="91"/>
      <c r="AG552" s="91"/>
      <c r="AH552" s="91"/>
      <c r="AI552" s="91"/>
    </row>
    <row r="553" spans="1:35">
      <c r="A553" s="43"/>
      <c r="B553" s="156">
        <v>551</v>
      </c>
      <c r="C553" s="43">
        <v>209965</v>
      </c>
      <c r="D553" s="320">
        <v>15700259</v>
      </c>
      <c r="E553" s="648" t="s">
        <v>4647</v>
      </c>
      <c r="F553" s="42">
        <v>56</v>
      </c>
      <c r="G553" s="43" t="s">
        <v>4648</v>
      </c>
      <c r="H553" s="43" t="s">
        <v>246</v>
      </c>
      <c r="I553" s="320">
        <v>961372243</v>
      </c>
      <c r="J553" s="43" t="s">
        <v>3202</v>
      </c>
      <c r="K553" s="44">
        <v>46111</v>
      </c>
      <c r="L553" s="897" t="s">
        <v>458</v>
      </c>
      <c r="M553" s="897" t="s">
        <v>260</v>
      </c>
      <c r="N553" s="706" t="s">
        <v>241</v>
      </c>
      <c r="O553" s="898">
        <v>46118</v>
      </c>
      <c r="P553" s="897" t="s">
        <v>4470</v>
      </c>
      <c r="Q553" s="43"/>
      <c r="R553" s="91"/>
      <c r="S553" s="91"/>
      <c r="T553" s="91"/>
      <c r="U553" s="91"/>
      <c r="V553" s="91"/>
      <c r="W553" s="91"/>
      <c r="X553" s="91"/>
      <c r="Y553" s="91"/>
      <c r="Z553" s="91"/>
      <c r="AA553" s="91"/>
      <c r="AB553" s="91"/>
      <c r="AC553" s="91"/>
      <c r="AD553" s="91"/>
      <c r="AE553" s="91"/>
      <c r="AF553" s="91"/>
      <c r="AG553" s="91"/>
      <c r="AH553" s="91"/>
      <c r="AI553" s="91"/>
    </row>
    <row r="554" spans="1:35">
      <c r="A554" s="43"/>
      <c r="B554" s="156">
        <v>552</v>
      </c>
      <c r="C554" s="43">
        <v>524446</v>
      </c>
      <c r="D554" s="320">
        <v>80601239</v>
      </c>
      <c r="E554" s="648" t="s">
        <v>4649</v>
      </c>
      <c r="F554" s="42">
        <v>49</v>
      </c>
      <c r="G554" s="43" t="s">
        <v>4650</v>
      </c>
      <c r="H554" s="43" t="s">
        <v>246</v>
      </c>
      <c r="I554" s="320" t="s">
        <v>4651</v>
      </c>
      <c r="J554" s="43" t="s">
        <v>1312</v>
      </c>
      <c r="K554" s="44">
        <v>46111</v>
      </c>
      <c r="L554" s="897" t="s">
        <v>4652</v>
      </c>
      <c r="M554" s="897" t="s">
        <v>230</v>
      </c>
      <c r="N554" s="706" t="s">
        <v>317</v>
      </c>
      <c r="O554" s="898">
        <v>46118</v>
      </c>
      <c r="P554" s="900" t="s">
        <v>4653</v>
      </c>
      <c r="Q554" s="43"/>
      <c r="R554" s="91"/>
      <c r="S554" s="91"/>
      <c r="T554" s="91"/>
      <c r="U554" s="91"/>
      <c r="V554" s="91"/>
      <c r="W554" s="91"/>
      <c r="X554" s="91"/>
      <c r="Y554" s="91"/>
      <c r="Z554" s="91"/>
      <c r="AA554" s="91"/>
      <c r="AB554" s="91"/>
      <c r="AC554" s="91"/>
      <c r="AD554" s="91"/>
      <c r="AE554" s="91"/>
      <c r="AF554" s="91"/>
      <c r="AG554" s="91"/>
      <c r="AH554" s="91"/>
      <c r="AI554" s="91"/>
    </row>
    <row r="555" spans="1:35">
      <c r="A555" s="687" t="s">
        <v>513</v>
      </c>
      <c r="B555" s="156">
        <v>553</v>
      </c>
      <c r="C555" s="43">
        <v>257204</v>
      </c>
      <c r="D555" s="320">
        <v>15764487</v>
      </c>
      <c r="E555" s="648" t="s">
        <v>4654</v>
      </c>
      <c r="F555" s="42">
        <v>48</v>
      </c>
      <c r="G555" s="43" t="s">
        <v>4655</v>
      </c>
      <c r="H555" s="43" t="s">
        <v>222</v>
      </c>
      <c r="I555" s="320">
        <v>904064666</v>
      </c>
      <c r="J555" s="43" t="s">
        <v>223</v>
      </c>
      <c r="K555" s="44">
        <v>45746</v>
      </c>
      <c r="L555" s="897" t="s">
        <v>4656</v>
      </c>
      <c r="M555" s="897" t="s">
        <v>260</v>
      </c>
      <c r="N555" s="706" t="s">
        <v>241</v>
      </c>
      <c r="O555" s="898">
        <v>46118</v>
      </c>
      <c r="P555" s="900" t="s">
        <v>4657</v>
      </c>
      <c r="Q555" s="242"/>
      <c r="R555" s="91"/>
      <c r="S555" s="91"/>
      <c r="T555" s="91"/>
      <c r="U555" s="91"/>
      <c r="V555" s="91"/>
      <c r="W555" s="91"/>
      <c r="X555" s="91"/>
      <c r="Y555" s="91"/>
      <c r="Z555" s="91"/>
      <c r="AA555" s="91"/>
      <c r="AB555" s="91"/>
      <c r="AC555" s="91"/>
      <c r="AD555" s="91"/>
      <c r="AE555" s="91"/>
      <c r="AF555" s="91"/>
      <c r="AG555" s="91"/>
      <c r="AH555" s="91"/>
      <c r="AI555" s="91"/>
    </row>
    <row r="556" spans="1:35">
      <c r="A556" s="206"/>
      <c r="B556" s="156">
        <v>554</v>
      </c>
      <c r="C556" s="43">
        <v>86774</v>
      </c>
      <c r="D556" s="320">
        <v>15729745</v>
      </c>
      <c r="E556" s="648" t="s">
        <v>4658</v>
      </c>
      <c r="F556" s="42">
        <v>59</v>
      </c>
      <c r="G556" s="43" t="s">
        <v>4659</v>
      </c>
      <c r="H556" s="43" t="s">
        <v>301</v>
      </c>
      <c r="I556" s="320">
        <v>914912664</v>
      </c>
      <c r="J556" s="43" t="s">
        <v>1905</v>
      </c>
      <c r="K556" s="44">
        <v>46111</v>
      </c>
      <c r="L556" s="897" t="s">
        <v>679</v>
      </c>
      <c r="M556" s="897" t="s">
        <v>230</v>
      </c>
      <c r="N556" s="706" t="s">
        <v>317</v>
      </c>
      <c r="O556" s="899">
        <v>46116</v>
      </c>
      <c r="P556" s="897"/>
      <c r="Q556" s="242"/>
      <c r="R556" s="91"/>
      <c r="S556" s="91"/>
      <c r="T556" s="91"/>
      <c r="U556" s="91"/>
      <c r="V556" s="91"/>
      <c r="W556" s="91"/>
      <c r="X556" s="91"/>
      <c r="Y556" s="91"/>
      <c r="Z556" s="91"/>
      <c r="AA556" s="91"/>
      <c r="AB556" s="91"/>
      <c r="AC556" s="91"/>
      <c r="AD556" s="91"/>
      <c r="AE556" s="91"/>
      <c r="AF556" s="91"/>
      <c r="AG556" s="91"/>
      <c r="AH556" s="91"/>
      <c r="AI556" s="91"/>
    </row>
    <row r="557" spans="1:35">
      <c r="A557" s="43"/>
      <c r="B557" s="156">
        <v>555</v>
      </c>
      <c r="C557" s="43">
        <v>201218</v>
      </c>
      <c r="D557" s="684">
        <v>41099507</v>
      </c>
      <c r="E557" s="685" t="s">
        <v>4660</v>
      </c>
      <c r="F557" s="695">
        <v>44</v>
      </c>
      <c r="G557" s="696" t="s">
        <v>4661</v>
      </c>
      <c r="H557" s="697" t="s">
        <v>2724</v>
      </c>
      <c r="I557" s="698">
        <v>931757472</v>
      </c>
      <c r="J557" s="696" t="s">
        <v>175</v>
      </c>
      <c r="K557" s="298">
        <v>46111</v>
      </c>
      <c r="L557" s="897" t="s">
        <v>4662</v>
      </c>
      <c r="M557" s="897" t="s">
        <v>230</v>
      </c>
      <c r="N557" s="706" t="s">
        <v>241</v>
      </c>
      <c r="O557" s="898">
        <v>46118</v>
      </c>
      <c r="P557" s="900" t="s">
        <v>4657</v>
      </c>
      <c r="Q557" s="879" t="s">
        <v>358</v>
      </c>
    </row>
    <row r="558" spans="1:35">
      <c r="A558" s="206"/>
      <c r="B558" s="156">
        <v>556</v>
      </c>
      <c r="C558" s="43">
        <v>61378</v>
      </c>
      <c r="D558" s="320">
        <v>40677033</v>
      </c>
      <c r="E558" s="648" t="s">
        <v>4663</v>
      </c>
      <c r="F558" s="42">
        <v>46</v>
      </c>
      <c r="G558" s="43" t="s">
        <v>4664</v>
      </c>
      <c r="H558" s="43" t="s">
        <v>301</v>
      </c>
      <c r="I558" s="320">
        <v>994869994</v>
      </c>
      <c r="J558" s="43" t="s">
        <v>1905</v>
      </c>
      <c r="K558" s="43" t="s">
        <v>4665</v>
      </c>
      <c r="L558" s="897" t="s">
        <v>824</v>
      </c>
      <c r="M558" s="897" t="s">
        <v>260</v>
      </c>
      <c r="N558" s="706" t="s">
        <v>241</v>
      </c>
      <c r="O558" s="898">
        <v>46118</v>
      </c>
      <c r="P558" s="900" t="s">
        <v>4657</v>
      </c>
      <c r="Q558" s="242"/>
      <c r="R558" s="91"/>
      <c r="S558" s="91"/>
      <c r="T558" s="91"/>
      <c r="U558" s="91"/>
      <c r="V558" s="91"/>
      <c r="W558" s="91"/>
      <c r="X558" s="91"/>
      <c r="Y558" s="91"/>
      <c r="Z558" s="91"/>
      <c r="AA558" s="91"/>
      <c r="AB558" s="91"/>
      <c r="AC558" s="91"/>
      <c r="AD558" s="91"/>
      <c r="AE558" s="91"/>
      <c r="AF558" s="91"/>
      <c r="AG558" s="91"/>
      <c r="AH558" s="91"/>
      <c r="AI558" s="91"/>
    </row>
    <row r="559" spans="1:35">
      <c r="A559" s="683"/>
      <c r="B559" s="156">
        <v>557</v>
      </c>
      <c r="C559" s="43">
        <v>40324</v>
      </c>
      <c r="D559" s="320">
        <v>15732966</v>
      </c>
      <c r="E559" s="648" t="s">
        <v>4666</v>
      </c>
      <c r="F559" s="42">
        <v>52</v>
      </c>
      <c r="G559" s="43" t="s">
        <v>4664</v>
      </c>
      <c r="H559" s="43" t="s">
        <v>301</v>
      </c>
      <c r="I559" s="320">
        <v>923828955</v>
      </c>
      <c r="J559" s="43" t="s">
        <v>1905</v>
      </c>
      <c r="K559" s="44">
        <v>46111</v>
      </c>
      <c r="L559" s="897" t="s">
        <v>458</v>
      </c>
      <c r="M559" s="897" t="s">
        <v>260</v>
      </c>
      <c r="N559" s="706" t="s">
        <v>241</v>
      </c>
      <c r="O559" s="898">
        <v>46118</v>
      </c>
      <c r="P559" s="900" t="s">
        <v>4667</v>
      </c>
      <c r="Q559" s="242"/>
      <c r="R559" s="91"/>
      <c r="S559" s="91"/>
      <c r="T559" s="91"/>
      <c r="U559" s="91"/>
      <c r="V559" s="91"/>
      <c r="W559" s="91"/>
      <c r="X559" s="91"/>
      <c r="Y559" s="91"/>
      <c r="Z559" s="91"/>
      <c r="AA559" s="91"/>
      <c r="AB559" s="91"/>
      <c r="AC559" s="91"/>
      <c r="AD559" s="91"/>
      <c r="AE559" s="91"/>
      <c r="AF559" s="91"/>
      <c r="AG559" s="91"/>
      <c r="AH559" s="91"/>
      <c r="AI559" s="91"/>
    </row>
    <row r="560" spans="1:35">
      <c r="A560" s="206"/>
      <c r="B560" s="156">
        <v>558</v>
      </c>
      <c r="C560" s="43">
        <v>236411</v>
      </c>
      <c r="D560" s="320">
        <v>42635224</v>
      </c>
      <c r="E560" s="648" t="s">
        <v>4668</v>
      </c>
      <c r="F560" s="42">
        <v>41</v>
      </c>
      <c r="G560" s="43" t="s">
        <v>4669</v>
      </c>
      <c r="H560" s="43" t="s">
        <v>237</v>
      </c>
      <c r="I560" s="320">
        <v>957015690</v>
      </c>
      <c r="J560" s="43" t="s">
        <v>1105</v>
      </c>
      <c r="K560" s="44">
        <v>46111</v>
      </c>
      <c r="L560" s="897" t="s">
        <v>458</v>
      </c>
      <c r="M560" s="897" t="s">
        <v>260</v>
      </c>
      <c r="N560" s="706" t="s">
        <v>241</v>
      </c>
      <c r="O560" s="898">
        <v>46118</v>
      </c>
      <c r="P560" s="900" t="s">
        <v>4653</v>
      </c>
      <c r="Q560" s="242"/>
      <c r="R560" s="91"/>
      <c r="S560" s="91"/>
      <c r="T560" s="91"/>
      <c r="U560" s="91"/>
      <c r="V560" s="91"/>
      <c r="W560" s="91"/>
      <c r="X560" s="91"/>
      <c r="Y560" s="91"/>
      <c r="Z560" s="91"/>
      <c r="AA560" s="91"/>
      <c r="AB560" s="91"/>
      <c r="AC560" s="91"/>
      <c r="AD560" s="91"/>
      <c r="AE560" s="91"/>
      <c r="AF560" s="91"/>
      <c r="AG560" s="91"/>
      <c r="AH560" s="91"/>
      <c r="AI560" s="91"/>
    </row>
    <row r="561" spans="1:35">
      <c r="A561" s="206"/>
      <c r="B561" s="156">
        <v>559</v>
      </c>
      <c r="C561" s="43">
        <v>135658</v>
      </c>
      <c r="D561" s="320">
        <v>43602021</v>
      </c>
      <c r="E561" s="648" t="s">
        <v>4670</v>
      </c>
      <c r="F561" s="42">
        <v>40</v>
      </c>
      <c r="G561" s="43" t="s">
        <v>4671</v>
      </c>
      <c r="H561" s="43" t="s">
        <v>222</v>
      </c>
      <c r="I561" s="320">
        <v>918704816</v>
      </c>
      <c r="J561" s="43" t="s">
        <v>223</v>
      </c>
      <c r="K561" s="44">
        <v>46111</v>
      </c>
      <c r="L561" s="897" t="s">
        <v>458</v>
      </c>
      <c r="M561" s="897" t="s">
        <v>260</v>
      </c>
      <c r="N561" s="706" t="s">
        <v>241</v>
      </c>
      <c r="O561" s="899">
        <v>46116</v>
      </c>
      <c r="P561" s="900"/>
      <c r="Q561" s="242"/>
      <c r="R561" s="91"/>
      <c r="S561" s="91"/>
      <c r="T561" s="91"/>
      <c r="U561" s="91"/>
      <c r="V561" s="91"/>
      <c r="W561" s="91"/>
      <c r="X561" s="91"/>
      <c r="Y561" s="91"/>
      <c r="Z561" s="91"/>
      <c r="AA561" s="91"/>
      <c r="AB561" s="91"/>
      <c r="AC561" s="91"/>
      <c r="AD561" s="91"/>
      <c r="AE561" s="91"/>
      <c r="AF561" s="91"/>
      <c r="AG561" s="91"/>
      <c r="AH561" s="91"/>
      <c r="AI561" s="91"/>
    </row>
    <row r="562" spans="1:35">
      <c r="A562" s="206"/>
      <c r="B562" s="156">
        <v>560</v>
      </c>
      <c r="C562" s="43">
        <v>475610</v>
      </c>
      <c r="D562" s="320">
        <v>32265176</v>
      </c>
      <c r="E562" s="648" t="s">
        <v>4672</v>
      </c>
      <c r="F562" s="42">
        <v>56</v>
      </c>
      <c r="G562" s="43" t="s">
        <v>4673</v>
      </c>
      <c r="H562" s="43" t="s">
        <v>2724</v>
      </c>
      <c r="I562" s="320">
        <v>977282212</v>
      </c>
      <c r="J562" s="43" t="s">
        <v>182</v>
      </c>
      <c r="K562" s="44">
        <v>46111</v>
      </c>
      <c r="L562" s="897" t="s">
        <v>4674</v>
      </c>
      <c r="M562" s="897" t="s">
        <v>260</v>
      </c>
      <c r="N562" s="706" t="s">
        <v>241</v>
      </c>
      <c r="O562" s="898">
        <v>46118</v>
      </c>
      <c r="P562" s="900" t="s">
        <v>4667</v>
      </c>
      <c r="Q562" s="879" t="s">
        <v>358</v>
      </c>
    </row>
    <row r="563" spans="1:35">
      <c r="A563" s="206"/>
      <c r="B563" s="156">
        <v>561</v>
      </c>
      <c r="C563" s="43">
        <v>240424</v>
      </c>
      <c r="D563" s="320">
        <v>15588089</v>
      </c>
      <c r="E563" s="648" t="s">
        <v>4675</v>
      </c>
      <c r="F563" s="42">
        <v>60</v>
      </c>
      <c r="G563" s="43" t="s">
        <v>4676</v>
      </c>
      <c r="H563" s="43" t="s">
        <v>237</v>
      </c>
      <c r="I563" s="320">
        <v>961658729</v>
      </c>
      <c r="J563" s="43" t="s">
        <v>1105</v>
      </c>
      <c r="K563" s="44">
        <v>46111</v>
      </c>
      <c r="L563" s="897" t="s">
        <v>4595</v>
      </c>
      <c r="M563" s="897" t="s">
        <v>323</v>
      </c>
      <c r="N563" s="706" t="s">
        <v>241</v>
      </c>
      <c r="O563" s="899">
        <v>46116</v>
      </c>
      <c r="P563" s="900"/>
      <c r="Q563" s="242"/>
      <c r="R563" s="91"/>
      <c r="S563" s="91"/>
      <c r="T563" s="91"/>
      <c r="U563" s="91"/>
      <c r="V563" s="91"/>
      <c r="W563" s="91"/>
      <c r="X563" s="91"/>
      <c r="Y563" s="91"/>
      <c r="Z563" s="91"/>
      <c r="AA563" s="91"/>
      <c r="AB563" s="91"/>
      <c r="AC563" s="91"/>
      <c r="AD563" s="91"/>
      <c r="AE563" s="91"/>
      <c r="AF563" s="91"/>
      <c r="AG563" s="91"/>
      <c r="AH563" s="91"/>
      <c r="AI563" s="91"/>
    </row>
    <row r="564" spans="1:35">
      <c r="A564" s="206"/>
      <c r="B564" s="156">
        <v>562</v>
      </c>
      <c r="C564" s="43">
        <v>158529</v>
      </c>
      <c r="D564" s="320">
        <v>15728435</v>
      </c>
      <c r="E564" s="648" t="s">
        <v>4677</v>
      </c>
      <c r="F564" s="42">
        <v>53</v>
      </c>
      <c r="G564" s="43" t="s">
        <v>4678</v>
      </c>
      <c r="H564" s="43" t="s">
        <v>237</v>
      </c>
      <c r="I564" s="320">
        <v>992081465</v>
      </c>
      <c r="J564" s="43" t="s">
        <v>238</v>
      </c>
      <c r="K564" s="44">
        <v>46111</v>
      </c>
      <c r="L564" s="897" t="s">
        <v>4679</v>
      </c>
      <c r="M564" s="897" t="s">
        <v>312</v>
      </c>
      <c r="N564" s="706" t="s">
        <v>241</v>
      </c>
      <c r="O564" s="899">
        <v>46116</v>
      </c>
      <c r="P564" s="900"/>
      <c r="Q564" s="242"/>
      <c r="R564" s="91"/>
      <c r="S564" s="91"/>
      <c r="T564" s="91"/>
      <c r="U564" s="91"/>
      <c r="V564" s="91"/>
      <c r="W564" s="91"/>
      <c r="X564" s="91"/>
      <c r="Y564" s="91"/>
      <c r="Z564" s="91"/>
      <c r="AA564" s="91"/>
      <c r="AB564" s="91"/>
      <c r="AC564" s="91"/>
      <c r="AD564" s="91"/>
      <c r="AE564" s="91"/>
      <c r="AF564" s="91"/>
      <c r="AG564" s="91"/>
      <c r="AH564" s="91"/>
      <c r="AI564" s="91"/>
    </row>
    <row r="565" spans="1:35">
      <c r="A565" s="206"/>
      <c r="B565" s="156">
        <v>563</v>
      </c>
      <c r="C565" s="43">
        <v>524453</v>
      </c>
      <c r="D565" s="320">
        <v>15851826</v>
      </c>
      <c r="E565" s="648" t="s">
        <v>4680</v>
      </c>
      <c r="F565" s="42">
        <v>54</v>
      </c>
      <c r="G565" s="43" t="s">
        <v>4681</v>
      </c>
      <c r="H565" s="43" t="s">
        <v>2724</v>
      </c>
      <c r="I565" s="320">
        <v>954262958</v>
      </c>
      <c r="J565" s="43" t="s">
        <v>182</v>
      </c>
      <c r="K565" s="44">
        <v>46111</v>
      </c>
      <c r="L565" s="897" t="s">
        <v>4682</v>
      </c>
      <c r="M565" s="897" t="s">
        <v>312</v>
      </c>
      <c r="N565" s="706" t="s">
        <v>317</v>
      </c>
      <c r="O565" s="899">
        <v>46116</v>
      </c>
      <c r="P565" s="900"/>
      <c r="Q565" s="879" t="s">
        <v>358</v>
      </c>
    </row>
    <row r="566" spans="1:35">
      <c r="A566" s="206"/>
      <c r="B566" s="156">
        <v>564</v>
      </c>
      <c r="C566" s="43">
        <v>342165</v>
      </c>
      <c r="D566" s="320" t="s">
        <v>4683</v>
      </c>
      <c r="E566" s="648" t="s">
        <v>4684</v>
      </c>
      <c r="F566" s="42">
        <v>59</v>
      </c>
      <c r="G566" s="43" t="s">
        <v>4685</v>
      </c>
      <c r="H566" s="43" t="s">
        <v>222</v>
      </c>
      <c r="I566" s="320">
        <v>966244432</v>
      </c>
      <c r="J566" s="43" t="s">
        <v>238</v>
      </c>
      <c r="K566" s="44">
        <v>46111</v>
      </c>
      <c r="L566" s="897" t="s">
        <v>4686</v>
      </c>
      <c r="M566" s="897" t="s">
        <v>260</v>
      </c>
      <c r="N566" s="706" t="s">
        <v>241</v>
      </c>
      <c r="O566" s="899">
        <v>46116</v>
      </c>
      <c r="P566" s="900"/>
      <c r="Q566" s="242"/>
      <c r="R566" s="91"/>
      <c r="S566" s="91"/>
      <c r="T566" s="91"/>
      <c r="U566" s="91"/>
      <c r="V566" s="91"/>
      <c r="W566" s="91"/>
      <c r="X566" s="91"/>
      <c r="Y566" s="91"/>
      <c r="Z566" s="91"/>
      <c r="AA566" s="91"/>
      <c r="AB566" s="91"/>
      <c r="AC566" s="91"/>
      <c r="AD566" s="91"/>
      <c r="AE566" s="91"/>
      <c r="AF566" s="91"/>
      <c r="AG566" s="91"/>
      <c r="AH566" s="91"/>
      <c r="AI566" s="91"/>
    </row>
    <row r="567" spans="1:35">
      <c r="A567" s="206"/>
      <c r="B567" s="156">
        <v>565</v>
      </c>
      <c r="C567" s="43">
        <v>320103</v>
      </c>
      <c r="D567" s="320">
        <v>15596879</v>
      </c>
      <c r="E567" s="648" t="s">
        <v>4687</v>
      </c>
      <c r="F567" s="42">
        <v>72</v>
      </c>
      <c r="G567" s="43" t="s">
        <v>4688</v>
      </c>
      <c r="H567" s="43" t="s">
        <v>278</v>
      </c>
      <c r="I567" s="320">
        <v>913506980</v>
      </c>
      <c r="J567" s="43" t="s">
        <v>238</v>
      </c>
      <c r="K567" s="44">
        <v>46111</v>
      </c>
      <c r="L567" s="897" t="s">
        <v>683</v>
      </c>
      <c r="M567" s="897" t="s">
        <v>312</v>
      </c>
      <c r="N567" s="706" t="s">
        <v>241</v>
      </c>
      <c r="O567" s="899">
        <v>46116</v>
      </c>
      <c r="P567" s="900"/>
      <c r="Q567" s="242"/>
      <c r="R567" s="91"/>
      <c r="S567" s="91"/>
      <c r="T567" s="91"/>
      <c r="U567" s="91"/>
      <c r="V567" s="91"/>
      <c r="W567" s="91"/>
      <c r="X567" s="91"/>
      <c r="Y567" s="91"/>
      <c r="Z567" s="91"/>
      <c r="AA567" s="91"/>
      <c r="AB567" s="91"/>
      <c r="AC567" s="91"/>
      <c r="AD567" s="91"/>
      <c r="AE567" s="91"/>
      <c r="AF567" s="91"/>
      <c r="AG567" s="91"/>
      <c r="AH567" s="91"/>
      <c r="AI567" s="91"/>
    </row>
    <row r="568" spans="1:35">
      <c r="A568" s="206"/>
      <c r="B568" s="156">
        <v>566</v>
      </c>
      <c r="C568" s="43">
        <v>31148</v>
      </c>
      <c r="D568" s="320">
        <v>15727647</v>
      </c>
      <c r="E568" s="648" t="s">
        <v>4689</v>
      </c>
      <c r="F568" s="42">
        <v>53</v>
      </c>
      <c r="G568" s="43" t="s">
        <v>4690</v>
      </c>
      <c r="H568" s="43" t="s">
        <v>288</v>
      </c>
      <c r="I568" s="320">
        <v>947886838</v>
      </c>
      <c r="J568" s="43" t="s">
        <v>238</v>
      </c>
      <c r="K568" s="44">
        <v>46111</v>
      </c>
      <c r="L568" s="897" t="s">
        <v>683</v>
      </c>
      <c r="M568" s="897" t="s">
        <v>312</v>
      </c>
      <c r="N568" s="706" t="s">
        <v>241</v>
      </c>
      <c r="O568" s="899">
        <v>46116</v>
      </c>
      <c r="P568" s="900"/>
      <c r="Q568" s="242"/>
      <c r="R568" s="91"/>
      <c r="S568" s="91"/>
      <c r="T568" s="91"/>
      <c r="U568" s="91"/>
      <c r="V568" s="91"/>
      <c r="W568" s="91"/>
      <c r="X568" s="91"/>
      <c r="Y568" s="91"/>
      <c r="Z568" s="91"/>
      <c r="AA568" s="91"/>
      <c r="AB568" s="91"/>
      <c r="AC568" s="91"/>
      <c r="AD568" s="91"/>
      <c r="AE568" s="91"/>
      <c r="AF568" s="91"/>
      <c r="AG568" s="91"/>
      <c r="AH568" s="91"/>
      <c r="AI568" s="91"/>
    </row>
    <row r="569" spans="1:35">
      <c r="A569" s="206"/>
      <c r="B569" s="156">
        <v>567</v>
      </c>
      <c r="C569" s="43">
        <v>147635</v>
      </c>
      <c r="D569" s="320">
        <v>15725367</v>
      </c>
      <c r="E569" s="648" t="s">
        <v>4691</v>
      </c>
      <c r="F569" s="42">
        <v>55</v>
      </c>
      <c r="G569" s="43" t="s">
        <v>4692</v>
      </c>
      <c r="H569" s="43" t="s">
        <v>278</v>
      </c>
      <c r="I569" s="320">
        <v>989339830</v>
      </c>
      <c r="J569" s="43" t="s">
        <v>238</v>
      </c>
      <c r="K569" s="44">
        <v>46111</v>
      </c>
      <c r="L569" s="901" t="s">
        <v>679</v>
      </c>
      <c r="M569" s="897" t="s">
        <v>230</v>
      </c>
      <c r="N569" s="706" t="s">
        <v>241</v>
      </c>
      <c r="O569" s="898">
        <v>46118</v>
      </c>
      <c r="P569" s="901" t="s">
        <v>4693</v>
      </c>
      <c r="Q569" s="242"/>
      <c r="R569" s="91"/>
      <c r="S569" s="91"/>
      <c r="T569" s="91"/>
      <c r="U569" s="91"/>
      <c r="V569" s="91"/>
      <c r="W569" s="91"/>
      <c r="X569" s="91"/>
      <c r="Y569" s="91"/>
      <c r="Z569" s="91"/>
      <c r="AA569" s="91"/>
      <c r="AB569" s="91"/>
      <c r="AC569" s="91"/>
      <c r="AD569" s="91"/>
      <c r="AE569" s="91"/>
      <c r="AF569" s="91"/>
      <c r="AG569" s="91"/>
      <c r="AH569" s="91"/>
      <c r="AI569" s="91"/>
    </row>
    <row r="570" spans="1:35">
      <c r="A570" s="266"/>
      <c r="B570" s="156">
        <v>568</v>
      </c>
      <c r="C570" s="266">
        <v>524456</v>
      </c>
      <c r="D570" s="319">
        <v>41970115</v>
      </c>
      <c r="E570" s="669" t="s">
        <v>4694</v>
      </c>
      <c r="F570" s="692">
        <v>45</v>
      </c>
      <c r="G570" s="266" t="s">
        <v>4695</v>
      </c>
      <c r="H570" s="266" t="s">
        <v>461</v>
      </c>
      <c r="I570" s="319">
        <v>990916230</v>
      </c>
      <c r="J570" s="266" t="s">
        <v>2630</v>
      </c>
      <c r="K570" s="44">
        <v>46111</v>
      </c>
      <c r="L570" s="897" t="s">
        <v>4696</v>
      </c>
      <c r="M570" s="897" t="s">
        <v>260</v>
      </c>
      <c r="N570" s="706" t="s">
        <v>241</v>
      </c>
      <c r="O570" s="899">
        <v>46116</v>
      </c>
      <c r="P570" s="900"/>
      <c r="Q570" s="266"/>
      <c r="R570" s="91"/>
      <c r="S570" s="91"/>
      <c r="T570" s="91"/>
      <c r="U570" s="91"/>
      <c r="V570" s="91"/>
      <c r="W570" s="91"/>
      <c r="X570" s="91"/>
      <c r="Y570" s="91"/>
      <c r="Z570" s="91"/>
      <c r="AA570" s="91"/>
      <c r="AB570" s="91"/>
      <c r="AC570" s="91"/>
      <c r="AD570" s="91"/>
      <c r="AE570" s="91"/>
      <c r="AF570" s="91"/>
      <c r="AG570" s="91"/>
      <c r="AH570" s="91"/>
      <c r="AI570" s="91"/>
    </row>
    <row r="571" spans="1:35">
      <c r="A571" s="261">
        <v>46112</v>
      </c>
      <c r="B571" s="156">
        <v>569</v>
      </c>
      <c r="C571" s="43">
        <v>116031</v>
      </c>
      <c r="D571" s="320">
        <v>40012271</v>
      </c>
      <c r="E571" s="648" t="s">
        <v>4697</v>
      </c>
      <c r="F571" s="42">
        <v>48</v>
      </c>
      <c r="G571" s="43" t="s">
        <v>4698</v>
      </c>
      <c r="H571" s="43" t="s">
        <v>278</v>
      </c>
      <c r="I571" s="320">
        <v>977435195</v>
      </c>
      <c r="J571" s="43" t="s">
        <v>238</v>
      </c>
      <c r="K571" s="298">
        <v>46112</v>
      </c>
      <c r="L571" s="897" t="s">
        <v>4699</v>
      </c>
      <c r="M571" s="897" t="s">
        <v>260</v>
      </c>
      <c r="N571" s="706" t="s">
        <v>241</v>
      </c>
      <c r="O571" s="898">
        <v>46118</v>
      </c>
      <c r="P571" s="900" t="s">
        <v>3670</v>
      </c>
      <c r="Q571" s="242"/>
      <c r="R571" s="91"/>
      <c r="S571" s="91"/>
      <c r="T571" s="91"/>
      <c r="U571" s="91"/>
      <c r="V571" s="91"/>
      <c r="W571" s="91"/>
      <c r="X571" s="91"/>
      <c r="Y571" s="91"/>
      <c r="Z571" s="91"/>
      <c r="AA571" s="91"/>
      <c r="AB571" s="91"/>
      <c r="AC571" s="91"/>
      <c r="AD571" s="91"/>
      <c r="AE571" s="91"/>
      <c r="AF571" s="91"/>
      <c r="AG571" s="91"/>
      <c r="AH571" s="91"/>
      <c r="AI571" s="91"/>
    </row>
    <row r="572" spans="1:35">
      <c r="A572" s="43"/>
      <c r="B572" s="156">
        <v>570</v>
      </c>
      <c r="C572" s="43">
        <v>366927</v>
      </c>
      <c r="D572" s="320">
        <v>16586918</v>
      </c>
      <c r="E572" s="648" t="s">
        <v>4700</v>
      </c>
      <c r="F572" s="42">
        <v>57</v>
      </c>
      <c r="G572" s="43" t="s">
        <v>4701</v>
      </c>
      <c r="H572" s="43" t="s">
        <v>4702</v>
      </c>
      <c r="I572" s="320">
        <v>965766946</v>
      </c>
      <c r="J572" s="43" t="s">
        <v>283</v>
      </c>
      <c r="K572" s="298">
        <v>46112</v>
      </c>
      <c r="L572" s="897" t="s">
        <v>4703</v>
      </c>
      <c r="M572" s="897" t="s">
        <v>230</v>
      </c>
      <c r="N572" s="706" t="s">
        <v>241</v>
      </c>
      <c r="O572" s="899">
        <v>46116</v>
      </c>
      <c r="P572" s="897"/>
      <c r="Q572" s="43"/>
      <c r="R572" s="91"/>
      <c r="S572" s="91"/>
      <c r="T572" s="91"/>
      <c r="U572" s="91"/>
      <c r="V572" s="91"/>
      <c r="W572" s="91"/>
      <c r="X572" s="91"/>
      <c r="Y572" s="91"/>
      <c r="Z572" s="91"/>
      <c r="AA572" s="91"/>
      <c r="AB572" s="91"/>
      <c r="AC572" s="91"/>
      <c r="AD572" s="91"/>
      <c r="AE572" s="91"/>
      <c r="AF572" s="91"/>
      <c r="AG572" s="91"/>
      <c r="AH572" s="91"/>
      <c r="AI572" s="91"/>
    </row>
    <row r="573" spans="1:35">
      <c r="A573" s="43"/>
      <c r="B573" s="156">
        <v>571</v>
      </c>
      <c r="C573" s="43">
        <v>437269</v>
      </c>
      <c r="D573" s="688">
        <v>15709516</v>
      </c>
      <c r="E573" s="689" t="s">
        <v>4704</v>
      </c>
      <c r="F573" s="664">
        <v>55</v>
      </c>
      <c r="G573" s="690" t="s">
        <v>4705</v>
      </c>
      <c r="H573" s="691" t="s">
        <v>2724</v>
      </c>
      <c r="I573" s="699">
        <v>997006909</v>
      </c>
      <c r="J573" s="682" t="s">
        <v>175</v>
      </c>
      <c r="K573" s="298">
        <v>46112</v>
      </c>
      <c r="L573" s="897" t="s">
        <v>679</v>
      </c>
      <c r="M573" s="897" t="s">
        <v>230</v>
      </c>
      <c r="N573" s="706" t="s">
        <v>241</v>
      </c>
      <c r="O573" s="899">
        <v>46116</v>
      </c>
      <c r="P573" s="897"/>
      <c r="Q573" s="877" t="s">
        <v>358</v>
      </c>
    </row>
    <row r="574" spans="1:35">
      <c r="A574" s="43"/>
      <c r="B574" s="156">
        <v>572</v>
      </c>
      <c r="C574" s="43">
        <v>141201</v>
      </c>
      <c r="D574" s="700">
        <v>15630407</v>
      </c>
      <c r="E574" s="701" t="s">
        <v>4706</v>
      </c>
      <c r="F574" s="702">
        <v>59</v>
      </c>
      <c r="G574" s="363" t="s">
        <v>4707</v>
      </c>
      <c r="H574" s="703" t="s">
        <v>2724</v>
      </c>
      <c r="I574" s="704">
        <v>960461239</v>
      </c>
      <c r="J574" s="702" t="s">
        <v>175</v>
      </c>
      <c r="K574" s="298">
        <v>46112</v>
      </c>
      <c r="L574" s="897" t="s">
        <v>679</v>
      </c>
      <c r="M574" s="897" t="s">
        <v>230</v>
      </c>
      <c r="N574" s="706" t="s">
        <v>241</v>
      </c>
      <c r="O574" s="899">
        <v>46116</v>
      </c>
      <c r="P574" s="897"/>
      <c r="Q574" s="471" t="s">
        <v>358</v>
      </c>
    </row>
    <row r="575" spans="1:35">
      <c r="A575" s="43"/>
      <c r="B575" s="156">
        <v>573</v>
      </c>
      <c r="C575" s="43">
        <v>436730</v>
      </c>
      <c r="D575" s="700">
        <v>15847623</v>
      </c>
      <c r="E575" s="701" t="s">
        <v>4708</v>
      </c>
      <c r="F575" s="702">
        <v>49</v>
      </c>
      <c r="G575" s="363" t="s">
        <v>4709</v>
      </c>
      <c r="H575" s="703" t="s">
        <v>2724</v>
      </c>
      <c r="I575" s="704">
        <v>992365808</v>
      </c>
      <c r="J575" s="702" t="s">
        <v>4710</v>
      </c>
      <c r="K575" s="298">
        <v>46112</v>
      </c>
      <c r="L575" s="897" t="s">
        <v>2058</v>
      </c>
      <c r="M575" s="897" t="s">
        <v>260</v>
      </c>
      <c r="N575" s="706" t="s">
        <v>241</v>
      </c>
      <c r="O575" s="898">
        <v>46118</v>
      </c>
      <c r="P575" s="897" t="s">
        <v>4711</v>
      </c>
      <c r="Q575" s="471" t="s">
        <v>358</v>
      </c>
    </row>
    <row r="576" spans="1:35">
      <c r="A576" s="43"/>
      <c r="B576" s="156">
        <v>574</v>
      </c>
      <c r="C576" s="43">
        <v>302570</v>
      </c>
      <c r="D576" s="320">
        <v>41878264</v>
      </c>
      <c r="E576" s="648" t="s">
        <v>4712</v>
      </c>
      <c r="F576" s="42">
        <v>46</v>
      </c>
      <c r="G576" s="112" t="s">
        <v>4713</v>
      </c>
      <c r="H576" s="112" t="s">
        <v>237</v>
      </c>
      <c r="I576" s="477">
        <v>980810066</v>
      </c>
      <c r="J576" s="43" t="s">
        <v>429</v>
      </c>
      <c r="K576" s="298">
        <v>46112</v>
      </c>
      <c r="L576" s="897" t="s">
        <v>4595</v>
      </c>
      <c r="M576" s="897" t="s">
        <v>323</v>
      </c>
      <c r="N576" s="706" t="s">
        <v>241</v>
      </c>
      <c r="O576" s="898">
        <v>46118</v>
      </c>
      <c r="P576" s="897" t="s">
        <v>4596</v>
      </c>
      <c r="Q576" s="875" t="s">
        <v>358</v>
      </c>
    </row>
    <row r="577" spans="1:35">
      <c r="A577" s="43"/>
      <c r="B577" s="156">
        <v>575</v>
      </c>
      <c r="C577" s="43">
        <v>250282</v>
      </c>
      <c r="D577" s="320">
        <v>15741852</v>
      </c>
      <c r="E577" s="648" t="s">
        <v>4714</v>
      </c>
      <c r="F577" s="42">
        <v>52</v>
      </c>
      <c r="G577" s="43" t="s">
        <v>4715</v>
      </c>
      <c r="H577" s="43" t="s">
        <v>2330</v>
      </c>
      <c r="I577" s="320">
        <v>999913703</v>
      </c>
      <c r="J577" s="112" t="s">
        <v>347</v>
      </c>
      <c r="K577" s="298">
        <v>46112</v>
      </c>
      <c r="L577" s="897" t="s">
        <v>3587</v>
      </c>
      <c r="M577" s="897" t="s">
        <v>230</v>
      </c>
      <c r="N577" s="706" t="s">
        <v>241</v>
      </c>
      <c r="O577" s="898">
        <v>46118</v>
      </c>
      <c r="P577" s="897" t="s">
        <v>285</v>
      </c>
      <c r="Q577" s="43"/>
      <c r="R577" s="91"/>
      <c r="S577" s="91"/>
      <c r="T577" s="91"/>
      <c r="U577" s="91"/>
      <c r="V577" s="91"/>
      <c r="W577" s="91"/>
      <c r="X577" s="91"/>
      <c r="Y577" s="91"/>
      <c r="Z577" s="91"/>
      <c r="AA577" s="91"/>
      <c r="AB577" s="91"/>
      <c r="AC577" s="91"/>
      <c r="AD577" s="91"/>
      <c r="AE577" s="91"/>
      <c r="AF577" s="91"/>
      <c r="AG577" s="91"/>
      <c r="AH577" s="91"/>
      <c r="AI577" s="91"/>
    </row>
    <row r="578" spans="1:35">
      <c r="A578" s="306"/>
      <c r="B578" s="156">
        <v>576</v>
      </c>
      <c r="C578" s="43">
        <v>115632</v>
      </c>
      <c r="D578" s="320">
        <v>42985616</v>
      </c>
      <c r="E578" s="648" t="s">
        <v>4716</v>
      </c>
      <c r="F578" s="42">
        <v>42</v>
      </c>
      <c r="G578" s="43" t="s">
        <v>4717</v>
      </c>
      <c r="H578" s="43" t="s">
        <v>432</v>
      </c>
      <c r="I578" s="320">
        <v>937508741</v>
      </c>
      <c r="J578" s="43" t="s">
        <v>1209</v>
      </c>
      <c r="K578" s="298">
        <v>46112</v>
      </c>
      <c r="L578" s="897" t="s">
        <v>4718</v>
      </c>
      <c r="M578" s="897" t="s">
        <v>260</v>
      </c>
      <c r="N578" s="706" t="s">
        <v>241</v>
      </c>
      <c r="O578" s="899">
        <v>46116</v>
      </c>
      <c r="P578" s="897"/>
      <c r="Q578" s="43"/>
      <c r="R578" s="91"/>
      <c r="S578" s="91"/>
      <c r="T578" s="91"/>
      <c r="U578" s="91"/>
      <c r="V578" s="91"/>
      <c r="W578" s="91"/>
      <c r="X578" s="91"/>
      <c r="Y578" s="91"/>
      <c r="Z578" s="91"/>
      <c r="AA578" s="91"/>
      <c r="AB578" s="91"/>
      <c r="AC578" s="91"/>
      <c r="AD578" s="91"/>
      <c r="AE578" s="91"/>
      <c r="AF578" s="91"/>
      <c r="AG578" s="91"/>
      <c r="AH578" s="91"/>
      <c r="AI578" s="91"/>
    </row>
    <row r="579" spans="1:35">
      <c r="A579" s="43"/>
      <c r="B579" s="156">
        <v>577</v>
      </c>
      <c r="C579" s="43">
        <v>216627</v>
      </c>
      <c r="D579" s="705">
        <v>15867245</v>
      </c>
      <c r="E579" s="701" t="s">
        <v>4719</v>
      </c>
      <c r="F579" s="702">
        <v>46</v>
      </c>
      <c r="G579" s="706" t="s">
        <v>4720</v>
      </c>
      <c r="H579" s="702" t="s">
        <v>2724</v>
      </c>
      <c r="I579" s="707">
        <v>910632804</v>
      </c>
      <c r="J579" s="702" t="s">
        <v>175</v>
      </c>
      <c r="K579" s="298">
        <v>46112</v>
      </c>
      <c r="L579" s="897" t="s">
        <v>4721</v>
      </c>
      <c r="M579" s="897" t="s">
        <v>323</v>
      </c>
      <c r="N579" s="706" t="s">
        <v>4722</v>
      </c>
      <c r="O579" s="899">
        <v>46118</v>
      </c>
      <c r="P579" s="897"/>
      <c r="Q579" s="877" t="s">
        <v>358</v>
      </c>
    </row>
    <row r="580" spans="1:35">
      <c r="A580" s="43"/>
      <c r="B580" s="156">
        <v>578</v>
      </c>
      <c r="C580" s="43">
        <v>516051</v>
      </c>
      <c r="D580" s="709">
        <v>80319958</v>
      </c>
      <c r="E580" s="710" t="s">
        <v>4723</v>
      </c>
      <c r="F580" s="711">
        <v>56</v>
      </c>
      <c r="G580" s="711" t="s">
        <v>4724</v>
      </c>
      <c r="H580" s="711" t="s">
        <v>4308</v>
      </c>
      <c r="I580" s="666" t="s">
        <v>4725</v>
      </c>
      <c r="J580" s="711" t="s">
        <v>4726</v>
      </c>
      <c r="K580" s="298">
        <v>46112</v>
      </c>
      <c r="L580" s="897" t="s">
        <v>4727</v>
      </c>
      <c r="M580" s="897" t="s">
        <v>260</v>
      </c>
      <c r="N580" s="706" t="s">
        <v>241</v>
      </c>
      <c r="O580" s="899">
        <v>46118</v>
      </c>
      <c r="P580" s="900"/>
      <c r="Q580" s="875" t="s">
        <v>358</v>
      </c>
    </row>
    <row r="581" spans="1:35">
      <c r="A581" s="206"/>
      <c r="B581" s="156">
        <v>579</v>
      </c>
      <c r="C581" s="43">
        <v>286492</v>
      </c>
      <c r="D581" s="320">
        <v>424338572</v>
      </c>
      <c r="E581" s="648" t="s">
        <v>4728</v>
      </c>
      <c r="F581" s="42">
        <v>41</v>
      </c>
      <c r="G581" s="43" t="s">
        <v>4729</v>
      </c>
      <c r="H581" s="43" t="s">
        <v>326</v>
      </c>
      <c r="I581" s="320">
        <v>937504082</v>
      </c>
      <c r="J581" s="43" t="s">
        <v>238</v>
      </c>
      <c r="K581" s="298">
        <v>46112</v>
      </c>
      <c r="L581" s="897" t="s">
        <v>4730</v>
      </c>
      <c r="M581" s="897" t="s">
        <v>312</v>
      </c>
      <c r="N581" s="706" t="s">
        <v>241</v>
      </c>
      <c r="O581" s="898">
        <v>46118</v>
      </c>
      <c r="P581" s="900" t="s">
        <v>4731</v>
      </c>
      <c r="Q581" s="242"/>
      <c r="R581" s="91"/>
      <c r="S581" s="91"/>
      <c r="T581" s="91"/>
      <c r="U581" s="91"/>
      <c r="V581" s="91"/>
      <c r="W581" s="91"/>
      <c r="X581" s="91"/>
      <c r="Y581" s="91"/>
      <c r="Z581" s="91"/>
      <c r="AA581" s="91"/>
      <c r="AB581" s="91"/>
      <c r="AC581" s="91"/>
      <c r="AD581" s="91"/>
      <c r="AE581" s="91"/>
      <c r="AF581" s="91"/>
      <c r="AG581" s="91"/>
      <c r="AH581" s="91"/>
      <c r="AI581" s="91"/>
    </row>
    <row r="582" spans="1:35">
      <c r="A582" s="206"/>
      <c r="B582" s="156">
        <v>580</v>
      </c>
      <c r="C582" s="43">
        <v>27389</v>
      </c>
      <c r="D582" s="320">
        <v>15757587</v>
      </c>
      <c r="E582" s="648" t="s">
        <v>4732</v>
      </c>
      <c r="F582" s="42">
        <v>54</v>
      </c>
      <c r="G582" s="43" t="s">
        <v>4733</v>
      </c>
      <c r="H582" s="43" t="s">
        <v>326</v>
      </c>
      <c r="I582" s="320">
        <v>936624308</v>
      </c>
      <c r="J582" s="43" t="s">
        <v>375</v>
      </c>
      <c r="K582" s="298">
        <v>46112</v>
      </c>
      <c r="L582" s="901" t="s">
        <v>388</v>
      </c>
      <c r="M582" s="897" t="s">
        <v>230</v>
      </c>
      <c r="N582" s="706" t="s">
        <v>241</v>
      </c>
      <c r="O582" s="899">
        <v>46118</v>
      </c>
      <c r="P582" s="901"/>
      <c r="Q582" s="242"/>
      <c r="R582" s="91"/>
      <c r="S582" s="91"/>
      <c r="T582" s="91"/>
      <c r="U582" s="91"/>
      <c r="V582" s="91"/>
      <c r="W582" s="91"/>
      <c r="X582" s="91"/>
      <c r="Y582" s="91"/>
      <c r="Z582" s="91"/>
      <c r="AA582" s="91"/>
      <c r="AB582" s="91"/>
      <c r="AC582" s="91"/>
      <c r="AD582" s="91"/>
      <c r="AE582" s="91"/>
      <c r="AF582" s="91"/>
      <c r="AG582" s="91"/>
      <c r="AH582" s="91"/>
      <c r="AI582" s="91"/>
    </row>
    <row r="583" spans="1:35">
      <c r="A583" s="266"/>
      <c r="B583" s="156">
        <v>581</v>
      </c>
      <c r="C583" s="266">
        <v>524475</v>
      </c>
      <c r="D583" s="334">
        <v>40929803</v>
      </c>
      <c r="E583" s="712" t="s">
        <v>4734</v>
      </c>
      <c r="F583" s="713">
        <v>44</v>
      </c>
      <c r="G583" s="713" t="s">
        <v>4735</v>
      </c>
      <c r="H583" s="713" t="s">
        <v>2724</v>
      </c>
      <c r="I583" s="714">
        <v>946771962</v>
      </c>
      <c r="J583" s="713" t="s">
        <v>175</v>
      </c>
      <c r="K583" s="298">
        <v>46112</v>
      </c>
      <c r="L583" s="897" t="s">
        <v>871</v>
      </c>
      <c r="M583" s="897" t="s">
        <v>312</v>
      </c>
      <c r="N583" s="706" t="s">
        <v>241</v>
      </c>
      <c r="O583" s="899">
        <v>46118</v>
      </c>
      <c r="P583" s="900"/>
      <c r="Q583" s="877" t="s">
        <v>358</v>
      </c>
    </row>
    <row r="584" spans="1:35">
      <c r="A584" s="407"/>
      <c r="B584" s="156">
        <v>582</v>
      </c>
      <c r="C584" s="43">
        <v>524476</v>
      </c>
      <c r="D584" s="320">
        <v>42633277</v>
      </c>
      <c r="E584" s="648" t="s">
        <v>4736</v>
      </c>
      <c r="F584" s="42">
        <v>48</v>
      </c>
      <c r="G584" s="43" t="s">
        <v>4737</v>
      </c>
      <c r="H584" s="43" t="s">
        <v>271</v>
      </c>
      <c r="I584" s="320">
        <v>964213892</v>
      </c>
      <c r="J584" s="45" t="s">
        <v>164</v>
      </c>
      <c r="K584" s="298">
        <v>46112</v>
      </c>
      <c r="L584" s="901" t="s">
        <v>376</v>
      </c>
      <c r="M584" s="897" t="s">
        <v>230</v>
      </c>
      <c r="N584" s="706" t="s">
        <v>317</v>
      </c>
      <c r="O584" s="899">
        <v>46118</v>
      </c>
      <c r="P584" s="901"/>
      <c r="Q584" s="471" t="s">
        <v>358</v>
      </c>
    </row>
    <row r="585" spans="1:35">
      <c r="A585" s="266"/>
      <c r="B585" s="156">
        <v>583</v>
      </c>
      <c r="C585" s="266">
        <v>524477</v>
      </c>
      <c r="D585" s="715">
        <v>15854903</v>
      </c>
      <c r="E585" s="716" t="s">
        <v>4738</v>
      </c>
      <c r="F585" s="706">
        <v>59</v>
      </c>
      <c r="G585" s="706" t="s">
        <v>4720</v>
      </c>
      <c r="H585" s="706" t="s">
        <v>4739</v>
      </c>
      <c r="I585" s="717">
        <v>957485833</v>
      </c>
      <c r="J585" s="706" t="s">
        <v>175</v>
      </c>
      <c r="K585" s="298">
        <v>46112</v>
      </c>
      <c r="L585" s="901" t="s">
        <v>2695</v>
      </c>
      <c r="M585" s="897" t="s">
        <v>260</v>
      </c>
      <c r="N585" s="706" t="s">
        <v>241</v>
      </c>
      <c r="O585" s="899">
        <v>46118</v>
      </c>
      <c r="P585" s="901"/>
      <c r="Q585" s="471" t="s">
        <v>358</v>
      </c>
    </row>
    <row r="586" spans="1:35">
      <c r="A586" s="269"/>
      <c r="B586" s="156">
        <v>584</v>
      </c>
      <c r="C586" s="718">
        <v>524486</v>
      </c>
      <c r="D586" s="719">
        <v>4078096</v>
      </c>
      <c r="E586" s="685" t="s">
        <v>4740</v>
      </c>
      <c r="F586" s="720">
        <v>50</v>
      </c>
      <c r="G586" s="675" t="s">
        <v>4741</v>
      </c>
      <c r="H586" s="675" t="s">
        <v>1885</v>
      </c>
      <c r="I586" s="675">
        <v>950243725</v>
      </c>
      <c r="J586" s="266" t="s">
        <v>164</v>
      </c>
      <c r="K586" s="298">
        <v>46112</v>
      </c>
      <c r="L586" s="902" t="s">
        <v>4742</v>
      </c>
      <c r="M586" s="897" t="s">
        <v>312</v>
      </c>
      <c r="N586" s="706" t="s">
        <v>317</v>
      </c>
      <c r="O586" s="899">
        <v>46118</v>
      </c>
      <c r="P586" s="902"/>
      <c r="Q586" s="471" t="s">
        <v>358</v>
      </c>
    </row>
    <row r="587" spans="1:35">
      <c r="A587" s="721" t="s">
        <v>513</v>
      </c>
      <c r="B587" s="156">
        <v>585</v>
      </c>
      <c r="C587" s="434">
        <v>524488</v>
      </c>
      <c r="D587" s="722">
        <v>15859708</v>
      </c>
      <c r="E587" s="723" t="s">
        <v>4743</v>
      </c>
      <c r="F587" s="722">
        <v>53</v>
      </c>
      <c r="G587" s="722" t="s">
        <v>4744</v>
      </c>
      <c r="H587" s="708" t="s">
        <v>2724</v>
      </c>
      <c r="I587" s="724">
        <v>912727583</v>
      </c>
      <c r="J587" s="722" t="s">
        <v>175</v>
      </c>
      <c r="K587" s="298">
        <v>46112</v>
      </c>
      <c r="L587" s="897" t="s">
        <v>376</v>
      </c>
      <c r="M587" s="897" t="s">
        <v>230</v>
      </c>
      <c r="N587" s="706" t="s">
        <v>317</v>
      </c>
      <c r="O587" s="898">
        <v>46118</v>
      </c>
      <c r="P587" s="897" t="s">
        <v>4430</v>
      </c>
      <c r="Q587" s="875" t="s">
        <v>358</v>
      </c>
    </row>
    <row r="588" spans="1:35" ht="24.75">
      <c r="A588" s="43"/>
      <c r="B588" s="156">
        <v>586</v>
      </c>
      <c r="C588" s="43">
        <v>517352</v>
      </c>
      <c r="D588" s="725" t="s">
        <v>4745</v>
      </c>
      <c r="E588" s="663" t="s">
        <v>4746</v>
      </c>
      <c r="F588" s="42">
        <v>67</v>
      </c>
      <c r="G588" s="43" t="s">
        <v>4747</v>
      </c>
      <c r="H588" s="43" t="s">
        <v>278</v>
      </c>
      <c r="I588" s="43">
        <v>957687772</v>
      </c>
      <c r="J588" s="43" t="s">
        <v>384</v>
      </c>
      <c r="K588" s="298">
        <v>46112</v>
      </c>
      <c r="L588" s="902" t="s">
        <v>376</v>
      </c>
      <c r="M588" s="897" t="s">
        <v>230</v>
      </c>
      <c r="N588" s="706" t="s">
        <v>317</v>
      </c>
      <c r="O588" s="899">
        <v>46118</v>
      </c>
      <c r="P588" s="902"/>
      <c r="Q588" s="43"/>
      <c r="R588" s="91"/>
      <c r="S588" s="91"/>
      <c r="T588" s="91"/>
      <c r="U588" s="91"/>
      <c r="V588" s="91"/>
      <c r="W588" s="91"/>
      <c r="X588" s="91"/>
      <c r="Y588" s="91"/>
      <c r="Z588" s="91"/>
      <c r="AA588" s="91"/>
      <c r="AB588" s="91"/>
      <c r="AC588" s="91"/>
      <c r="AD588" s="91"/>
      <c r="AE588" s="91"/>
      <c r="AF588" s="91"/>
      <c r="AG588" s="91"/>
      <c r="AH588" s="91"/>
      <c r="AI588" s="91"/>
    </row>
    <row r="589" spans="1:35">
      <c r="A589" s="43"/>
      <c r="B589" s="156">
        <v>587</v>
      </c>
      <c r="C589" s="43">
        <v>524489</v>
      </c>
      <c r="D589" s="702">
        <v>15852669</v>
      </c>
      <c r="E589" s="726" t="s">
        <v>4748</v>
      </c>
      <c r="F589" s="702">
        <v>54</v>
      </c>
      <c r="G589" s="702" t="s">
        <v>4749</v>
      </c>
      <c r="H589" s="702" t="s">
        <v>3997</v>
      </c>
      <c r="I589" s="727">
        <v>933564152</v>
      </c>
      <c r="J589" s="702" t="s">
        <v>175</v>
      </c>
      <c r="K589" s="298">
        <v>46112</v>
      </c>
      <c r="L589" s="897" t="s">
        <v>388</v>
      </c>
      <c r="M589" s="897" t="s">
        <v>230</v>
      </c>
      <c r="N589" s="706" t="s">
        <v>241</v>
      </c>
      <c r="O589" s="899">
        <v>46118</v>
      </c>
      <c r="P589" s="897"/>
      <c r="Q589" s="877" t="s">
        <v>358</v>
      </c>
    </row>
    <row r="590" spans="1:35">
      <c r="A590" s="43"/>
      <c r="B590" s="156">
        <v>588</v>
      </c>
      <c r="C590" s="43">
        <v>176000</v>
      </c>
      <c r="D590" s="702">
        <v>15631568</v>
      </c>
      <c r="E590" s="728" t="s">
        <v>4750</v>
      </c>
      <c r="F590" s="702">
        <v>63</v>
      </c>
      <c r="G590" s="702" t="s">
        <v>4751</v>
      </c>
      <c r="H590" s="702" t="s">
        <v>2724</v>
      </c>
      <c r="I590" s="727">
        <v>980098419</v>
      </c>
      <c r="J590" s="702" t="s">
        <v>175</v>
      </c>
      <c r="K590" s="298">
        <v>46112</v>
      </c>
      <c r="L590" s="897" t="s">
        <v>4752</v>
      </c>
      <c r="M590" s="897" t="s">
        <v>260</v>
      </c>
      <c r="N590" s="706" t="s">
        <v>241</v>
      </c>
      <c r="O590" s="898">
        <v>46118</v>
      </c>
      <c r="P590" s="897" t="s">
        <v>4753</v>
      </c>
      <c r="Q590" s="875" t="s">
        <v>358</v>
      </c>
    </row>
    <row r="591" spans="1:35">
      <c r="A591" s="43"/>
      <c r="B591" s="156">
        <v>589</v>
      </c>
      <c r="C591" s="43">
        <v>275506</v>
      </c>
      <c r="D591" s="43">
        <v>42309939</v>
      </c>
      <c r="E591" s="648" t="s">
        <v>4754</v>
      </c>
      <c r="F591" s="42">
        <v>42</v>
      </c>
      <c r="G591" s="43" t="s">
        <v>4755</v>
      </c>
      <c r="H591" s="43" t="s">
        <v>278</v>
      </c>
      <c r="I591" s="43">
        <v>971158795</v>
      </c>
      <c r="J591" s="43" t="s">
        <v>289</v>
      </c>
      <c r="K591" s="298">
        <v>46112</v>
      </c>
      <c r="L591" s="902" t="s">
        <v>376</v>
      </c>
      <c r="M591" s="897" t="s">
        <v>230</v>
      </c>
      <c r="N591" s="706" t="s">
        <v>317</v>
      </c>
      <c r="O591" s="899">
        <v>46118</v>
      </c>
      <c r="P591" s="902"/>
      <c r="Q591" s="43"/>
      <c r="R591" s="91"/>
      <c r="S591" s="91"/>
      <c r="T591" s="91"/>
      <c r="U591" s="91"/>
      <c r="V591" s="91"/>
      <c r="W591" s="91"/>
      <c r="X591" s="91"/>
      <c r="Y591" s="91"/>
      <c r="Z591" s="91"/>
      <c r="AA591" s="91"/>
      <c r="AB591" s="91"/>
      <c r="AC591" s="91"/>
      <c r="AD591" s="91"/>
      <c r="AE591" s="91"/>
      <c r="AF591" s="91"/>
      <c r="AG591" s="91"/>
      <c r="AH591" s="91"/>
      <c r="AI591" s="91"/>
    </row>
    <row r="592" spans="1:35">
      <c r="A592" s="43"/>
      <c r="B592" s="156">
        <v>590</v>
      </c>
      <c r="C592" s="43">
        <v>524491</v>
      </c>
      <c r="D592" s="702">
        <v>23276157</v>
      </c>
      <c r="E592" s="728" t="s">
        <v>4756</v>
      </c>
      <c r="F592" s="702">
        <v>50</v>
      </c>
      <c r="G592" s="702" t="s">
        <v>4757</v>
      </c>
      <c r="H592" s="702" t="s">
        <v>4758</v>
      </c>
      <c r="I592" s="727">
        <v>943700850</v>
      </c>
      <c r="J592" s="702" t="s">
        <v>175</v>
      </c>
      <c r="K592" s="298">
        <v>46112</v>
      </c>
      <c r="L592" s="903" t="s">
        <v>4195</v>
      </c>
      <c r="M592" s="897" t="s">
        <v>323</v>
      </c>
      <c r="N592" s="706" t="s">
        <v>241</v>
      </c>
      <c r="O592" s="899">
        <v>46118</v>
      </c>
      <c r="P592" s="903"/>
      <c r="Q592" s="879" t="s">
        <v>358</v>
      </c>
    </row>
    <row r="593" spans="1:35">
      <c r="A593" s="729"/>
      <c r="B593" s="156">
        <v>591</v>
      </c>
      <c r="C593" s="729">
        <v>99094</v>
      </c>
      <c r="D593" s="729">
        <v>15693946</v>
      </c>
      <c r="E593" s="730" t="s">
        <v>4759</v>
      </c>
      <c r="F593" s="729">
        <v>56</v>
      </c>
      <c r="G593" s="729" t="s">
        <v>4760</v>
      </c>
      <c r="H593" s="729" t="s">
        <v>222</v>
      </c>
      <c r="I593" s="729">
        <v>944088317</v>
      </c>
      <c r="J593" s="729" t="s">
        <v>238</v>
      </c>
      <c r="K593" s="298">
        <v>46112</v>
      </c>
      <c r="L593" s="897" t="s">
        <v>388</v>
      </c>
      <c r="M593" s="897" t="s">
        <v>230</v>
      </c>
      <c r="N593" s="706" t="s">
        <v>241</v>
      </c>
      <c r="O593" s="899">
        <v>46118</v>
      </c>
      <c r="P593" s="900"/>
      <c r="Q593" s="729"/>
      <c r="R593" s="91"/>
      <c r="S593" s="91"/>
      <c r="T593" s="91"/>
      <c r="U593" s="91"/>
      <c r="V593" s="91"/>
      <c r="W593" s="91"/>
      <c r="X593" s="91"/>
      <c r="Y593" s="91"/>
      <c r="Z593" s="91"/>
      <c r="AA593" s="91"/>
      <c r="AB593" s="91"/>
      <c r="AC593" s="91"/>
      <c r="AD593" s="91"/>
      <c r="AE593" s="91"/>
      <c r="AF593" s="91"/>
      <c r="AG593" s="91"/>
      <c r="AH593" s="91"/>
      <c r="AI593" s="91"/>
    </row>
    <row r="594" spans="1:35">
      <c r="A594" s="503"/>
      <c r="B594" s="156">
        <v>592</v>
      </c>
      <c r="C594" s="112">
        <v>524493</v>
      </c>
      <c r="D594" s="477">
        <v>40740799</v>
      </c>
      <c r="E594" s="745" t="s">
        <v>4761</v>
      </c>
      <c r="F594" s="121">
        <v>45</v>
      </c>
      <c r="G594" s="112" t="s">
        <v>4762</v>
      </c>
      <c r="H594" s="112" t="s">
        <v>2724</v>
      </c>
      <c r="I594" s="477">
        <v>934890467</v>
      </c>
      <c r="J594" s="112" t="s">
        <v>182</v>
      </c>
      <c r="K594" s="746">
        <v>46112</v>
      </c>
      <c r="L594" s="902" t="s">
        <v>388</v>
      </c>
      <c r="M594" s="897" t="s">
        <v>230</v>
      </c>
      <c r="N594" s="706" t="s">
        <v>241</v>
      </c>
      <c r="O594" s="899">
        <v>46118</v>
      </c>
      <c r="P594" s="902"/>
      <c r="Q594" s="877" t="s">
        <v>358</v>
      </c>
    </row>
    <row r="595" spans="1:35">
      <c r="A595" s="331"/>
      <c r="B595" s="156">
        <v>593</v>
      </c>
      <c r="C595" s="331">
        <v>524492</v>
      </c>
      <c r="D595" s="702">
        <v>43238406</v>
      </c>
      <c r="E595" s="728" t="s">
        <v>4763</v>
      </c>
      <c r="F595" s="702">
        <v>40</v>
      </c>
      <c r="G595" s="702" t="s">
        <v>4764</v>
      </c>
      <c r="H595" s="702" t="s">
        <v>2724</v>
      </c>
      <c r="I595" s="727">
        <v>981012542</v>
      </c>
      <c r="J595" s="43" t="s">
        <v>182</v>
      </c>
      <c r="K595" s="298">
        <v>46112</v>
      </c>
      <c r="L595" s="902" t="s">
        <v>376</v>
      </c>
      <c r="M595" s="897" t="s">
        <v>230</v>
      </c>
      <c r="N595" s="706" t="s">
        <v>317</v>
      </c>
      <c r="O595" s="899">
        <v>46118</v>
      </c>
      <c r="P595" s="902"/>
      <c r="Q595" s="471" t="s">
        <v>358</v>
      </c>
    </row>
    <row r="596" spans="1:35">
      <c r="A596" s="43"/>
      <c r="B596" s="156">
        <v>594</v>
      </c>
      <c r="C596" s="43">
        <v>524495</v>
      </c>
      <c r="D596" s="702">
        <v>15623161</v>
      </c>
      <c r="E596" s="728" t="s">
        <v>4765</v>
      </c>
      <c r="F596" s="702">
        <v>66</v>
      </c>
      <c r="G596" s="702" t="s">
        <v>4766</v>
      </c>
      <c r="H596" s="702" t="s">
        <v>2724</v>
      </c>
      <c r="I596" s="727">
        <v>929595044</v>
      </c>
      <c r="J596" s="43" t="s">
        <v>182</v>
      </c>
      <c r="K596" s="298">
        <v>46112</v>
      </c>
      <c r="L596" s="897" t="s">
        <v>376</v>
      </c>
      <c r="M596" s="897" t="s">
        <v>230</v>
      </c>
      <c r="N596" s="706" t="s">
        <v>317</v>
      </c>
      <c r="O596" s="898">
        <v>46118</v>
      </c>
      <c r="P596" s="900" t="s">
        <v>3670</v>
      </c>
      <c r="Q596" s="875" t="s">
        <v>358</v>
      </c>
    </row>
    <row r="597" spans="1:35">
      <c r="A597" s="43"/>
      <c r="B597" s="156">
        <v>595</v>
      </c>
      <c r="C597" s="43">
        <v>242489</v>
      </c>
      <c r="D597" s="43">
        <v>44551012</v>
      </c>
      <c r="E597" s="648" t="s">
        <v>4767</v>
      </c>
      <c r="F597" s="42">
        <v>46</v>
      </c>
      <c r="G597" s="43" t="s">
        <v>4768</v>
      </c>
      <c r="H597" s="43" t="s">
        <v>278</v>
      </c>
      <c r="I597" s="43">
        <v>938284169</v>
      </c>
      <c r="J597" s="43" t="s">
        <v>283</v>
      </c>
      <c r="K597" s="298">
        <v>46112</v>
      </c>
      <c r="L597" s="897" t="s">
        <v>376</v>
      </c>
      <c r="M597" s="897" t="s">
        <v>230</v>
      </c>
      <c r="N597" s="706" t="s">
        <v>317</v>
      </c>
      <c r="O597" s="899">
        <v>46118</v>
      </c>
      <c r="P597" s="897"/>
      <c r="Q597" s="43"/>
      <c r="R597" s="91"/>
      <c r="S597" s="91"/>
      <c r="T597" s="91"/>
      <c r="U597" s="91"/>
      <c r="V597" s="91"/>
      <c r="W597" s="91"/>
      <c r="X597" s="91"/>
      <c r="Y597" s="91"/>
      <c r="Z597" s="91"/>
      <c r="AA597" s="91"/>
      <c r="AB597" s="91"/>
      <c r="AC597" s="91"/>
      <c r="AD597" s="91"/>
      <c r="AE597" s="91"/>
      <c r="AF597" s="91"/>
      <c r="AG597" s="91"/>
      <c r="AH597" s="91"/>
      <c r="AI597" s="91"/>
    </row>
    <row r="598" spans="1:35">
      <c r="A598" s="43"/>
      <c r="B598" s="156">
        <v>596</v>
      </c>
      <c r="C598" s="43">
        <v>524494</v>
      </c>
      <c r="D598" s="702">
        <v>15855659</v>
      </c>
      <c r="E598" s="728" t="s">
        <v>4769</v>
      </c>
      <c r="F598" s="702">
        <v>59</v>
      </c>
      <c r="G598" s="702" t="s">
        <v>4770</v>
      </c>
      <c r="H598" s="702" t="s">
        <v>2724</v>
      </c>
      <c r="I598" s="727">
        <v>965711581</v>
      </c>
      <c r="J598" s="702" t="s">
        <v>175</v>
      </c>
      <c r="K598" s="298">
        <v>46112</v>
      </c>
      <c r="L598" s="902" t="s">
        <v>4771</v>
      </c>
      <c r="M598" s="897" t="s">
        <v>312</v>
      </c>
      <c r="N598" s="706" t="s">
        <v>241</v>
      </c>
      <c r="O598" s="899">
        <v>46118</v>
      </c>
      <c r="P598" s="902"/>
      <c r="Q598" s="877" t="s">
        <v>358</v>
      </c>
    </row>
    <row r="599" spans="1:35">
      <c r="A599" s="43"/>
      <c r="B599" s="156">
        <v>597</v>
      </c>
      <c r="C599" s="43">
        <v>524497</v>
      </c>
      <c r="D599" s="702">
        <v>15299005</v>
      </c>
      <c r="E599" s="728" t="s">
        <v>4772</v>
      </c>
      <c r="F599" s="702">
        <v>50</v>
      </c>
      <c r="G599" s="702" t="s">
        <v>4773</v>
      </c>
      <c r="H599" s="702" t="s">
        <v>4308</v>
      </c>
      <c r="I599" s="727">
        <v>989334153</v>
      </c>
      <c r="J599" s="702" t="s">
        <v>175</v>
      </c>
      <c r="K599" s="298">
        <v>46112</v>
      </c>
      <c r="L599" s="897" t="s">
        <v>376</v>
      </c>
      <c r="M599" s="897" t="s">
        <v>230</v>
      </c>
      <c r="N599" s="706" t="s">
        <v>317</v>
      </c>
      <c r="O599" s="898">
        <v>46118</v>
      </c>
      <c r="P599" s="897" t="s">
        <v>285</v>
      </c>
      <c r="Q599" s="875" t="s">
        <v>358</v>
      </c>
    </row>
    <row r="600" spans="1:35">
      <c r="A600" s="43"/>
      <c r="B600" s="156">
        <v>598</v>
      </c>
      <c r="C600" s="43">
        <v>60564</v>
      </c>
      <c r="D600" s="43">
        <v>15641345</v>
      </c>
      <c r="E600" s="648" t="s">
        <v>4774</v>
      </c>
      <c r="F600" s="42">
        <v>50</v>
      </c>
      <c r="G600" s="43" t="s">
        <v>4775</v>
      </c>
      <c r="H600" s="43" t="s">
        <v>432</v>
      </c>
      <c r="I600" s="43">
        <v>906132288</v>
      </c>
      <c r="J600" s="43" t="s">
        <v>1209</v>
      </c>
      <c r="K600" s="298">
        <v>46112</v>
      </c>
      <c r="L600" s="897" t="s">
        <v>388</v>
      </c>
      <c r="M600" s="897" t="s">
        <v>230</v>
      </c>
      <c r="N600" s="706" t="s">
        <v>241</v>
      </c>
      <c r="O600" s="898">
        <v>46118</v>
      </c>
      <c r="P600" s="897" t="s">
        <v>4776</v>
      </c>
      <c r="Q600" s="43"/>
      <c r="R600" s="91"/>
      <c r="S600" s="91"/>
      <c r="T600" s="91"/>
      <c r="U600" s="91"/>
      <c r="V600" s="91"/>
      <c r="W600" s="91"/>
      <c r="X600" s="91"/>
      <c r="Y600" s="91"/>
      <c r="Z600" s="91"/>
      <c r="AA600" s="91"/>
      <c r="AB600" s="91"/>
      <c r="AC600" s="91"/>
      <c r="AD600" s="91"/>
      <c r="AE600" s="91"/>
      <c r="AF600" s="91"/>
      <c r="AG600" s="91"/>
      <c r="AH600" s="91"/>
      <c r="AI600" s="91"/>
    </row>
    <row r="601" spans="1:35">
      <c r="A601" s="43"/>
      <c r="B601" s="156">
        <v>599</v>
      </c>
      <c r="C601" s="43">
        <v>120163</v>
      </c>
      <c r="D601" s="43">
        <v>43350578</v>
      </c>
      <c r="E601" s="648" t="s">
        <v>4777</v>
      </c>
      <c r="F601" s="42">
        <v>40</v>
      </c>
      <c r="G601" s="43" t="s">
        <v>4778</v>
      </c>
      <c r="H601" s="112" t="s">
        <v>222</v>
      </c>
      <c r="I601" s="750">
        <v>944009278</v>
      </c>
      <c r="J601" s="112" t="s">
        <v>588</v>
      </c>
      <c r="K601" s="746">
        <v>46112</v>
      </c>
      <c r="L601" s="897" t="s">
        <v>388</v>
      </c>
      <c r="M601" s="897" t="s">
        <v>230</v>
      </c>
      <c r="N601" s="706" t="s">
        <v>241</v>
      </c>
      <c r="O601" s="898">
        <v>46118</v>
      </c>
      <c r="P601" s="897" t="s">
        <v>4776</v>
      </c>
      <c r="Q601" s="897"/>
      <c r="R601" s="897"/>
      <c r="S601" s="91"/>
      <c r="T601" s="91"/>
      <c r="U601" s="91"/>
      <c r="V601" s="91"/>
      <c r="W601" s="91"/>
      <c r="X601" s="91"/>
      <c r="Y601" s="91"/>
      <c r="Z601" s="91"/>
      <c r="AA601" s="91"/>
      <c r="AB601" s="91"/>
      <c r="AC601" s="91"/>
      <c r="AD601" s="91"/>
      <c r="AE601" s="91"/>
      <c r="AF601" s="91"/>
      <c r="AG601" s="91"/>
      <c r="AH601" s="91"/>
      <c r="AI601" s="91"/>
    </row>
    <row r="602" spans="1:35">
      <c r="A602" s="43"/>
      <c r="B602" s="156">
        <v>600</v>
      </c>
      <c r="C602" s="43">
        <v>94857</v>
      </c>
      <c r="D602" s="43">
        <v>15639665</v>
      </c>
      <c r="E602" s="648" t="s">
        <v>4779</v>
      </c>
      <c r="F602" s="42">
        <v>62</v>
      </c>
      <c r="G602" s="224" t="s">
        <v>4780</v>
      </c>
      <c r="H602" s="43" t="s">
        <v>432</v>
      </c>
      <c r="I602" s="43">
        <v>935922425</v>
      </c>
      <c r="J602" s="266" t="s">
        <v>1209</v>
      </c>
      <c r="K602" s="298">
        <v>46112</v>
      </c>
      <c r="L602" s="922"/>
      <c r="M602" s="923"/>
      <c r="N602" s="924"/>
      <c r="O602" s="925"/>
      <c r="P602" s="904"/>
      <c r="Q602" s="43"/>
      <c r="R602" s="91"/>
      <c r="S602" s="91"/>
      <c r="T602" s="91"/>
      <c r="U602" s="91"/>
      <c r="V602" s="91"/>
      <c r="W602" s="91"/>
      <c r="X602" s="91"/>
      <c r="Y602" s="91"/>
      <c r="Z602" s="91"/>
      <c r="AA602" s="91"/>
      <c r="AB602" s="91"/>
      <c r="AC602" s="91"/>
      <c r="AD602" s="91"/>
      <c r="AE602" s="91"/>
      <c r="AF602" s="91"/>
      <c r="AG602" s="91"/>
      <c r="AH602" s="91"/>
      <c r="AI602" s="91"/>
    </row>
    <row r="603" spans="1:35">
      <c r="A603" s="43"/>
      <c r="B603" s="156">
        <v>601</v>
      </c>
      <c r="C603" s="43">
        <v>524500</v>
      </c>
      <c r="D603" s="702">
        <v>15637828</v>
      </c>
      <c r="E603" s="728" t="s">
        <v>4781</v>
      </c>
      <c r="F603" s="702">
        <v>61</v>
      </c>
      <c r="G603" s="749" t="s">
        <v>4782</v>
      </c>
      <c r="H603" s="702" t="s">
        <v>2724</v>
      </c>
      <c r="I603" s="727">
        <v>945629926</v>
      </c>
      <c r="J603" s="702" t="s">
        <v>175</v>
      </c>
      <c r="K603" s="298">
        <v>46112</v>
      </c>
      <c r="L603" s="904" t="s">
        <v>376</v>
      </c>
      <c r="M603" s="897" t="s">
        <v>230</v>
      </c>
      <c r="N603" s="706" t="s">
        <v>317</v>
      </c>
      <c r="O603" s="899">
        <v>46118</v>
      </c>
      <c r="P603" s="904"/>
      <c r="Q603" s="877" t="s">
        <v>358</v>
      </c>
    </row>
    <row r="604" spans="1:35">
      <c r="B604" s="156"/>
      <c r="I604" s="747"/>
      <c r="J604" s="748"/>
      <c r="K604" s="747"/>
    </row>
    <row r="605" spans="1:35">
      <c r="I605" s="747"/>
      <c r="J605" s="748"/>
      <c r="K605" s="747"/>
    </row>
    <row r="606" spans="1:35">
      <c r="I606" s="747"/>
      <c r="J606" s="748"/>
      <c r="K606" s="747"/>
    </row>
    <row r="607" spans="1:35">
      <c r="I607" s="747"/>
      <c r="J607" s="748"/>
      <c r="K607" s="747"/>
    </row>
    <row r="608" spans="1:35">
      <c r="I608" s="747"/>
      <c r="J608" s="748"/>
      <c r="K608" s="747"/>
    </row>
    <row r="609" spans="9:11">
      <c r="I609" s="747"/>
      <c r="J609" s="747"/>
      <c r="K609" s="747"/>
    </row>
    <row r="610" spans="9:11">
      <c r="I610" s="747"/>
      <c r="J610" s="747"/>
      <c r="K610" s="747"/>
    </row>
    <row r="611" spans="9:11">
      <c r="I611" s="747"/>
      <c r="J611" s="747"/>
      <c r="K611" s="747"/>
    </row>
    <row r="612" spans="9:11">
      <c r="I612" s="747"/>
      <c r="J612" s="747"/>
      <c r="K612" s="747"/>
    </row>
  </sheetData>
  <autoFilter ref="A1:AI603" xr:uid="{D2264A8D-3907-425E-B52A-32016A1500E4}">
    <filterColumn colId="29" showButton="0"/>
    <filterColumn colId="30" showButton="0"/>
  </autoFilter>
  <mergeCells count="30">
    <mergeCell ref="AI1:AI2"/>
    <mergeCell ref="X1:X2"/>
    <mergeCell ref="Y1:Y2"/>
    <mergeCell ref="Z1:Z2"/>
    <mergeCell ref="AD1:AF1"/>
    <mergeCell ref="AG1:AG2"/>
    <mergeCell ref="AH1:AH2"/>
    <mergeCell ref="W1:W2"/>
    <mergeCell ref="J1:J2"/>
    <mergeCell ref="K1:K2"/>
    <mergeCell ref="L1:L2"/>
    <mergeCell ref="M1:M2"/>
    <mergeCell ref="N1:N2"/>
    <mergeCell ref="O1:O2"/>
    <mergeCell ref="R1:R2"/>
    <mergeCell ref="S1:S2"/>
    <mergeCell ref="T1:T2"/>
    <mergeCell ref="U1:U2"/>
    <mergeCell ref="V1:V2"/>
    <mergeCell ref="P1:P2"/>
    <mergeCell ref="Q1:Q2"/>
    <mergeCell ref="F1:F2"/>
    <mergeCell ref="G1:G2"/>
    <mergeCell ref="H1:H2"/>
    <mergeCell ref="I1:I2"/>
    <mergeCell ref="A1:A2"/>
    <mergeCell ref="B1:B2"/>
    <mergeCell ref="C1:C2"/>
    <mergeCell ref="D1:D2"/>
    <mergeCell ref="E1:E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CF21-C0DE-4730-AE45-12861E1E756D}">
  <sheetPr>
    <outlinePr summaryBelow="0" summaryRight="0"/>
  </sheetPr>
  <dimension ref="A1:AJ387"/>
  <sheetViews>
    <sheetView workbookViewId="0">
      <pane xSplit="2" topLeftCell="C4" activePane="topRight" state="frozen"/>
      <selection pane="topRight" activeCell="Q26" sqref="Q26"/>
    </sheetView>
  </sheetViews>
  <sheetFormatPr defaultColWidth="14.42578125" defaultRowHeight="15" customHeight="1"/>
  <cols>
    <col min="1" max="1" width="11.140625" style="5" customWidth="1"/>
    <col min="2" max="2" width="4.140625" style="14" customWidth="1"/>
    <col min="3" max="3" width="9.140625" style="5" customWidth="1"/>
    <col min="4" max="4" width="8.28515625" style="5" customWidth="1"/>
    <col min="5" max="5" width="32" style="5" customWidth="1"/>
    <col min="6" max="6" width="7.42578125" style="5" customWidth="1"/>
    <col min="7" max="7" width="12.5703125" style="5" customWidth="1"/>
    <col min="8" max="8" width="13.42578125" style="5" customWidth="1"/>
    <col min="9" max="9" width="11.5703125" style="5" customWidth="1"/>
    <col min="10" max="10" width="24.42578125" style="5" customWidth="1"/>
    <col min="11" max="11" width="10.42578125" style="5" customWidth="1"/>
    <col min="12" max="12" width="12" style="5" customWidth="1"/>
    <col min="13" max="13" width="11.5703125" style="5" customWidth="1"/>
    <col min="14" max="14" width="18.85546875" style="5" customWidth="1"/>
    <col min="15" max="15" width="14.5703125" style="5" customWidth="1"/>
    <col min="16" max="16" width="5.5703125" style="5" customWidth="1"/>
    <col min="17" max="17" width="25.140625" style="5" customWidth="1"/>
    <col min="18" max="18" width="13" style="5" customWidth="1"/>
    <col min="19" max="19" width="22.140625" style="5" customWidth="1"/>
    <col min="20" max="20" width="25.140625" style="5" customWidth="1"/>
    <col min="21" max="21" width="8.85546875" style="5" customWidth="1"/>
    <col min="22" max="22" width="12" style="5" customWidth="1"/>
    <col min="23" max="23" width="13.85546875" style="5" customWidth="1"/>
    <col min="24" max="16384" width="14.42578125" style="5"/>
  </cols>
  <sheetData>
    <row r="1" spans="1:36" customFormat="1" ht="30.75" customHeight="1">
      <c r="A1" s="1465" t="s">
        <v>186</v>
      </c>
      <c r="B1" s="1467" t="s">
        <v>187</v>
      </c>
      <c r="C1" s="1469" t="s">
        <v>188</v>
      </c>
      <c r="D1" s="1468" t="s">
        <v>189</v>
      </c>
      <c r="E1" s="1463" t="s">
        <v>190</v>
      </c>
      <c r="F1" s="1463" t="s">
        <v>191</v>
      </c>
      <c r="G1" s="1463" t="s">
        <v>192</v>
      </c>
      <c r="H1" s="1463" t="s">
        <v>193</v>
      </c>
      <c r="I1" s="1463" t="s">
        <v>3099</v>
      </c>
      <c r="J1" s="1479" t="s">
        <v>195</v>
      </c>
      <c r="K1" s="1481" t="s">
        <v>196</v>
      </c>
      <c r="L1" s="1463" t="s">
        <v>197</v>
      </c>
      <c r="M1" s="1463" t="s">
        <v>198</v>
      </c>
      <c r="N1" s="1463" t="s">
        <v>199</v>
      </c>
      <c r="O1" s="1460" t="s">
        <v>200</v>
      </c>
      <c r="P1" s="1458" t="s">
        <v>4783</v>
      </c>
      <c r="Q1" s="1458" t="s">
        <v>201</v>
      </c>
      <c r="R1" s="1458" t="s">
        <v>202</v>
      </c>
      <c r="S1" s="1460" t="s">
        <v>203</v>
      </c>
      <c r="T1" s="1460" t="s">
        <v>204</v>
      </c>
      <c r="U1" s="1458" t="s">
        <v>205</v>
      </c>
      <c r="V1" s="1458" t="s">
        <v>206</v>
      </c>
      <c r="W1" s="1458" t="s">
        <v>207</v>
      </c>
      <c r="X1" s="1458" t="s">
        <v>208</v>
      </c>
      <c r="Y1" s="1458" t="s">
        <v>205</v>
      </c>
      <c r="Z1" s="1458" t="s">
        <v>206</v>
      </c>
      <c r="AA1" s="1460" t="s">
        <v>200</v>
      </c>
      <c r="AB1" s="1402" t="s">
        <v>3100</v>
      </c>
      <c r="AC1" s="1402" t="s">
        <v>209</v>
      </c>
      <c r="AD1" s="470" t="s">
        <v>210</v>
      </c>
      <c r="AE1" s="1461" t="s">
        <v>211</v>
      </c>
      <c r="AF1" s="1461"/>
      <c r="AG1" s="1461"/>
      <c r="AH1" s="1462" t="s">
        <v>212</v>
      </c>
      <c r="AI1" s="1462" t="s">
        <v>213</v>
      </c>
      <c r="AJ1" s="1462" t="s">
        <v>214</v>
      </c>
    </row>
    <row r="2" spans="1:36" customFormat="1">
      <c r="A2" s="1465"/>
      <c r="B2" s="1469"/>
      <c r="C2" s="1472"/>
      <c r="D2" s="1478"/>
      <c r="E2" s="1471"/>
      <c r="F2" s="1471"/>
      <c r="G2" s="1471"/>
      <c r="H2" s="1471"/>
      <c r="I2" s="1471"/>
      <c r="J2" s="1480"/>
      <c r="K2" s="1482"/>
      <c r="L2" s="1471"/>
      <c r="M2" s="1471"/>
      <c r="N2" s="1471"/>
      <c r="O2" s="1458"/>
      <c r="P2" s="1459"/>
      <c r="Q2" s="1473"/>
      <c r="R2" s="1473"/>
      <c r="S2" s="1458"/>
      <c r="T2" s="1458"/>
      <c r="U2" s="1473"/>
      <c r="V2" s="1473"/>
      <c r="W2" s="1473"/>
      <c r="X2" s="1473"/>
      <c r="Y2" s="1473"/>
      <c r="Z2" s="1473"/>
      <c r="AA2" s="1458"/>
      <c r="AB2" s="1401"/>
      <c r="AC2" s="1401"/>
      <c r="AD2" s="1401" t="s">
        <v>215</v>
      </c>
      <c r="AE2" s="210" t="s">
        <v>216</v>
      </c>
      <c r="AF2" s="210" t="s">
        <v>217</v>
      </c>
      <c r="AG2" s="1401" t="s">
        <v>218</v>
      </c>
      <c r="AH2" s="1475"/>
      <c r="AI2" s="1475"/>
      <c r="AJ2" s="1475"/>
    </row>
    <row r="3" spans="1:36" ht="15" customHeight="1">
      <c r="A3" s="261">
        <v>46113</v>
      </c>
      <c r="B3" s="320">
        <v>1</v>
      </c>
      <c r="C3" s="43">
        <v>517681</v>
      </c>
      <c r="D3" s="43">
        <v>40568943</v>
      </c>
      <c r="E3" s="648" t="s">
        <v>4784</v>
      </c>
      <c r="F3" s="43">
        <v>45</v>
      </c>
      <c r="G3" s="43" t="s">
        <v>4785</v>
      </c>
      <c r="H3" s="43" t="s">
        <v>461</v>
      </c>
      <c r="I3" s="43">
        <v>941258592</v>
      </c>
      <c r="J3" s="43" t="s">
        <v>164</v>
      </c>
      <c r="K3" s="44">
        <v>46113</v>
      </c>
      <c r="L3" s="953" t="s">
        <v>4786</v>
      </c>
      <c r="M3" s="44" t="s">
        <v>323</v>
      </c>
      <c r="N3" s="43" t="s">
        <v>241</v>
      </c>
      <c r="O3" s="954">
        <v>46118</v>
      </c>
      <c r="P3" s="244"/>
      <c r="Q3" s="242" t="s">
        <v>4787</v>
      </c>
      <c r="R3" s="12"/>
      <c r="S3" s="12"/>
      <c r="T3" s="12"/>
      <c r="U3" s="12"/>
      <c r="V3" s="12"/>
      <c r="W3" s="12"/>
      <c r="X3" s="12"/>
      <c r="Y3" s="12"/>
      <c r="Z3" s="12"/>
      <c r="AA3" s="12"/>
    </row>
    <row r="4" spans="1:36" ht="15" customHeight="1">
      <c r="A4" s="206"/>
      <c r="B4" s="320">
        <v>2</v>
      </c>
      <c r="C4" s="43">
        <v>250283</v>
      </c>
      <c r="D4" s="43">
        <v>43493674</v>
      </c>
      <c r="E4" s="648" t="s">
        <v>4788</v>
      </c>
      <c r="F4" s="43">
        <v>44</v>
      </c>
      <c r="G4" s="43" t="s">
        <v>4789</v>
      </c>
      <c r="H4" s="43" t="s">
        <v>246</v>
      </c>
      <c r="I4" s="43">
        <v>980672618</v>
      </c>
      <c r="J4" s="43" t="s">
        <v>247</v>
      </c>
      <c r="K4" s="44">
        <v>46113</v>
      </c>
      <c r="L4" s="955" t="s">
        <v>4073</v>
      </c>
      <c r="M4" s="266" t="s">
        <v>230</v>
      </c>
      <c r="N4" s="266" t="s">
        <v>241</v>
      </c>
      <c r="O4" s="954">
        <v>46118</v>
      </c>
      <c r="P4" s="244"/>
      <c r="Q4" s="242" t="s">
        <v>4790</v>
      </c>
      <c r="R4" s="12"/>
      <c r="S4" s="12"/>
      <c r="T4" s="12"/>
      <c r="U4" s="12"/>
      <c r="V4" s="12"/>
      <c r="W4" s="12"/>
      <c r="X4" s="12"/>
      <c r="Y4" s="12"/>
      <c r="Z4" s="12"/>
      <c r="AA4" s="12"/>
    </row>
    <row r="5" spans="1:36" ht="15" customHeight="1">
      <c r="A5" s="206"/>
      <c r="B5" s="320">
        <v>3</v>
      </c>
      <c r="C5" s="43">
        <v>439128</v>
      </c>
      <c r="D5" s="43">
        <v>44566593</v>
      </c>
      <c r="E5" s="648" t="s">
        <v>4791</v>
      </c>
      <c r="F5" s="43">
        <v>43</v>
      </c>
      <c r="G5" s="43" t="s">
        <v>4792</v>
      </c>
      <c r="H5" s="43" t="s">
        <v>278</v>
      </c>
      <c r="I5" s="43">
        <v>925379688</v>
      </c>
      <c r="J5" s="43" t="s">
        <v>1012</v>
      </c>
      <c r="K5" s="44">
        <v>46113</v>
      </c>
      <c r="L5" s="955" t="s">
        <v>458</v>
      </c>
      <c r="M5" s="266" t="s">
        <v>230</v>
      </c>
      <c r="N5" s="266" t="s">
        <v>241</v>
      </c>
      <c r="O5" s="956">
        <v>46127</v>
      </c>
      <c r="P5" s="266"/>
      <c r="Q5" s="266" t="s">
        <v>4793</v>
      </c>
      <c r="R5" s="12"/>
      <c r="S5" s="12"/>
      <c r="T5" s="12"/>
      <c r="U5" s="12"/>
      <c r="V5" s="12"/>
      <c r="W5" s="12"/>
      <c r="X5" s="12"/>
      <c r="Y5" s="12"/>
      <c r="Z5" s="12"/>
      <c r="AA5" s="12"/>
    </row>
    <row r="6" spans="1:36" ht="15" customHeight="1">
      <c r="A6" s="206"/>
      <c r="B6" s="320">
        <v>4</v>
      </c>
      <c r="C6" s="43">
        <v>665229</v>
      </c>
      <c r="D6" s="43">
        <v>44947679</v>
      </c>
      <c r="E6" s="648" t="s">
        <v>4794</v>
      </c>
      <c r="F6" s="43">
        <v>43</v>
      </c>
      <c r="G6" s="43" t="s">
        <v>4795</v>
      </c>
      <c r="H6" s="43" t="s">
        <v>432</v>
      </c>
      <c r="I6" s="43">
        <v>945040643</v>
      </c>
      <c r="J6" s="43" t="s">
        <v>238</v>
      </c>
      <c r="K6" s="44">
        <v>46113</v>
      </c>
      <c r="L6" s="955" t="s">
        <v>458</v>
      </c>
      <c r="M6" s="266" t="s">
        <v>260</v>
      </c>
      <c r="N6" s="266" t="s">
        <v>241</v>
      </c>
      <c r="O6" s="954">
        <v>46118</v>
      </c>
      <c r="P6" s="244"/>
      <c r="Q6" s="242"/>
      <c r="R6" s="1151" t="s">
        <v>4796</v>
      </c>
      <c r="S6" s="12"/>
      <c r="T6" s="12"/>
      <c r="U6" s="12"/>
      <c r="V6" s="12"/>
      <c r="W6" s="12"/>
      <c r="X6" s="12"/>
      <c r="Y6" s="12"/>
      <c r="Z6" s="12"/>
      <c r="AA6" s="12"/>
    </row>
    <row r="7" spans="1:36" ht="15" customHeight="1">
      <c r="A7" s="206"/>
      <c r="B7" s="320">
        <v>5</v>
      </c>
      <c r="C7" s="43">
        <v>120086</v>
      </c>
      <c r="D7" s="43">
        <v>44851028</v>
      </c>
      <c r="E7" s="648" t="s">
        <v>4797</v>
      </c>
      <c r="F7" s="43">
        <v>43</v>
      </c>
      <c r="G7" s="43"/>
      <c r="H7" s="43"/>
      <c r="I7" s="43">
        <v>931975633</v>
      </c>
      <c r="J7" s="43" t="s">
        <v>238</v>
      </c>
      <c r="K7" s="44">
        <v>46113</v>
      </c>
      <c r="L7" s="955" t="s">
        <v>679</v>
      </c>
      <c r="M7" s="266" t="s">
        <v>230</v>
      </c>
      <c r="N7" s="266" t="s">
        <v>241</v>
      </c>
      <c r="O7" s="954">
        <v>46118</v>
      </c>
      <c r="P7" s="244"/>
      <c r="Q7" s="242"/>
      <c r="R7" s="12"/>
      <c r="S7" s="12"/>
      <c r="T7" s="12"/>
      <c r="U7" s="12"/>
      <c r="V7" s="12"/>
      <c r="W7" s="12"/>
      <c r="X7" s="12"/>
      <c r="Y7" s="12"/>
      <c r="Z7" s="12"/>
      <c r="AA7" s="12"/>
    </row>
    <row r="8" spans="1:36" ht="15" customHeight="1">
      <c r="A8" s="261">
        <v>46116</v>
      </c>
      <c r="B8" s="320">
        <v>6</v>
      </c>
      <c r="C8" s="266">
        <v>9497</v>
      </c>
      <c r="D8" s="957">
        <v>15730914</v>
      </c>
      <c r="E8" s="958" t="s">
        <v>4798</v>
      </c>
      <c r="F8" s="957">
        <v>60</v>
      </c>
      <c r="G8" s="266" t="s">
        <v>4799</v>
      </c>
      <c r="H8" s="266" t="s">
        <v>301</v>
      </c>
      <c r="I8" s="957">
        <v>965321661</v>
      </c>
      <c r="J8" s="266" t="s">
        <v>302</v>
      </c>
      <c r="K8" s="298">
        <v>46116</v>
      </c>
      <c r="L8" s="266" t="s">
        <v>4800</v>
      </c>
      <c r="M8" s="266" t="s">
        <v>323</v>
      </c>
      <c r="N8" s="266" t="s">
        <v>241</v>
      </c>
      <c r="O8" s="956">
        <v>46118</v>
      </c>
      <c r="P8" s="266"/>
      <c r="Q8" s="266" t="s">
        <v>4801</v>
      </c>
      <c r="R8" s="12"/>
      <c r="S8" s="12"/>
      <c r="T8" s="12"/>
      <c r="U8" s="12"/>
      <c r="V8" s="12"/>
      <c r="W8" s="12"/>
      <c r="X8" s="12"/>
      <c r="Y8" s="12"/>
      <c r="Z8" s="12"/>
      <c r="AA8" s="12"/>
    </row>
    <row r="9" spans="1:36" ht="15" customHeight="1">
      <c r="A9" s="266"/>
      <c r="B9" s="320">
        <v>7</v>
      </c>
      <c r="C9" s="266">
        <v>350954</v>
      </c>
      <c r="D9" s="957">
        <v>15589260</v>
      </c>
      <c r="E9" s="958" t="s">
        <v>4802</v>
      </c>
      <c r="F9" s="957">
        <v>65</v>
      </c>
      <c r="G9" s="266" t="s">
        <v>4803</v>
      </c>
      <c r="H9" s="266" t="s">
        <v>301</v>
      </c>
      <c r="I9" s="957">
        <v>994266434</v>
      </c>
      <c r="J9" s="266" t="s">
        <v>302</v>
      </c>
      <c r="K9" s="298">
        <v>46116</v>
      </c>
      <c r="L9" s="266" t="s">
        <v>4804</v>
      </c>
      <c r="M9" s="266" t="s">
        <v>312</v>
      </c>
      <c r="N9" s="266" t="s">
        <v>241</v>
      </c>
      <c r="O9" s="956">
        <v>46118</v>
      </c>
      <c r="P9" s="266"/>
      <c r="Q9" s="266" t="s">
        <v>4801</v>
      </c>
      <c r="R9" s="12"/>
      <c r="S9" s="12"/>
      <c r="T9" s="12"/>
      <c r="U9" s="12"/>
      <c r="V9" s="12"/>
      <c r="W9" s="12"/>
      <c r="X9" s="12"/>
      <c r="Y9" s="12"/>
      <c r="Z9" s="12"/>
      <c r="AA9" s="12"/>
    </row>
    <row r="10" spans="1:36" ht="15" customHeight="1">
      <c r="A10" s="266"/>
      <c r="B10" s="320">
        <v>8</v>
      </c>
      <c r="C10" s="266">
        <v>78449</v>
      </c>
      <c r="D10" s="665">
        <v>15977536</v>
      </c>
      <c r="E10" s="663" t="s">
        <v>4805</v>
      </c>
      <c r="F10" s="266">
        <v>64</v>
      </c>
      <c r="G10" s="665" t="s">
        <v>4806</v>
      </c>
      <c r="H10" s="665" t="s">
        <v>1885</v>
      </c>
      <c r="I10" s="665">
        <v>916467192</v>
      </c>
      <c r="J10" s="266" t="s">
        <v>164</v>
      </c>
      <c r="K10" s="298">
        <v>46116</v>
      </c>
      <c r="L10" s="266" t="s">
        <v>4807</v>
      </c>
      <c r="M10" s="266" t="s">
        <v>323</v>
      </c>
      <c r="N10" s="266" t="s">
        <v>241</v>
      </c>
      <c r="O10" s="954">
        <v>46118</v>
      </c>
      <c r="P10" s="266"/>
      <c r="Q10" s="242" t="s">
        <v>4787</v>
      </c>
      <c r="R10" s="12"/>
      <c r="S10" s="12"/>
      <c r="T10" s="12"/>
      <c r="U10" s="12"/>
      <c r="V10" s="12"/>
      <c r="W10" s="12"/>
      <c r="X10" s="12"/>
      <c r="Y10" s="12"/>
      <c r="Z10" s="12"/>
      <c r="AA10" s="12"/>
    </row>
    <row r="11" spans="1:36" ht="15" customHeight="1">
      <c r="A11" s="266"/>
      <c r="B11" s="320">
        <v>9</v>
      </c>
      <c r="C11" s="266">
        <v>300647</v>
      </c>
      <c r="D11" s="266">
        <v>47132908</v>
      </c>
      <c r="E11" s="669" t="s">
        <v>4808</v>
      </c>
      <c r="F11" s="266">
        <v>40</v>
      </c>
      <c r="G11" s="266" t="s">
        <v>4809</v>
      </c>
      <c r="H11" s="266" t="s">
        <v>246</v>
      </c>
      <c r="I11" s="266">
        <v>951221505</v>
      </c>
      <c r="J11" s="266" t="s">
        <v>1905</v>
      </c>
      <c r="K11" s="298">
        <v>46116</v>
      </c>
      <c r="L11" s="266" t="s">
        <v>458</v>
      </c>
      <c r="M11" s="266" t="s">
        <v>260</v>
      </c>
      <c r="N11" s="266" t="s">
        <v>241</v>
      </c>
      <c r="O11" s="956">
        <v>46118</v>
      </c>
      <c r="P11" s="266"/>
      <c r="Q11" s="266" t="s">
        <v>4810</v>
      </c>
      <c r="R11" s="12"/>
      <c r="S11" s="12"/>
      <c r="T11" s="12"/>
      <c r="U11" s="12"/>
      <c r="V11" s="12"/>
      <c r="W11" s="12"/>
      <c r="X11" s="12"/>
      <c r="Y11" s="12"/>
      <c r="Z11" s="12"/>
      <c r="AA11" s="12"/>
    </row>
    <row r="12" spans="1:36" ht="15" customHeight="1">
      <c r="A12" s="266"/>
      <c r="B12" s="320">
        <v>10</v>
      </c>
      <c r="C12" s="266">
        <v>201295</v>
      </c>
      <c r="D12" s="266">
        <v>22759557</v>
      </c>
      <c r="E12" s="669" t="s">
        <v>4811</v>
      </c>
      <c r="F12" s="266">
        <v>51</v>
      </c>
      <c r="G12" s="266" t="s">
        <v>4812</v>
      </c>
      <c r="H12" s="266" t="s">
        <v>830</v>
      </c>
      <c r="I12" s="266">
        <v>990528090</v>
      </c>
      <c r="J12" s="266" t="s">
        <v>832</v>
      </c>
      <c r="K12" s="298">
        <v>46116</v>
      </c>
      <c r="L12" s="266" t="s">
        <v>4813</v>
      </c>
      <c r="M12" s="266" t="s">
        <v>260</v>
      </c>
      <c r="N12" s="266" t="s">
        <v>241</v>
      </c>
      <c r="O12" s="956">
        <v>46118</v>
      </c>
      <c r="P12" s="266"/>
      <c r="Q12" s="266" t="s">
        <v>4814</v>
      </c>
      <c r="R12" s="12"/>
      <c r="S12" s="12"/>
      <c r="T12" s="12"/>
      <c r="U12" s="12"/>
      <c r="V12" s="12"/>
      <c r="W12" s="12"/>
      <c r="X12" s="12"/>
      <c r="Y12" s="12"/>
      <c r="Z12" s="12"/>
      <c r="AA12" s="12"/>
    </row>
    <row r="13" spans="1:36" ht="15" customHeight="1">
      <c r="A13" s="266"/>
      <c r="B13" s="320">
        <v>11</v>
      </c>
      <c r="C13" s="266">
        <v>76486</v>
      </c>
      <c r="D13" s="266">
        <v>15758685</v>
      </c>
      <c r="E13" s="669" t="s">
        <v>4815</v>
      </c>
      <c r="F13" s="266">
        <v>51</v>
      </c>
      <c r="G13" s="266" t="s">
        <v>4816</v>
      </c>
      <c r="H13" s="266" t="s">
        <v>432</v>
      </c>
      <c r="I13" s="266">
        <v>940866748</v>
      </c>
      <c r="J13" s="266" t="s">
        <v>1209</v>
      </c>
      <c r="K13" s="298">
        <v>46116</v>
      </c>
      <c r="L13" s="266" t="s">
        <v>4817</v>
      </c>
      <c r="M13" s="266" t="s">
        <v>260</v>
      </c>
      <c r="N13" s="266" t="s">
        <v>241</v>
      </c>
      <c r="O13" s="956">
        <v>46118</v>
      </c>
      <c r="P13" s="266"/>
      <c r="Q13" s="266" t="s">
        <v>4818</v>
      </c>
      <c r="R13" s="12"/>
      <c r="S13" s="12"/>
      <c r="T13" s="12"/>
      <c r="U13" s="12"/>
      <c r="V13" s="12"/>
      <c r="W13" s="12"/>
      <c r="X13" s="12"/>
      <c r="Y13" s="12"/>
      <c r="Z13" s="12"/>
      <c r="AA13" s="12"/>
    </row>
    <row r="14" spans="1:36" ht="15" customHeight="1">
      <c r="A14" s="266"/>
      <c r="B14" s="320">
        <v>12</v>
      </c>
      <c r="C14" s="266">
        <v>369609</v>
      </c>
      <c r="D14" s="959">
        <v>43036049</v>
      </c>
      <c r="E14" s="669" t="s">
        <v>4819</v>
      </c>
      <c r="F14" s="266">
        <v>40</v>
      </c>
      <c r="G14" s="266" t="s">
        <v>4820</v>
      </c>
      <c r="H14" s="266" t="s">
        <v>278</v>
      </c>
      <c r="I14" s="266">
        <v>931802839</v>
      </c>
      <c r="J14" s="43" t="s">
        <v>238</v>
      </c>
      <c r="K14" s="298">
        <v>46116</v>
      </c>
      <c r="L14" s="266" t="s">
        <v>4821</v>
      </c>
      <c r="M14" s="266" t="s">
        <v>323</v>
      </c>
      <c r="N14" s="266" t="s">
        <v>241</v>
      </c>
      <c r="O14" s="954">
        <v>46118</v>
      </c>
      <c r="P14" s="266"/>
      <c r="Q14" s="266"/>
      <c r="R14" s="266" t="s">
        <v>4822</v>
      </c>
      <c r="S14" s="12"/>
      <c r="T14" s="12"/>
      <c r="U14" s="12"/>
      <c r="V14" s="12"/>
      <c r="W14" s="12"/>
      <c r="X14" s="12"/>
      <c r="Y14" s="12"/>
      <c r="Z14" s="12"/>
      <c r="AA14" s="12"/>
    </row>
    <row r="15" spans="1:36" ht="15" customHeight="1">
      <c r="A15" s="267"/>
      <c r="B15" s="320">
        <v>13</v>
      </c>
      <c r="C15" s="267">
        <v>268109</v>
      </c>
      <c r="D15" s="960">
        <v>41099397</v>
      </c>
      <c r="E15" s="961" t="s">
        <v>4823</v>
      </c>
      <c r="F15" s="960">
        <v>44</v>
      </c>
      <c r="G15" s="267" t="s">
        <v>4824</v>
      </c>
      <c r="H15" s="267" t="s">
        <v>301</v>
      </c>
      <c r="I15" s="960">
        <v>902256061</v>
      </c>
      <c r="J15" s="267" t="s">
        <v>302</v>
      </c>
      <c r="K15" s="299">
        <v>46116</v>
      </c>
      <c r="L15" s="267" t="s">
        <v>4825</v>
      </c>
      <c r="M15" s="267" t="s">
        <v>260</v>
      </c>
      <c r="N15" s="267" t="s">
        <v>4826</v>
      </c>
      <c r="O15" s="962">
        <v>46118</v>
      </c>
      <c r="P15" s="267"/>
      <c r="Q15" s="267" t="s">
        <v>4801</v>
      </c>
      <c r="R15" s="12"/>
      <c r="S15" s="12"/>
      <c r="T15" s="12"/>
      <c r="U15" s="12"/>
      <c r="V15" s="12"/>
      <c r="W15" s="12"/>
      <c r="X15" s="12"/>
      <c r="Y15" s="12"/>
      <c r="Z15" s="12"/>
      <c r="AA15" s="12"/>
    </row>
    <row r="16" spans="1:36" ht="15" customHeight="1">
      <c r="A16" s="266"/>
      <c r="B16" s="320">
        <v>14</v>
      </c>
      <c r="C16" s="266">
        <v>193963</v>
      </c>
      <c r="D16" s="957">
        <v>15733589</v>
      </c>
      <c r="E16" s="958" t="s">
        <v>4827</v>
      </c>
      <c r="F16" s="957">
        <v>52</v>
      </c>
      <c r="G16" s="266" t="s">
        <v>4828</v>
      </c>
      <c r="H16" s="266" t="s">
        <v>237</v>
      </c>
      <c r="I16" s="957">
        <v>907873896</v>
      </c>
      <c r="J16" s="266" t="s">
        <v>742</v>
      </c>
      <c r="K16" s="298">
        <v>46116</v>
      </c>
      <c r="L16" s="266" t="s">
        <v>4829</v>
      </c>
      <c r="M16" s="266" t="s">
        <v>230</v>
      </c>
      <c r="N16" s="266" t="s">
        <v>317</v>
      </c>
      <c r="O16" s="956">
        <v>46118</v>
      </c>
      <c r="P16" s="266"/>
      <c r="Q16" s="266" t="s">
        <v>4818</v>
      </c>
      <c r="R16" s="12"/>
      <c r="S16" s="12"/>
      <c r="T16" s="12"/>
      <c r="U16" s="12"/>
      <c r="V16" s="12"/>
      <c r="W16" s="12"/>
      <c r="X16" s="12"/>
      <c r="Y16" s="12"/>
      <c r="Z16" s="12"/>
      <c r="AA16" s="12"/>
    </row>
    <row r="17" spans="1:27" ht="15" customHeight="1">
      <c r="A17" s="266"/>
      <c r="B17" s="320">
        <v>15</v>
      </c>
      <c r="C17" s="963">
        <v>524591</v>
      </c>
      <c r="D17" s="963">
        <v>16007540</v>
      </c>
      <c r="E17" s="964" t="s">
        <v>4830</v>
      </c>
      <c r="F17" s="963">
        <v>56</v>
      </c>
      <c r="G17" s="963" t="s">
        <v>4831</v>
      </c>
      <c r="H17" s="963" t="s">
        <v>1885</v>
      </c>
      <c r="I17" s="963">
        <v>963414815</v>
      </c>
      <c r="J17" s="266" t="s">
        <v>164</v>
      </c>
      <c r="K17" s="298">
        <v>46116</v>
      </c>
      <c r="L17" s="266" t="s">
        <v>4832</v>
      </c>
      <c r="M17" s="266" t="s">
        <v>230</v>
      </c>
      <c r="N17" s="266" t="s">
        <v>241</v>
      </c>
      <c r="O17" s="954">
        <v>46118</v>
      </c>
      <c r="P17" s="266"/>
      <c r="Q17" s="242" t="s">
        <v>4787</v>
      </c>
      <c r="R17" s="12"/>
      <c r="S17" s="12"/>
      <c r="T17" s="12"/>
      <c r="U17" s="12"/>
      <c r="V17" s="12"/>
      <c r="W17" s="12"/>
      <c r="X17" s="12"/>
      <c r="Y17" s="12"/>
      <c r="Z17" s="12"/>
      <c r="AA17" s="12"/>
    </row>
    <row r="18" spans="1:27" ht="15" customHeight="1">
      <c r="A18" s="261">
        <v>46118</v>
      </c>
      <c r="B18" s="320">
        <v>16</v>
      </c>
      <c r="C18" s="266">
        <v>461676</v>
      </c>
      <c r="D18" s="266">
        <v>41941566</v>
      </c>
      <c r="E18" s="669" t="s">
        <v>4833</v>
      </c>
      <c r="F18" s="266">
        <v>43</v>
      </c>
      <c r="G18" s="266" t="s">
        <v>4834</v>
      </c>
      <c r="H18" s="266" t="s">
        <v>326</v>
      </c>
      <c r="I18" s="266">
        <v>939779988</v>
      </c>
      <c r="J18" s="266" t="s">
        <v>375</v>
      </c>
      <c r="K18" s="298">
        <v>46118</v>
      </c>
      <c r="L18" s="266" t="s">
        <v>584</v>
      </c>
      <c r="M18" s="266" t="s">
        <v>230</v>
      </c>
      <c r="N18" s="266" t="s">
        <v>241</v>
      </c>
      <c r="O18" s="956">
        <v>46127</v>
      </c>
      <c r="P18" s="266"/>
      <c r="Q18" s="266" t="s">
        <v>4835</v>
      </c>
      <c r="R18" s="12"/>
      <c r="S18" s="12"/>
      <c r="T18" s="12"/>
      <c r="U18" s="12"/>
      <c r="V18" s="12"/>
      <c r="W18" s="12"/>
      <c r="X18" s="12"/>
      <c r="Y18" s="12"/>
      <c r="Z18" s="12"/>
      <c r="AA18" s="12"/>
    </row>
    <row r="19" spans="1:27" ht="15" customHeight="1">
      <c r="A19" s="266"/>
      <c r="B19" s="320">
        <v>17</v>
      </c>
      <c r="C19" s="266">
        <v>39673</v>
      </c>
      <c r="D19" s="957">
        <v>80293288</v>
      </c>
      <c r="E19" s="958" t="s">
        <v>4836</v>
      </c>
      <c r="F19" s="957">
        <v>52</v>
      </c>
      <c r="G19" s="266" t="s">
        <v>4837</v>
      </c>
      <c r="H19" s="266" t="s">
        <v>301</v>
      </c>
      <c r="I19" s="957">
        <v>941471183</v>
      </c>
      <c r="J19" s="266" t="s">
        <v>302</v>
      </c>
      <c r="K19" s="298">
        <v>46118</v>
      </c>
      <c r="L19" s="266" t="s">
        <v>584</v>
      </c>
      <c r="M19" s="266" t="s">
        <v>260</v>
      </c>
      <c r="N19" s="266" t="s">
        <v>241</v>
      </c>
      <c r="O19" s="956">
        <v>46123</v>
      </c>
      <c r="P19" s="266"/>
      <c r="Q19" s="266" t="s">
        <v>305</v>
      </c>
      <c r="R19" s="12"/>
      <c r="S19" s="12"/>
      <c r="T19" s="12"/>
      <c r="U19" s="12"/>
      <c r="V19" s="12"/>
      <c r="W19" s="12"/>
      <c r="X19" s="12"/>
      <c r="Y19" s="12"/>
      <c r="Z19" s="12"/>
      <c r="AA19" s="12"/>
    </row>
    <row r="20" spans="1:27" ht="15" customHeight="1">
      <c r="A20" s="207"/>
      <c r="B20" s="320">
        <v>18</v>
      </c>
      <c r="C20" s="132">
        <v>9469</v>
      </c>
      <c r="D20" s="132">
        <v>15616954</v>
      </c>
      <c r="E20" s="965" t="s">
        <v>295</v>
      </c>
      <c r="F20" s="132">
        <v>58</v>
      </c>
      <c r="G20" s="132" t="s">
        <v>4838</v>
      </c>
      <c r="H20" s="132" t="s">
        <v>278</v>
      </c>
      <c r="I20" s="132" t="s">
        <v>296</v>
      </c>
      <c r="J20" s="132" t="s">
        <v>238</v>
      </c>
      <c r="K20" s="299">
        <v>46118</v>
      </c>
      <c r="L20" s="966" t="s">
        <v>297</v>
      </c>
      <c r="M20" s="132" t="s">
        <v>225</v>
      </c>
      <c r="N20" s="132" t="s">
        <v>298</v>
      </c>
      <c r="O20" s="967">
        <v>46122</v>
      </c>
      <c r="P20" s="137"/>
      <c r="Q20" s="137" t="s">
        <v>299</v>
      </c>
      <c r="R20" s="12"/>
      <c r="S20" s="12"/>
      <c r="T20" s="12"/>
      <c r="U20" s="12"/>
      <c r="V20" s="12"/>
      <c r="W20" s="12"/>
      <c r="X20" s="12"/>
      <c r="Y20" s="12"/>
      <c r="Z20" s="12"/>
      <c r="AA20" s="12"/>
    </row>
    <row r="21" spans="1:27" ht="15" customHeight="1">
      <c r="A21" s="298"/>
      <c r="B21" s="320">
        <v>19</v>
      </c>
      <c r="C21" s="266">
        <v>93083</v>
      </c>
      <c r="D21" s="266">
        <v>40480096</v>
      </c>
      <c r="E21" s="669" t="s">
        <v>4839</v>
      </c>
      <c r="F21" s="266">
        <v>46</v>
      </c>
      <c r="G21" s="266" t="s">
        <v>4840</v>
      </c>
      <c r="H21" s="266" t="s">
        <v>278</v>
      </c>
      <c r="I21" s="266">
        <v>930158286</v>
      </c>
      <c r="J21" s="266" t="s">
        <v>238</v>
      </c>
      <c r="K21" s="298">
        <v>46118</v>
      </c>
      <c r="L21" s="266" t="s">
        <v>584</v>
      </c>
      <c r="M21" s="266" t="s">
        <v>230</v>
      </c>
      <c r="N21" s="266" t="s">
        <v>241</v>
      </c>
      <c r="O21" s="954">
        <v>46122</v>
      </c>
      <c r="P21" s="266"/>
      <c r="Q21" s="266"/>
      <c r="R21" s="266" t="s">
        <v>4841</v>
      </c>
      <c r="S21" s="12"/>
      <c r="T21" s="12"/>
      <c r="U21" s="12"/>
      <c r="V21" s="12"/>
      <c r="W21" s="12"/>
      <c r="X21" s="12"/>
      <c r="Y21" s="12"/>
      <c r="Z21" s="12"/>
      <c r="AA21" s="12"/>
    </row>
    <row r="22" spans="1:27" ht="15" customHeight="1">
      <c r="A22" s="206"/>
      <c r="B22" s="320">
        <v>20</v>
      </c>
      <c r="C22" s="43">
        <v>524641</v>
      </c>
      <c r="D22" s="43">
        <v>42919934</v>
      </c>
      <c r="E22" s="648" t="s">
        <v>4842</v>
      </c>
      <c r="F22" s="43">
        <v>41</v>
      </c>
      <c r="G22" s="43" t="s">
        <v>4843</v>
      </c>
      <c r="H22" s="43" t="s">
        <v>461</v>
      </c>
      <c r="I22" s="43">
        <v>975622997</v>
      </c>
      <c r="J22" s="43" t="s">
        <v>162</v>
      </c>
      <c r="K22" s="298">
        <v>46118</v>
      </c>
      <c r="L22" s="955" t="s">
        <v>1156</v>
      </c>
      <c r="M22" s="266" t="s">
        <v>230</v>
      </c>
      <c r="N22" s="266" t="s">
        <v>241</v>
      </c>
      <c r="O22" s="954">
        <v>46122</v>
      </c>
      <c r="P22" s="244"/>
      <c r="Q22" s="242" t="s">
        <v>4844</v>
      </c>
      <c r="R22" s="12"/>
      <c r="S22" s="12"/>
      <c r="T22" s="12"/>
      <c r="U22" s="12"/>
      <c r="V22" s="12"/>
      <c r="W22" s="12"/>
      <c r="X22" s="12"/>
      <c r="Y22" s="12"/>
      <c r="Z22" s="12"/>
      <c r="AA22" s="12"/>
    </row>
    <row r="23" spans="1:27" ht="15" customHeight="1">
      <c r="A23" s="266"/>
      <c r="B23" s="320">
        <v>21</v>
      </c>
      <c r="C23" s="266">
        <v>99833</v>
      </c>
      <c r="D23" s="266">
        <v>40503824</v>
      </c>
      <c r="E23" s="669" t="s">
        <v>4845</v>
      </c>
      <c r="F23" s="266">
        <v>45</v>
      </c>
      <c r="G23" s="266" t="s">
        <v>4846</v>
      </c>
      <c r="H23" s="266" t="s">
        <v>4847</v>
      </c>
      <c r="I23" s="266">
        <v>967024942</v>
      </c>
      <c r="J23" s="959" t="s">
        <v>429</v>
      </c>
      <c r="K23" s="298">
        <v>46118</v>
      </c>
      <c r="L23" s="266" t="s">
        <v>584</v>
      </c>
      <c r="M23" s="266" t="s">
        <v>230</v>
      </c>
      <c r="N23" s="266" t="s">
        <v>241</v>
      </c>
      <c r="O23" s="956">
        <v>46127</v>
      </c>
      <c r="P23" s="266"/>
      <c r="Q23" s="266" t="s">
        <v>4848</v>
      </c>
      <c r="R23" s="12"/>
      <c r="S23" s="12"/>
      <c r="T23" s="12"/>
      <c r="U23" s="12"/>
      <c r="V23" s="12"/>
      <c r="W23" s="12"/>
      <c r="X23" s="12"/>
      <c r="Y23" s="12"/>
      <c r="Z23" s="12"/>
      <c r="AA23" s="12"/>
    </row>
    <row r="24" spans="1:27" ht="15" customHeight="1">
      <c r="A24" s="206"/>
      <c r="B24" s="320">
        <v>22</v>
      </c>
      <c r="C24" s="43">
        <v>175214</v>
      </c>
      <c r="D24" s="43">
        <v>80145764</v>
      </c>
      <c r="E24" s="648" t="s">
        <v>4849</v>
      </c>
      <c r="F24" s="43">
        <v>57</v>
      </c>
      <c r="G24" s="43" t="s">
        <v>4850</v>
      </c>
      <c r="H24" s="43" t="s">
        <v>461</v>
      </c>
      <c r="I24" s="43">
        <v>975869783</v>
      </c>
      <c r="J24" s="43" t="s">
        <v>162</v>
      </c>
      <c r="K24" s="298">
        <v>46118</v>
      </c>
      <c r="L24" s="955" t="s">
        <v>2164</v>
      </c>
      <c r="M24" s="266" t="s">
        <v>312</v>
      </c>
      <c r="N24" s="266" t="s">
        <v>241</v>
      </c>
      <c r="O24" s="954">
        <v>46122</v>
      </c>
      <c r="P24" s="244"/>
      <c r="Q24" s="242" t="s">
        <v>4851</v>
      </c>
      <c r="R24" s="12"/>
      <c r="S24" s="12"/>
      <c r="T24" s="12"/>
      <c r="U24" s="12"/>
      <c r="V24" s="12"/>
      <c r="W24" s="12"/>
      <c r="X24" s="12"/>
      <c r="Y24" s="12"/>
      <c r="Z24" s="12"/>
      <c r="AA24" s="12"/>
    </row>
    <row r="25" spans="1:27" ht="15" customHeight="1">
      <c r="A25" s="1002" t="s">
        <v>275</v>
      </c>
      <c r="B25" s="320">
        <v>23</v>
      </c>
      <c r="C25" s="43">
        <v>184032</v>
      </c>
      <c r="D25" s="43">
        <v>15641072</v>
      </c>
      <c r="E25" s="43" t="s">
        <v>4533</v>
      </c>
      <c r="F25" s="43">
        <v>58</v>
      </c>
      <c r="G25" s="43" t="s">
        <v>4534</v>
      </c>
      <c r="H25" s="43" t="s">
        <v>4535</v>
      </c>
      <c r="I25" s="43" t="s">
        <v>4536</v>
      </c>
      <c r="J25" s="43" t="s">
        <v>238</v>
      </c>
      <c r="K25" s="44">
        <v>46108</v>
      </c>
      <c r="L25" s="43" t="s">
        <v>4537</v>
      </c>
      <c r="M25" s="43" t="s">
        <v>260</v>
      </c>
      <c r="N25" s="43" t="s">
        <v>4538</v>
      </c>
      <c r="O25" s="649">
        <v>46112</v>
      </c>
      <c r="P25" s="43"/>
      <c r="Q25" s="244"/>
      <c r="R25" s="244" t="s">
        <v>3797</v>
      </c>
      <c r="S25" s="12"/>
      <c r="T25" s="12"/>
      <c r="U25" s="12"/>
      <c r="V25" s="12"/>
      <c r="W25" s="44">
        <v>46118</v>
      </c>
      <c r="X25" s="43" t="s">
        <v>4852</v>
      </c>
      <c r="Y25" s="43" t="s">
        <v>312</v>
      </c>
      <c r="Z25" s="43" t="s">
        <v>317</v>
      </c>
      <c r="AA25" s="44" t="s">
        <v>4853</v>
      </c>
    </row>
    <row r="26" spans="1:27" ht="15" customHeight="1">
      <c r="A26" s="206"/>
      <c r="B26" s="320">
        <v>24</v>
      </c>
      <c r="C26" s="43">
        <v>133673</v>
      </c>
      <c r="D26" s="43">
        <v>15591990</v>
      </c>
      <c r="E26" s="648" t="s">
        <v>4854</v>
      </c>
      <c r="F26" s="43">
        <v>60</v>
      </c>
      <c r="G26" s="43" t="s">
        <v>4855</v>
      </c>
      <c r="H26" s="43" t="s">
        <v>278</v>
      </c>
      <c r="I26" s="43">
        <v>965137182</v>
      </c>
      <c r="J26" s="43" t="s">
        <v>238</v>
      </c>
      <c r="K26" s="298">
        <v>46118</v>
      </c>
      <c r="L26" s="955" t="s">
        <v>584</v>
      </c>
      <c r="M26" s="266" t="s">
        <v>230</v>
      </c>
      <c r="N26" s="266" t="s">
        <v>241</v>
      </c>
      <c r="O26" s="954">
        <v>46122</v>
      </c>
      <c r="P26" s="244"/>
      <c r="Q26" s="242"/>
      <c r="R26" s="12"/>
      <c r="S26" s="12"/>
      <c r="T26" s="12"/>
      <c r="U26" s="12"/>
      <c r="V26" s="12"/>
      <c r="W26" s="12"/>
      <c r="X26" s="12"/>
      <c r="Y26" s="12"/>
      <c r="Z26" s="12"/>
      <c r="AA26" s="12"/>
    </row>
    <row r="27" spans="1:27" ht="15" customHeight="1">
      <c r="A27" s="968" t="s">
        <v>513</v>
      </c>
      <c r="B27" s="320">
        <v>25</v>
      </c>
      <c r="C27" s="266">
        <v>524657</v>
      </c>
      <c r="D27" s="266">
        <v>42626148</v>
      </c>
      <c r="E27" s="669" t="s">
        <v>4856</v>
      </c>
      <c r="F27" s="266">
        <v>42</v>
      </c>
      <c r="G27" s="266" t="s">
        <v>4857</v>
      </c>
      <c r="H27" s="266" t="s">
        <v>911</v>
      </c>
      <c r="I27" s="266">
        <v>939789124</v>
      </c>
      <c r="J27" s="266" t="s">
        <v>421</v>
      </c>
      <c r="K27" s="298">
        <v>46118</v>
      </c>
      <c r="L27" s="266" t="s">
        <v>2865</v>
      </c>
      <c r="M27" s="266" t="s">
        <v>260</v>
      </c>
      <c r="N27" s="266" t="s">
        <v>241</v>
      </c>
      <c r="O27" s="954">
        <v>46122</v>
      </c>
      <c r="P27" s="266"/>
      <c r="Q27" s="266" t="s">
        <v>4851</v>
      </c>
      <c r="R27" s="12"/>
      <c r="S27" s="12"/>
      <c r="T27" s="12"/>
      <c r="U27" s="12"/>
      <c r="V27" s="12"/>
      <c r="W27" s="12"/>
      <c r="X27" s="12"/>
      <c r="Y27" s="12"/>
      <c r="Z27" s="12"/>
      <c r="AA27" s="12"/>
    </row>
    <row r="28" spans="1:27" ht="15" customHeight="1">
      <c r="A28" s="206"/>
      <c r="B28" s="320">
        <v>26</v>
      </c>
      <c r="C28" s="43">
        <v>285317</v>
      </c>
      <c r="D28" s="43">
        <v>42762234</v>
      </c>
      <c r="E28" s="648" t="s">
        <v>4858</v>
      </c>
      <c r="F28" s="43">
        <v>42</v>
      </c>
      <c r="G28" s="43" t="s">
        <v>4859</v>
      </c>
      <c r="H28" s="43" t="s">
        <v>432</v>
      </c>
      <c r="I28" s="43">
        <v>933758821</v>
      </c>
      <c r="J28" s="43" t="s">
        <v>1209</v>
      </c>
      <c r="K28" s="298">
        <v>46118</v>
      </c>
      <c r="L28" s="955" t="s">
        <v>584</v>
      </c>
      <c r="M28" s="266" t="s">
        <v>230</v>
      </c>
      <c r="N28" s="266" t="s">
        <v>241</v>
      </c>
      <c r="O28" s="956">
        <v>46123</v>
      </c>
      <c r="P28" s="244"/>
      <c r="Q28" s="266" t="s">
        <v>4131</v>
      </c>
      <c r="R28" s="12"/>
      <c r="S28" s="12"/>
      <c r="T28" s="12"/>
      <c r="U28" s="12"/>
      <c r="V28" s="12"/>
      <c r="W28" s="12"/>
      <c r="X28" s="12"/>
      <c r="Y28" s="12"/>
      <c r="Z28" s="12"/>
      <c r="AA28" s="12"/>
    </row>
    <row r="29" spans="1:27" ht="15" customHeight="1">
      <c r="A29" s="266"/>
      <c r="B29" s="320">
        <v>27</v>
      </c>
      <c r="C29" s="266">
        <v>289362</v>
      </c>
      <c r="D29" s="266">
        <v>44621945</v>
      </c>
      <c r="E29" s="669" t="s">
        <v>4860</v>
      </c>
      <c r="F29" s="266">
        <v>40</v>
      </c>
      <c r="G29" s="266" t="s">
        <v>4861</v>
      </c>
      <c r="H29" s="266" t="s">
        <v>301</v>
      </c>
      <c r="I29" s="266">
        <v>974722927</v>
      </c>
      <c r="J29" s="266" t="s">
        <v>1483</v>
      </c>
      <c r="K29" s="298">
        <v>46118</v>
      </c>
      <c r="L29" s="266" t="s">
        <v>584</v>
      </c>
      <c r="M29" s="266" t="s">
        <v>230</v>
      </c>
      <c r="N29" s="266" t="s">
        <v>241</v>
      </c>
      <c r="O29" s="956">
        <v>46127</v>
      </c>
      <c r="P29" s="266"/>
      <c r="Q29" s="266" t="s">
        <v>4862</v>
      </c>
      <c r="R29" s="12"/>
      <c r="S29" s="12"/>
      <c r="T29" s="12"/>
      <c r="U29" s="12"/>
      <c r="V29" s="12"/>
      <c r="W29" s="12"/>
      <c r="X29" s="12"/>
      <c r="Y29" s="12"/>
      <c r="Z29" s="12"/>
      <c r="AA29" s="12"/>
    </row>
    <row r="30" spans="1:27" ht="15" customHeight="1">
      <c r="A30" s="969">
        <v>46119</v>
      </c>
      <c r="B30" s="320">
        <v>28</v>
      </c>
      <c r="C30" s="267">
        <v>77276</v>
      </c>
      <c r="D30" s="970">
        <v>41581241</v>
      </c>
      <c r="E30" s="971" t="s">
        <v>300</v>
      </c>
      <c r="F30" s="970">
        <v>48</v>
      </c>
      <c r="G30" s="267" t="s">
        <v>4863</v>
      </c>
      <c r="H30" s="267" t="s">
        <v>301</v>
      </c>
      <c r="I30" s="970">
        <v>914857332</v>
      </c>
      <c r="J30" s="267" t="s">
        <v>302</v>
      </c>
      <c r="K30" s="299">
        <v>46119</v>
      </c>
      <c r="L30" s="267" t="s">
        <v>303</v>
      </c>
      <c r="M30" s="267" t="s">
        <v>304</v>
      </c>
      <c r="N30" s="267" t="s">
        <v>241</v>
      </c>
      <c r="O30" s="962">
        <v>46123</v>
      </c>
      <c r="P30" s="267"/>
      <c r="Q30" s="267" t="s">
        <v>305</v>
      </c>
      <c r="R30" s="12"/>
      <c r="S30" s="12"/>
      <c r="T30" s="12"/>
      <c r="U30" s="12"/>
      <c r="V30" s="12"/>
      <c r="W30" s="12"/>
      <c r="X30" s="12"/>
      <c r="Y30" s="12"/>
      <c r="Z30" s="12"/>
      <c r="AA30" s="12"/>
    </row>
    <row r="31" spans="1:27" ht="15" customHeight="1">
      <c r="A31" s="266"/>
      <c r="B31" s="320">
        <v>29</v>
      </c>
      <c r="C31" s="266">
        <v>168392</v>
      </c>
      <c r="D31" s="725">
        <v>80283398</v>
      </c>
      <c r="E31" s="964" t="s">
        <v>4864</v>
      </c>
      <c r="F31" s="725">
        <v>54</v>
      </c>
      <c r="G31" s="266" t="s">
        <v>4865</v>
      </c>
      <c r="H31" s="266" t="s">
        <v>301</v>
      </c>
      <c r="I31" s="725">
        <v>938250685</v>
      </c>
      <c r="J31" s="266" t="s">
        <v>302</v>
      </c>
      <c r="K31" s="298">
        <v>46119</v>
      </c>
      <c r="L31" s="266" t="s">
        <v>2194</v>
      </c>
      <c r="M31" s="266" t="s">
        <v>230</v>
      </c>
      <c r="N31" s="266" t="s">
        <v>1795</v>
      </c>
      <c r="O31" s="956">
        <v>46123</v>
      </c>
      <c r="P31" s="266"/>
      <c r="Q31" s="266" t="s">
        <v>305</v>
      </c>
      <c r="R31" s="12"/>
      <c r="S31" s="12"/>
      <c r="T31" s="12"/>
      <c r="U31" s="12"/>
      <c r="V31" s="12"/>
      <c r="W31" s="12"/>
      <c r="X31" s="12"/>
      <c r="Y31" s="12"/>
      <c r="Z31" s="12"/>
      <c r="AA31" s="12"/>
    </row>
    <row r="32" spans="1:27" ht="15" customHeight="1">
      <c r="A32" s="266"/>
      <c r="B32" s="320">
        <v>30</v>
      </c>
      <c r="C32" s="266">
        <v>209924</v>
      </c>
      <c r="D32" s="725">
        <v>15208882</v>
      </c>
      <c r="E32" s="964" t="s">
        <v>4866</v>
      </c>
      <c r="F32" s="725">
        <v>59</v>
      </c>
      <c r="G32" s="266" t="s">
        <v>4867</v>
      </c>
      <c r="H32" s="266" t="s">
        <v>301</v>
      </c>
      <c r="I32" s="725">
        <v>967191134</v>
      </c>
      <c r="J32" s="266" t="s">
        <v>302</v>
      </c>
      <c r="K32" s="298">
        <v>46119</v>
      </c>
      <c r="L32" s="266" t="s">
        <v>4868</v>
      </c>
      <c r="M32" s="266" t="s">
        <v>260</v>
      </c>
      <c r="N32" s="266" t="s">
        <v>241</v>
      </c>
      <c r="O32" s="956">
        <v>46123</v>
      </c>
      <c r="P32" s="266"/>
      <c r="Q32" s="266" t="s">
        <v>305</v>
      </c>
      <c r="R32" s="12"/>
      <c r="S32" s="12"/>
      <c r="T32" s="12"/>
      <c r="U32" s="12"/>
      <c r="V32" s="12"/>
      <c r="W32" s="12"/>
      <c r="X32" s="12"/>
      <c r="Y32" s="12"/>
      <c r="Z32" s="12"/>
      <c r="AA32" s="12"/>
    </row>
    <row r="33" spans="1:27" ht="15" customHeight="1">
      <c r="A33" s="266"/>
      <c r="B33" s="320">
        <v>31</v>
      </c>
      <c r="C33" s="266">
        <v>291997</v>
      </c>
      <c r="D33" s="725">
        <v>44052341</v>
      </c>
      <c r="E33" s="964" t="s">
        <v>4869</v>
      </c>
      <c r="F33" s="725">
        <v>42</v>
      </c>
      <c r="G33" s="266" t="s">
        <v>4870</v>
      </c>
      <c r="H33" s="266" t="s">
        <v>301</v>
      </c>
      <c r="I33" s="725">
        <v>944084675</v>
      </c>
      <c r="J33" s="266" t="s">
        <v>302</v>
      </c>
      <c r="K33" s="298">
        <v>46119</v>
      </c>
      <c r="L33" s="266" t="s">
        <v>1156</v>
      </c>
      <c r="M33" s="266" t="s">
        <v>230</v>
      </c>
      <c r="N33" s="266" t="s">
        <v>241</v>
      </c>
      <c r="O33" s="956">
        <v>46123</v>
      </c>
      <c r="P33" s="266"/>
      <c r="Q33" s="266" t="s">
        <v>305</v>
      </c>
      <c r="R33" s="12"/>
      <c r="S33" s="12"/>
      <c r="T33" s="12"/>
      <c r="U33" s="12"/>
      <c r="V33" s="12"/>
      <c r="W33" s="12"/>
      <c r="X33" s="12"/>
      <c r="Y33" s="12"/>
      <c r="Z33" s="12"/>
      <c r="AA33" s="12"/>
    </row>
    <row r="34" spans="1:27" ht="15" customHeight="1">
      <c r="A34" s="266"/>
      <c r="B34" s="320">
        <v>32</v>
      </c>
      <c r="C34" s="266">
        <v>75156</v>
      </c>
      <c r="D34" s="725">
        <v>15731960</v>
      </c>
      <c r="E34" s="964" t="s">
        <v>4871</v>
      </c>
      <c r="F34" s="725">
        <v>54</v>
      </c>
      <c r="G34" s="266" t="s">
        <v>4872</v>
      </c>
      <c r="H34" s="266" t="s">
        <v>301</v>
      </c>
      <c r="I34" s="725">
        <v>902005992</v>
      </c>
      <c r="J34" s="266" t="s">
        <v>302</v>
      </c>
      <c r="K34" s="298">
        <v>46119</v>
      </c>
      <c r="L34" s="266" t="s">
        <v>4873</v>
      </c>
      <c r="M34" s="266" t="s">
        <v>312</v>
      </c>
      <c r="N34" s="266" t="s">
        <v>241</v>
      </c>
      <c r="O34" s="956">
        <v>46123</v>
      </c>
      <c r="P34" s="266"/>
      <c r="Q34" s="266" t="s">
        <v>305</v>
      </c>
      <c r="R34" s="12"/>
      <c r="S34" s="12"/>
      <c r="T34" s="12"/>
      <c r="U34" s="12"/>
      <c r="V34" s="12"/>
      <c r="W34" s="12"/>
      <c r="X34" s="12"/>
      <c r="Y34" s="12"/>
      <c r="Z34" s="12"/>
      <c r="AA34" s="12"/>
    </row>
    <row r="35" spans="1:27" ht="15" customHeight="1">
      <c r="A35" s="266"/>
      <c r="B35" s="320">
        <v>33</v>
      </c>
      <c r="C35" s="266">
        <v>336910</v>
      </c>
      <c r="D35" s="959" t="s">
        <v>4874</v>
      </c>
      <c r="E35" s="669" t="s">
        <v>4875</v>
      </c>
      <c r="F35" s="266">
        <v>54</v>
      </c>
      <c r="G35" s="266" t="s">
        <v>4876</v>
      </c>
      <c r="H35" s="266" t="s">
        <v>3033</v>
      </c>
      <c r="I35" s="266">
        <v>982537600</v>
      </c>
      <c r="J35" s="266" t="s">
        <v>375</v>
      </c>
      <c r="K35" s="298">
        <v>46119</v>
      </c>
      <c r="L35" s="266" t="s">
        <v>1156</v>
      </c>
      <c r="M35" s="266" t="s">
        <v>260</v>
      </c>
      <c r="N35" s="266" t="s">
        <v>241</v>
      </c>
      <c r="O35" s="1114">
        <v>46127</v>
      </c>
      <c r="P35" s="266"/>
      <c r="Q35" s="266" t="s">
        <v>4877</v>
      </c>
      <c r="R35" s="12"/>
      <c r="S35" s="12"/>
      <c r="T35" s="12"/>
      <c r="U35" s="12"/>
      <c r="V35" s="12"/>
      <c r="W35" s="12"/>
      <c r="X35" s="12"/>
      <c r="Y35" s="12"/>
      <c r="Z35" s="12"/>
      <c r="AA35" s="12"/>
    </row>
    <row r="36" spans="1:27" ht="15" customHeight="1">
      <c r="A36" s="206"/>
      <c r="B36" s="320">
        <v>34</v>
      </c>
      <c r="C36" s="43">
        <v>524674</v>
      </c>
      <c r="D36" s="43">
        <v>45012276</v>
      </c>
      <c r="E36" s="648" t="s">
        <v>4878</v>
      </c>
      <c r="F36" s="43">
        <v>46</v>
      </c>
      <c r="G36" s="43" t="s">
        <v>4879</v>
      </c>
      <c r="H36" s="43" t="s">
        <v>4880</v>
      </c>
      <c r="I36" s="43">
        <v>920868706</v>
      </c>
      <c r="J36" s="955" t="s">
        <v>4881</v>
      </c>
      <c r="K36" s="298">
        <v>46119</v>
      </c>
      <c r="L36" s="266" t="s">
        <v>1156</v>
      </c>
      <c r="M36" s="43" t="s">
        <v>230</v>
      </c>
      <c r="N36" s="266" t="s">
        <v>241</v>
      </c>
      <c r="O36" s="954">
        <v>46125</v>
      </c>
      <c r="P36" s="244"/>
      <c r="Q36" s="242"/>
      <c r="R36" s="242" t="s">
        <v>4882</v>
      </c>
      <c r="S36" s="12"/>
      <c r="T36" s="12"/>
      <c r="U36" s="12"/>
      <c r="V36" s="12"/>
      <c r="W36" s="12"/>
      <c r="X36" s="12"/>
      <c r="Y36" s="12"/>
      <c r="Z36" s="12"/>
      <c r="AA36" s="12"/>
    </row>
    <row r="37" spans="1:27" ht="15" customHeight="1">
      <c r="A37" s="206"/>
      <c r="B37" s="320">
        <v>35</v>
      </c>
      <c r="C37" s="43">
        <v>524675</v>
      </c>
      <c r="D37" s="43">
        <v>41673351</v>
      </c>
      <c r="E37" s="648" t="s">
        <v>4883</v>
      </c>
      <c r="F37" s="43">
        <v>43</v>
      </c>
      <c r="G37" s="43" t="s">
        <v>4884</v>
      </c>
      <c r="H37" s="43" t="s">
        <v>461</v>
      </c>
      <c r="I37" s="43">
        <v>971326790</v>
      </c>
      <c r="J37" s="43" t="s">
        <v>162</v>
      </c>
      <c r="K37" s="298">
        <v>46119</v>
      </c>
      <c r="L37" s="266" t="s">
        <v>1156</v>
      </c>
      <c r="M37" s="266" t="s">
        <v>260</v>
      </c>
      <c r="N37" s="266" t="s">
        <v>241</v>
      </c>
      <c r="O37" s="954">
        <v>46123</v>
      </c>
      <c r="P37" s="244"/>
      <c r="Q37" s="242" t="s">
        <v>4131</v>
      </c>
      <c r="R37" s="12"/>
      <c r="S37" s="12"/>
      <c r="T37" s="12"/>
      <c r="U37" s="12"/>
      <c r="V37" s="12"/>
      <c r="W37" s="12"/>
      <c r="X37" s="12"/>
      <c r="Y37" s="12"/>
      <c r="Z37" s="12"/>
      <c r="AA37" s="12"/>
    </row>
    <row r="38" spans="1:27" ht="15" customHeight="1">
      <c r="A38" s="266"/>
      <c r="B38" s="320">
        <v>36</v>
      </c>
      <c r="C38" s="266">
        <v>132367</v>
      </c>
      <c r="D38" s="725">
        <v>15758554</v>
      </c>
      <c r="E38" s="964" t="s">
        <v>4885</v>
      </c>
      <c r="F38" s="725">
        <v>51</v>
      </c>
      <c r="G38" s="266" t="s">
        <v>4886</v>
      </c>
      <c r="H38" s="266" t="s">
        <v>237</v>
      </c>
      <c r="I38" s="725">
        <v>968865858</v>
      </c>
      <c r="J38" s="266" t="s">
        <v>384</v>
      </c>
      <c r="K38" s="298">
        <v>46119</v>
      </c>
      <c r="L38" s="266" t="s">
        <v>1156</v>
      </c>
      <c r="M38" s="43" t="s">
        <v>230</v>
      </c>
      <c r="N38" s="266" t="s">
        <v>241</v>
      </c>
      <c r="O38" s="956">
        <v>46127</v>
      </c>
      <c r="P38" s="266"/>
      <c r="Q38" s="266" t="s">
        <v>4887</v>
      </c>
      <c r="R38" s="12"/>
      <c r="S38" s="12"/>
      <c r="T38" s="12"/>
      <c r="U38" s="12"/>
      <c r="V38" s="12"/>
      <c r="W38" s="12"/>
      <c r="X38" s="12"/>
      <c r="Y38" s="12"/>
      <c r="Z38" s="12"/>
      <c r="AA38" s="12"/>
    </row>
    <row r="39" spans="1:27" ht="15" customHeight="1">
      <c r="A39" s="206"/>
      <c r="B39" s="320">
        <v>37</v>
      </c>
      <c r="C39" s="43">
        <v>429371</v>
      </c>
      <c r="D39" s="43">
        <v>15721371</v>
      </c>
      <c r="E39" s="648" t="s">
        <v>4888</v>
      </c>
      <c r="F39" s="43">
        <v>51</v>
      </c>
      <c r="G39" s="43" t="s">
        <v>4889</v>
      </c>
      <c r="H39" s="43" t="s">
        <v>326</v>
      </c>
      <c r="I39" s="43" t="s">
        <v>4890</v>
      </c>
      <c r="J39" s="43" t="s">
        <v>238</v>
      </c>
      <c r="K39" s="298">
        <v>46119</v>
      </c>
      <c r="L39" s="266" t="s">
        <v>4891</v>
      </c>
      <c r="M39" s="43" t="s">
        <v>312</v>
      </c>
      <c r="N39" s="266" t="s">
        <v>1795</v>
      </c>
      <c r="O39" s="954">
        <v>46123</v>
      </c>
      <c r="P39" s="244"/>
      <c r="Q39" s="242"/>
      <c r="R39" s="12"/>
      <c r="S39" s="12"/>
      <c r="T39" s="12"/>
      <c r="U39" s="12"/>
      <c r="V39" s="12"/>
      <c r="W39" s="12"/>
      <c r="X39" s="12"/>
      <c r="Y39" s="12"/>
      <c r="Z39" s="12"/>
      <c r="AA39" s="12"/>
    </row>
    <row r="40" spans="1:27" ht="15" customHeight="1">
      <c r="A40" s="206"/>
      <c r="B40" s="320">
        <v>38</v>
      </c>
      <c r="C40" s="43">
        <v>48472</v>
      </c>
      <c r="D40" s="43">
        <v>15606015</v>
      </c>
      <c r="E40" s="648" t="s">
        <v>4892</v>
      </c>
      <c r="F40" s="43">
        <v>59</v>
      </c>
      <c r="G40" s="43" t="s">
        <v>4893</v>
      </c>
      <c r="H40" s="43" t="s">
        <v>222</v>
      </c>
      <c r="I40" s="43" t="s">
        <v>4894</v>
      </c>
      <c r="J40" s="43" t="s">
        <v>238</v>
      </c>
      <c r="K40" s="298">
        <v>46119</v>
      </c>
      <c r="L40" s="266" t="s">
        <v>747</v>
      </c>
      <c r="M40" s="43" t="s">
        <v>230</v>
      </c>
      <c r="N40" s="266" t="s">
        <v>1795</v>
      </c>
      <c r="O40" s="680">
        <v>46123</v>
      </c>
      <c r="P40" s="244"/>
      <c r="Q40" s="242" t="s">
        <v>4895</v>
      </c>
      <c r="R40" s="12"/>
      <c r="S40" s="12"/>
      <c r="T40" s="12"/>
      <c r="U40" s="12"/>
      <c r="V40" s="12"/>
      <c r="W40" s="12"/>
      <c r="X40" s="12"/>
      <c r="Y40" s="12"/>
      <c r="Z40" s="12"/>
      <c r="AA40" s="12"/>
    </row>
    <row r="41" spans="1:27" ht="15" customHeight="1">
      <c r="A41" s="972" t="s">
        <v>513</v>
      </c>
      <c r="B41" s="320">
        <v>39</v>
      </c>
      <c r="C41" s="266">
        <v>107066</v>
      </c>
      <c r="D41" s="266">
        <v>15697835</v>
      </c>
      <c r="E41" s="669" t="s">
        <v>4896</v>
      </c>
      <c r="F41" s="266">
        <v>59</v>
      </c>
      <c r="G41" s="266" t="s">
        <v>4897</v>
      </c>
      <c r="H41" s="266" t="s">
        <v>278</v>
      </c>
      <c r="I41" s="266">
        <v>940456377</v>
      </c>
      <c r="J41" s="266" t="s">
        <v>384</v>
      </c>
      <c r="K41" s="298">
        <v>46119</v>
      </c>
      <c r="L41" s="266" t="s">
        <v>584</v>
      </c>
      <c r="M41" s="266" t="s">
        <v>230</v>
      </c>
      <c r="N41" s="266" t="s">
        <v>241</v>
      </c>
      <c r="O41" s="956">
        <v>46127</v>
      </c>
      <c r="P41" s="266"/>
      <c r="Q41" s="266" t="s">
        <v>4887</v>
      </c>
      <c r="R41" s="12"/>
      <c r="S41" s="12"/>
      <c r="T41" s="12"/>
      <c r="U41" s="12"/>
      <c r="V41" s="12"/>
      <c r="W41" s="12"/>
      <c r="X41" s="12"/>
      <c r="Y41" s="12"/>
      <c r="Z41" s="12"/>
      <c r="AA41" s="12"/>
    </row>
    <row r="42" spans="1:27" ht="15" customHeight="1">
      <c r="A42" s="206"/>
      <c r="B42" s="320">
        <v>40</v>
      </c>
      <c r="C42" s="43">
        <v>524701</v>
      </c>
      <c r="D42" s="43">
        <v>80592151</v>
      </c>
      <c r="E42" s="648" t="s">
        <v>4898</v>
      </c>
      <c r="F42" s="43">
        <v>56</v>
      </c>
      <c r="G42" s="43" t="s">
        <v>4899</v>
      </c>
      <c r="H42" s="43" t="s">
        <v>461</v>
      </c>
      <c r="I42" s="43">
        <v>928455085</v>
      </c>
      <c r="J42" s="43" t="s">
        <v>162</v>
      </c>
      <c r="K42" s="298">
        <v>46119</v>
      </c>
      <c r="L42" s="955" t="s">
        <v>4900</v>
      </c>
      <c r="M42" s="266" t="s">
        <v>312</v>
      </c>
      <c r="N42" s="266" t="s">
        <v>241</v>
      </c>
      <c r="O42" s="954">
        <v>46122</v>
      </c>
      <c r="P42" s="244"/>
      <c r="Q42" s="242" t="s">
        <v>4851</v>
      </c>
      <c r="R42" s="12"/>
      <c r="S42" s="12"/>
      <c r="T42" s="12"/>
      <c r="U42" s="12"/>
      <c r="V42" s="12"/>
      <c r="W42" s="12"/>
      <c r="X42" s="12"/>
      <c r="Y42" s="12"/>
      <c r="Z42" s="12"/>
      <c r="AA42" s="12"/>
    </row>
    <row r="43" spans="1:27" ht="15" customHeight="1">
      <c r="A43" s="206"/>
      <c r="B43" s="320">
        <v>41</v>
      </c>
      <c r="C43" s="43">
        <v>228311</v>
      </c>
      <c r="D43" s="43">
        <v>80302912</v>
      </c>
      <c r="E43" s="648" t="s">
        <v>4901</v>
      </c>
      <c r="F43" s="43">
        <v>49</v>
      </c>
      <c r="G43" s="43" t="s">
        <v>4902</v>
      </c>
      <c r="H43" s="43" t="s">
        <v>222</v>
      </c>
      <c r="I43" s="43" t="s">
        <v>4903</v>
      </c>
      <c r="J43" s="43" t="s">
        <v>1012</v>
      </c>
      <c r="K43" s="298">
        <v>46119</v>
      </c>
      <c r="L43" s="955" t="s">
        <v>584</v>
      </c>
      <c r="M43" s="266" t="s">
        <v>260</v>
      </c>
      <c r="N43" s="43" t="s">
        <v>241</v>
      </c>
      <c r="O43" s="956">
        <v>46127</v>
      </c>
      <c r="P43" s="266"/>
      <c r="Q43" s="266" t="s">
        <v>4793</v>
      </c>
      <c r="R43" s="12"/>
      <c r="S43" s="12"/>
      <c r="T43" s="12"/>
      <c r="U43" s="12"/>
      <c r="V43" s="12"/>
      <c r="W43" s="12"/>
      <c r="X43" s="12"/>
      <c r="Y43" s="12"/>
      <c r="Z43" s="12"/>
      <c r="AA43" s="12"/>
    </row>
    <row r="44" spans="1:27" ht="15" customHeight="1">
      <c r="A44" s="261">
        <v>46120</v>
      </c>
      <c r="B44" s="320">
        <v>42</v>
      </c>
      <c r="C44" s="43">
        <v>215333</v>
      </c>
      <c r="D44" s="43">
        <v>43365736</v>
      </c>
      <c r="E44" s="648" t="s">
        <v>4904</v>
      </c>
      <c r="F44" s="43">
        <v>42</v>
      </c>
      <c r="G44" s="43" t="s">
        <v>4905</v>
      </c>
      <c r="H44" s="43">
        <v>15722246</v>
      </c>
      <c r="I44" s="43">
        <v>915009273</v>
      </c>
      <c r="J44" s="43" t="s">
        <v>238</v>
      </c>
      <c r="K44" s="44">
        <v>46120</v>
      </c>
      <c r="L44" s="955" t="s">
        <v>4906</v>
      </c>
      <c r="M44" s="266" t="s">
        <v>260</v>
      </c>
      <c r="N44" s="43" t="s">
        <v>241</v>
      </c>
      <c r="O44" s="954">
        <v>46122</v>
      </c>
      <c r="P44" s="244"/>
      <c r="Q44" s="242"/>
      <c r="R44" s="242" t="s">
        <v>4907</v>
      </c>
      <c r="S44" s="12"/>
      <c r="T44" s="12"/>
      <c r="U44" s="12"/>
      <c r="V44" s="12"/>
      <c r="W44" s="12"/>
      <c r="X44" s="12"/>
      <c r="Y44" s="12"/>
      <c r="Z44" s="12"/>
      <c r="AA44" s="12"/>
    </row>
    <row r="45" spans="1:27" ht="15" customHeight="1">
      <c r="A45" s="43"/>
      <c r="B45" s="320">
        <v>43</v>
      </c>
      <c r="C45" s="43">
        <v>291755</v>
      </c>
      <c r="D45" s="43">
        <v>15204554</v>
      </c>
      <c r="E45" s="648" t="s">
        <v>4908</v>
      </c>
      <c r="F45" s="963">
        <v>66</v>
      </c>
      <c r="G45" s="43" t="s">
        <v>4909</v>
      </c>
      <c r="H45" s="43" t="s">
        <v>1420</v>
      </c>
      <c r="I45" s="45">
        <v>997521216</v>
      </c>
      <c r="J45" s="43" t="s">
        <v>1421</v>
      </c>
      <c r="K45" s="44">
        <v>46120</v>
      </c>
      <c r="L45" s="43" t="s">
        <v>1794</v>
      </c>
      <c r="M45" s="266" t="s">
        <v>312</v>
      </c>
      <c r="N45" s="266" t="s">
        <v>317</v>
      </c>
      <c r="O45" s="463">
        <v>46127</v>
      </c>
      <c r="P45" s="43"/>
      <c r="Q45" s="43" t="s">
        <v>4910</v>
      </c>
      <c r="R45" s="12"/>
      <c r="S45" s="12"/>
      <c r="T45" s="12"/>
      <c r="U45" s="12"/>
      <c r="V45" s="12"/>
      <c r="W45" s="12"/>
      <c r="X45" s="12"/>
      <c r="Y45" s="12"/>
      <c r="Z45" s="12"/>
      <c r="AA45" s="12"/>
    </row>
    <row r="46" spans="1:27" ht="15" customHeight="1">
      <c r="A46" s="269"/>
      <c r="B46" s="320">
        <v>44</v>
      </c>
      <c r="C46" s="266">
        <v>524724</v>
      </c>
      <c r="D46" s="665">
        <v>16025022</v>
      </c>
      <c r="E46" s="663" t="s">
        <v>4911</v>
      </c>
      <c r="F46" s="266">
        <v>48</v>
      </c>
      <c r="G46" s="665" t="s">
        <v>4912</v>
      </c>
      <c r="H46" s="665" t="s">
        <v>271</v>
      </c>
      <c r="I46" s="725">
        <v>935229008</v>
      </c>
      <c r="J46" s="266" t="s">
        <v>164</v>
      </c>
      <c r="K46" s="44">
        <v>46120</v>
      </c>
      <c r="L46" s="266" t="s">
        <v>584</v>
      </c>
      <c r="M46" s="266" t="s">
        <v>230</v>
      </c>
      <c r="N46" s="266" t="s">
        <v>241</v>
      </c>
      <c r="O46" s="954">
        <v>46122</v>
      </c>
      <c r="P46" s="266"/>
      <c r="Q46" s="266" t="s">
        <v>4851</v>
      </c>
      <c r="R46" s="12"/>
      <c r="S46" s="12"/>
      <c r="T46" s="12"/>
      <c r="U46" s="12"/>
      <c r="V46" s="12"/>
      <c r="W46" s="12"/>
      <c r="X46" s="12"/>
      <c r="Y46" s="12"/>
      <c r="Z46" s="12"/>
      <c r="AA46" s="12"/>
    </row>
    <row r="47" spans="1:27" ht="15" customHeight="1">
      <c r="A47" s="206"/>
      <c r="B47" s="320">
        <v>45</v>
      </c>
      <c r="C47" s="43">
        <v>1198</v>
      </c>
      <c r="D47" s="43">
        <v>15722246</v>
      </c>
      <c r="E47" s="648" t="s">
        <v>4913</v>
      </c>
      <c r="F47" s="43">
        <v>57</v>
      </c>
      <c r="G47" s="43" t="s">
        <v>4914</v>
      </c>
      <c r="H47" s="43" t="s">
        <v>278</v>
      </c>
      <c r="I47" s="45" t="s">
        <v>4915</v>
      </c>
      <c r="J47" s="43" t="s">
        <v>384</v>
      </c>
      <c r="K47" s="44">
        <v>46120</v>
      </c>
      <c r="L47" s="955" t="s">
        <v>584</v>
      </c>
      <c r="M47" s="266" t="s">
        <v>230</v>
      </c>
      <c r="N47" s="266" t="s">
        <v>241</v>
      </c>
      <c r="O47" s="956">
        <v>46127</v>
      </c>
      <c r="P47" s="266"/>
      <c r="Q47" s="266" t="s">
        <v>4887</v>
      </c>
      <c r="R47" s="12"/>
      <c r="S47" s="12"/>
      <c r="T47" s="12"/>
      <c r="U47" s="12"/>
      <c r="V47" s="12"/>
      <c r="W47" s="12"/>
      <c r="X47" s="12"/>
      <c r="Y47" s="12"/>
      <c r="Z47" s="12"/>
      <c r="AA47" s="12"/>
    </row>
    <row r="48" spans="1:27" ht="15" customHeight="1">
      <c r="A48" s="266"/>
      <c r="B48" s="320">
        <v>46</v>
      </c>
      <c r="C48" s="266">
        <v>339652</v>
      </c>
      <c r="D48" s="266">
        <v>15722823</v>
      </c>
      <c r="E48" s="669" t="s">
        <v>4916</v>
      </c>
      <c r="F48" s="266">
        <v>58</v>
      </c>
      <c r="G48" s="266" t="s">
        <v>4917</v>
      </c>
      <c r="H48" s="266" t="s">
        <v>830</v>
      </c>
      <c r="I48" s="959">
        <v>972279542</v>
      </c>
      <c r="J48" s="266" t="s">
        <v>832</v>
      </c>
      <c r="K48" s="44">
        <v>46120</v>
      </c>
      <c r="L48" s="266" t="s">
        <v>4918</v>
      </c>
      <c r="M48" s="266" t="s">
        <v>230</v>
      </c>
      <c r="N48" s="266" t="s">
        <v>317</v>
      </c>
      <c r="O48" s="956">
        <v>46127</v>
      </c>
      <c r="P48" s="266"/>
      <c r="Q48" s="266" t="s">
        <v>4919</v>
      </c>
      <c r="R48" s="12"/>
      <c r="S48" s="12"/>
      <c r="T48" s="12"/>
      <c r="U48" s="12"/>
      <c r="V48" s="12"/>
      <c r="W48" s="12"/>
      <c r="X48" s="12"/>
      <c r="Y48" s="12"/>
      <c r="Z48" s="12"/>
      <c r="AA48" s="12"/>
    </row>
    <row r="49" spans="1:27" ht="15" customHeight="1">
      <c r="A49" s="968" t="s">
        <v>513</v>
      </c>
      <c r="B49" s="320">
        <v>47</v>
      </c>
      <c r="C49" s="266">
        <v>35497</v>
      </c>
      <c r="D49" s="266">
        <v>15581624</v>
      </c>
      <c r="E49" s="669" t="s">
        <v>4920</v>
      </c>
      <c r="F49" s="266">
        <v>64</v>
      </c>
      <c r="G49" s="266" t="s">
        <v>4921</v>
      </c>
      <c r="H49" s="266" t="s">
        <v>237</v>
      </c>
      <c r="I49" s="266">
        <v>923378125</v>
      </c>
      <c r="J49" s="266" t="s">
        <v>289</v>
      </c>
      <c r="K49" s="44">
        <v>46120</v>
      </c>
      <c r="L49" s="266" t="s">
        <v>4922</v>
      </c>
      <c r="M49" s="266" t="s">
        <v>260</v>
      </c>
      <c r="N49" s="43" t="s">
        <v>241</v>
      </c>
      <c r="O49" s="956">
        <v>46127</v>
      </c>
      <c r="P49" s="266"/>
      <c r="Q49" s="266" t="s">
        <v>4923</v>
      </c>
      <c r="R49" s="12"/>
      <c r="S49" s="12"/>
      <c r="T49" s="12"/>
      <c r="U49" s="12"/>
      <c r="V49" s="12"/>
      <c r="W49" s="12"/>
      <c r="X49" s="12"/>
      <c r="Y49" s="12"/>
      <c r="Z49" s="12"/>
      <c r="AA49" s="12"/>
    </row>
    <row r="50" spans="1:27" ht="15" customHeight="1">
      <c r="A50" s="1002" t="s">
        <v>219</v>
      </c>
      <c r="B50" s="320">
        <v>48</v>
      </c>
      <c r="C50" s="43">
        <v>524131</v>
      </c>
      <c r="D50" s="43">
        <v>15742220</v>
      </c>
      <c r="E50" s="43" t="s">
        <v>4013</v>
      </c>
      <c r="F50" s="43">
        <v>51</v>
      </c>
      <c r="G50" s="43" t="s">
        <v>4014</v>
      </c>
      <c r="H50" s="43" t="s">
        <v>237</v>
      </c>
      <c r="I50" s="43">
        <v>972358486</v>
      </c>
      <c r="J50" s="43" t="s">
        <v>238</v>
      </c>
      <c r="K50" s="44">
        <v>46100</v>
      </c>
      <c r="L50" s="43" t="s">
        <v>4015</v>
      </c>
      <c r="M50" s="43" t="s">
        <v>323</v>
      </c>
      <c r="N50" s="43" t="s">
        <v>950</v>
      </c>
      <c r="O50" s="956">
        <v>46127</v>
      </c>
      <c r="P50" s="266"/>
      <c r="Q50" s="266" t="s">
        <v>2708</v>
      </c>
      <c r="R50" s="244" t="s">
        <v>4924</v>
      </c>
      <c r="S50" s="12"/>
      <c r="T50" s="12"/>
      <c r="U50" s="12"/>
      <c r="V50" s="12"/>
      <c r="W50" s="44">
        <v>46120</v>
      </c>
      <c r="X50" s="43" t="s">
        <v>4925</v>
      </c>
      <c r="Y50" s="43" t="s">
        <v>312</v>
      </c>
      <c r="Z50" s="43" t="s">
        <v>317</v>
      </c>
      <c r="AA50" s="44">
        <v>46122</v>
      </c>
    </row>
    <row r="51" spans="1:27" ht="15" customHeight="1">
      <c r="A51" s="972">
        <v>46121</v>
      </c>
      <c r="B51" s="320">
        <v>49</v>
      </c>
      <c r="C51" s="266">
        <v>4140</v>
      </c>
      <c r="D51" s="269">
        <v>15724554</v>
      </c>
      <c r="E51" s="672" t="s">
        <v>4926</v>
      </c>
      <c r="F51" s="266">
        <v>55</v>
      </c>
      <c r="G51" s="266" t="s">
        <v>4927</v>
      </c>
      <c r="H51" s="266" t="s">
        <v>222</v>
      </c>
      <c r="I51" s="266">
        <v>990719816</v>
      </c>
      <c r="J51" s="266" t="s">
        <v>283</v>
      </c>
      <c r="K51" s="298">
        <v>46121</v>
      </c>
      <c r="L51" s="266" t="s">
        <v>458</v>
      </c>
      <c r="M51" s="266" t="s">
        <v>260</v>
      </c>
      <c r="N51" s="43" t="s">
        <v>241</v>
      </c>
      <c r="O51" s="956">
        <v>46134</v>
      </c>
      <c r="P51" s="266"/>
      <c r="Q51" s="266" t="s">
        <v>2708</v>
      </c>
      <c r="R51" s="12"/>
      <c r="S51" s="12"/>
      <c r="T51" s="12"/>
      <c r="U51" s="12"/>
      <c r="V51" s="12"/>
      <c r="W51" s="12"/>
      <c r="X51" s="12"/>
      <c r="Y51" s="12"/>
      <c r="Z51" s="12"/>
      <c r="AA51" s="12"/>
    </row>
    <row r="52" spans="1:27" ht="15" customHeight="1">
      <c r="A52" s="266"/>
      <c r="B52" s="320">
        <v>50</v>
      </c>
      <c r="C52" s="266">
        <v>91752</v>
      </c>
      <c r="D52" s="269">
        <v>40399023</v>
      </c>
      <c r="E52" s="672" t="s">
        <v>4928</v>
      </c>
      <c r="F52" s="266">
        <v>46</v>
      </c>
      <c r="G52" s="266" t="s">
        <v>4929</v>
      </c>
      <c r="H52" s="266" t="s">
        <v>4930</v>
      </c>
      <c r="I52" s="266">
        <v>946413930</v>
      </c>
      <c r="J52" s="266" t="s">
        <v>1209</v>
      </c>
      <c r="K52" s="298">
        <v>46121</v>
      </c>
      <c r="L52" s="266" t="s">
        <v>458</v>
      </c>
      <c r="M52" s="266" t="s">
        <v>260</v>
      </c>
      <c r="N52" s="43" t="s">
        <v>241</v>
      </c>
      <c r="O52" s="956">
        <v>46134</v>
      </c>
      <c r="P52" s="266"/>
      <c r="Q52" s="266" t="s">
        <v>2708</v>
      </c>
      <c r="R52" s="12"/>
      <c r="S52" s="12"/>
      <c r="T52" s="12"/>
      <c r="U52" s="12"/>
      <c r="V52" s="12"/>
      <c r="W52" s="12"/>
      <c r="X52" s="12"/>
      <c r="Y52" s="12"/>
      <c r="Z52" s="12"/>
      <c r="AA52" s="12"/>
    </row>
    <row r="53" spans="1:27" ht="15" customHeight="1">
      <c r="A53" s="206"/>
      <c r="B53" s="320">
        <v>51</v>
      </c>
      <c r="C53" s="43">
        <v>179819</v>
      </c>
      <c r="D53" s="244">
        <v>15744821</v>
      </c>
      <c r="E53" s="973" t="s">
        <v>4931</v>
      </c>
      <c r="F53" s="43">
        <v>51</v>
      </c>
      <c r="G53" s="43" t="s">
        <v>4932</v>
      </c>
      <c r="H53" s="987" t="s">
        <v>1860</v>
      </c>
      <c r="I53" s="43">
        <v>9570578163</v>
      </c>
      <c r="J53" s="43" t="s">
        <v>238</v>
      </c>
      <c r="K53" s="298">
        <v>46121</v>
      </c>
      <c r="L53" s="955" t="s">
        <v>4933</v>
      </c>
      <c r="M53" s="266" t="s">
        <v>312</v>
      </c>
      <c r="N53" s="266" t="s">
        <v>317</v>
      </c>
      <c r="O53" s="1055" t="s">
        <v>4934</v>
      </c>
      <c r="P53" s="43"/>
      <c r="Q53" s="266" t="s">
        <v>2708</v>
      </c>
      <c r="R53" s="12"/>
      <c r="S53" s="12"/>
      <c r="T53" s="12"/>
      <c r="U53" s="12"/>
      <c r="V53" s="12"/>
      <c r="W53" s="12"/>
      <c r="X53" s="12"/>
      <c r="Y53" s="12"/>
      <c r="Z53" s="12"/>
      <c r="AA53" s="12"/>
    </row>
    <row r="54" spans="1:27" ht="15" customHeight="1">
      <c r="A54" s="266"/>
      <c r="B54" s="320">
        <v>52</v>
      </c>
      <c r="C54" s="266">
        <v>16459</v>
      </c>
      <c r="D54" s="269">
        <v>15647064</v>
      </c>
      <c r="E54" s="672" t="s">
        <v>4935</v>
      </c>
      <c r="F54" s="266">
        <v>61</v>
      </c>
      <c r="G54" s="266" t="s">
        <v>4936</v>
      </c>
      <c r="H54" s="266" t="s">
        <v>222</v>
      </c>
      <c r="I54" s="266">
        <v>987043560</v>
      </c>
      <c r="J54" s="266" t="s">
        <v>223</v>
      </c>
      <c r="K54" s="298">
        <v>46121</v>
      </c>
      <c r="L54" s="266" t="s">
        <v>4937</v>
      </c>
      <c r="M54" s="266" t="s">
        <v>312</v>
      </c>
      <c r="N54" s="266" t="s">
        <v>317</v>
      </c>
      <c r="O54" s="1055" t="s">
        <v>4934</v>
      </c>
      <c r="P54" s="244"/>
      <c r="Q54" s="266" t="s">
        <v>2708</v>
      </c>
      <c r="R54" s="12"/>
      <c r="S54" s="12"/>
      <c r="T54" s="12"/>
      <c r="U54" s="12"/>
      <c r="V54" s="12"/>
      <c r="W54" s="12"/>
      <c r="X54" s="12"/>
      <c r="Y54" s="12"/>
      <c r="Z54" s="12"/>
      <c r="AA54" s="12"/>
    </row>
    <row r="55" spans="1:27" ht="15" customHeight="1">
      <c r="A55" s="206"/>
      <c r="B55" s="320">
        <v>53</v>
      </c>
      <c r="C55" s="43">
        <v>52421</v>
      </c>
      <c r="D55" s="244">
        <v>15732931</v>
      </c>
      <c r="E55" s="973" t="s">
        <v>4938</v>
      </c>
      <c r="F55" s="43">
        <v>51</v>
      </c>
      <c r="G55" s="43" t="s">
        <v>4939</v>
      </c>
      <c r="H55" s="43" t="s">
        <v>301</v>
      </c>
      <c r="I55" s="43">
        <v>993985051</v>
      </c>
      <c r="J55" s="43" t="s">
        <v>238</v>
      </c>
      <c r="K55" s="298">
        <v>46121</v>
      </c>
      <c r="L55" s="955" t="s">
        <v>4940</v>
      </c>
      <c r="M55" s="266" t="s">
        <v>312</v>
      </c>
      <c r="N55" s="43" t="s">
        <v>241</v>
      </c>
      <c r="O55" s="1055" t="s">
        <v>4934</v>
      </c>
      <c r="P55" s="43"/>
      <c r="Q55" s="266" t="s">
        <v>4197</v>
      </c>
      <c r="R55" s="12"/>
      <c r="S55" s="12"/>
      <c r="T55" s="12"/>
      <c r="U55" s="12"/>
      <c r="V55" s="12"/>
      <c r="W55" s="12"/>
      <c r="X55" s="12"/>
      <c r="Y55" s="12"/>
      <c r="Z55" s="12"/>
      <c r="AA55" s="12"/>
    </row>
    <row r="56" spans="1:27" ht="15" customHeight="1">
      <c r="A56" s="267"/>
      <c r="B56" s="320">
        <v>54</v>
      </c>
      <c r="C56" s="267">
        <v>252143</v>
      </c>
      <c r="D56" s="974">
        <v>41036414</v>
      </c>
      <c r="E56" s="975" t="s">
        <v>306</v>
      </c>
      <c r="F56" s="267">
        <v>45</v>
      </c>
      <c r="G56" s="267" t="s">
        <v>4941</v>
      </c>
      <c r="H56" s="267" t="s">
        <v>307</v>
      </c>
      <c r="I56" s="267">
        <v>938623394</v>
      </c>
      <c r="J56" s="132" t="s">
        <v>238</v>
      </c>
      <c r="K56" s="299">
        <v>46121</v>
      </c>
      <c r="L56" s="267" t="s">
        <v>308</v>
      </c>
      <c r="M56" s="267" t="s">
        <v>225</v>
      </c>
      <c r="N56" s="132" t="s">
        <v>241</v>
      </c>
      <c r="O56" s="967">
        <v>46122</v>
      </c>
      <c r="P56" s="267"/>
      <c r="Q56" s="267"/>
      <c r="R56" s="12"/>
      <c r="S56" s="12"/>
      <c r="T56" s="12"/>
      <c r="U56" s="12"/>
      <c r="V56" s="12"/>
      <c r="W56" s="12"/>
      <c r="X56" s="12"/>
      <c r="Y56" s="12"/>
      <c r="Z56" s="12"/>
      <c r="AA56" s="12"/>
    </row>
    <row r="57" spans="1:27" ht="15" customHeight="1">
      <c r="A57" s="266"/>
      <c r="B57" s="320">
        <v>55</v>
      </c>
      <c r="C57" s="266">
        <v>132054</v>
      </c>
      <c r="D57" s="269">
        <v>43206867</v>
      </c>
      <c r="E57" s="672" t="s">
        <v>4942</v>
      </c>
      <c r="F57" s="266">
        <v>40</v>
      </c>
      <c r="G57" s="266" t="s">
        <v>4943</v>
      </c>
      <c r="H57" s="266" t="s">
        <v>222</v>
      </c>
      <c r="I57" s="266">
        <v>922285192</v>
      </c>
      <c r="J57" s="266" t="s">
        <v>283</v>
      </c>
      <c r="K57" s="298">
        <v>46121</v>
      </c>
      <c r="L57" s="266" t="s">
        <v>2194</v>
      </c>
      <c r="M57" s="266" t="s">
        <v>230</v>
      </c>
      <c r="N57" s="266" t="s">
        <v>1795</v>
      </c>
      <c r="O57" s="956">
        <v>46127</v>
      </c>
      <c r="P57" s="266"/>
      <c r="Q57" s="266" t="s">
        <v>4944</v>
      </c>
      <c r="R57" s="12"/>
      <c r="S57" s="12"/>
      <c r="T57" s="12"/>
      <c r="U57" s="12"/>
      <c r="V57" s="12"/>
      <c r="W57" s="12"/>
      <c r="X57" s="12"/>
      <c r="Y57" s="12"/>
      <c r="Z57" s="12"/>
      <c r="AA57" s="12"/>
    </row>
    <row r="58" spans="1:27" ht="15" customHeight="1">
      <c r="A58" s="266"/>
      <c r="B58" s="320">
        <v>56</v>
      </c>
      <c r="C58" s="266">
        <v>498707</v>
      </c>
      <c r="D58" s="269">
        <v>41269947</v>
      </c>
      <c r="E58" s="672" t="s">
        <v>4945</v>
      </c>
      <c r="F58" s="266">
        <v>44</v>
      </c>
      <c r="G58" s="266" t="s">
        <v>4946</v>
      </c>
      <c r="H58" s="266" t="s">
        <v>237</v>
      </c>
      <c r="I58" s="266">
        <v>984962661</v>
      </c>
      <c r="J58" s="266" t="s">
        <v>347</v>
      </c>
      <c r="K58" s="298">
        <v>46121</v>
      </c>
      <c r="L58" s="266" t="s">
        <v>1713</v>
      </c>
      <c r="M58" s="266" t="s">
        <v>230</v>
      </c>
      <c r="N58" s="43" t="s">
        <v>241</v>
      </c>
      <c r="O58" s="448">
        <v>46123</v>
      </c>
      <c r="P58" s="266"/>
      <c r="Q58" s="266" t="s">
        <v>4947</v>
      </c>
      <c r="R58" s="12"/>
      <c r="S58" s="12"/>
      <c r="T58" s="12"/>
      <c r="U58" s="12"/>
      <c r="V58" s="12"/>
      <c r="W58" s="12"/>
      <c r="X58" s="12"/>
      <c r="Y58" s="12"/>
      <c r="Z58" s="12"/>
      <c r="AA58" s="12"/>
    </row>
    <row r="59" spans="1:27" ht="15" customHeight="1">
      <c r="A59" s="266"/>
      <c r="B59" s="320">
        <v>57</v>
      </c>
      <c r="C59" s="266">
        <v>81542</v>
      </c>
      <c r="D59" s="269">
        <v>10055605</v>
      </c>
      <c r="E59" s="672" t="s">
        <v>4948</v>
      </c>
      <c r="F59" s="266">
        <v>50</v>
      </c>
      <c r="G59" s="266" t="s">
        <v>4949</v>
      </c>
      <c r="H59" s="266" t="s">
        <v>237</v>
      </c>
      <c r="I59" s="266">
        <v>990250911</v>
      </c>
      <c r="J59" s="266" t="s">
        <v>238</v>
      </c>
      <c r="K59" s="298">
        <v>46121</v>
      </c>
      <c r="L59" s="266" t="s">
        <v>679</v>
      </c>
      <c r="M59" s="266" t="s">
        <v>230</v>
      </c>
      <c r="N59" s="266" t="s">
        <v>317</v>
      </c>
      <c r="O59" s="954">
        <v>46122</v>
      </c>
      <c r="P59" s="266"/>
      <c r="Q59" s="266"/>
      <c r="R59" s="12"/>
      <c r="S59" s="12"/>
      <c r="T59" s="12"/>
      <c r="U59" s="12"/>
      <c r="V59" s="12"/>
      <c r="W59" s="12"/>
      <c r="X59" s="12"/>
      <c r="Y59" s="12"/>
      <c r="Z59" s="12"/>
      <c r="AA59" s="12"/>
    </row>
    <row r="60" spans="1:27" ht="15" customHeight="1">
      <c r="A60" s="266"/>
      <c r="B60" s="320">
        <v>58</v>
      </c>
      <c r="C60" s="266">
        <v>96534</v>
      </c>
      <c r="D60" s="269">
        <v>40511345</v>
      </c>
      <c r="E60" s="672" t="s">
        <v>4950</v>
      </c>
      <c r="F60" s="266">
        <v>46</v>
      </c>
      <c r="G60" s="266" t="s">
        <v>4951</v>
      </c>
      <c r="H60" s="266" t="s">
        <v>278</v>
      </c>
      <c r="I60" s="266">
        <v>967817654</v>
      </c>
      <c r="J60" s="266" t="s">
        <v>238</v>
      </c>
      <c r="K60" s="298">
        <v>46121</v>
      </c>
      <c r="L60" s="266" t="s">
        <v>4952</v>
      </c>
      <c r="M60" s="266" t="s">
        <v>260</v>
      </c>
      <c r="N60" s="43" t="s">
        <v>241</v>
      </c>
      <c r="O60" s="954">
        <v>46123</v>
      </c>
      <c r="P60" s="266"/>
      <c r="Q60" s="266"/>
      <c r="R60" s="12"/>
      <c r="S60" s="12"/>
      <c r="T60" s="12"/>
      <c r="U60" s="12"/>
      <c r="V60" s="12"/>
      <c r="W60" s="12"/>
      <c r="X60" s="12"/>
      <c r="Y60" s="12"/>
      <c r="Z60" s="12"/>
      <c r="AA60" s="12"/>
    </row>
    <row r="61" spans="1:27" ht="15" customHeight="1">
      <c r="A61" s="206"/>
      <c r="B61" s="320">
        <v>59</v>
      </c>
      <c r="C61" s="43">
        <v>216572</v>
      </c>
      <c r="D61" s="244">
        <v>15204685</v>
      </c>
      <c r="E61" s="973" t="s">
        <v>4953</v>
      </c>
      <c r="F61" s="43">
        <v>56</v>
      </c>
      <c r="G61" s="43" t="s">
        <v>4954</v>
      </c>
      <c r="H61" s="43" t="s">
        <v>246</v>
      </c>
      <c r="I61" s="43">
        <v>900753994</v>
      </c>
      <c r="J61" s="43" t="s">
        <v>746</v>
      </c>
      <c r="K61" s="298">
        <v>46121</v>
      </c>
      <c r="L61" s="266" t="s">
        <v>2194</v>
      </c>
      <c r="M61" s="266" t="s">
        <v>230</v>
      </c>
      <c r="N61" s="266" t="s">
        <v>1795</v>
      </c>
      <c r="O61" s="448">
        <v>46127</v>
      </c>
      <c r="P61" s="244"/>
      <c r="Q61" s="242" t="s">
        <v>4955</v>
      </c>
      <c r="R61" s="12"/>
      <c r="S61" s="12"/>
      <c r="T61" s="12"/>
      <c r="U61" s="12"/>
      <c r="V61" s="12"/>
      <c r="W61" s="12"/>
      <c r="X61" s="12"/>
      <c r="Y61" s="12"/>
      <c r="Z61" s="12"/>
      <c r="AA61" s="12"/>
    </row>
    <row r="62" spans="1:27" ht="15" customHeight="1">
      <c r="A62" s="266"/>
      <c r="B62" s="320">
        <v>60</v>
      </c>
      <c r="C62" s="266">
        <v>146405</v>
      </c>
      <c r="D62" s="269">
        <v>15582711</v>
      </c>
      <c r="E62" s="672" t="s">
        <v>4956</v>
      </c>
      <c r="F62" s="266">
        <v>65</v>
      </c>
      <c r="G62" s="266" t="s">
        <v>4957</v>
      </c>
      <c r="H62" s="266" t="s">
        <v>237</v>
      </c>
      <c r="I62" s="266">
        <v>985112248</v>
      </c>
      <c r="J62" s="266" t="s">
        <v>347</v>
      </c>
      <c r="K62" s="298">
        <v>46121</v>
      </c>
      <c r="L62" s="266" t="s">
        <v>458</v>
      </c>
      <c r="M62" s="266" t="s">
        <v>260</v>
      </c>
      <c r="N62" s="43" t="s">
        <v>241</v>
      </c>
      <c r="O62" s="448">
        <v>46123</v>
      </c>
      <c r="P62" s="266"/>
      <c r="Q62" s="266" t="s">
        <v>4947</v>
      </c>
      <c r="R62" s="12"/>
      <c r="S62" s="12"/>
      <c r="T62" s="12"/>
      <c r="U62" s="12"/>
      <c r="V62" s="12"/>
      <c r="W62" s="12"/>
      <c r="X62" s="12"/>
      <c r="Y62" s="12"/>
      <c r="Z62" s="12"/>
      <c r="AA62" s="12"/>
    </row>
    <row r="63" spans="1:27" ht="15" customHeight="1">
      <c r="A63" s="266"/>
      <c r="B63" s="320">
        <v>61</v>
      </c>
      <c r="C63" s="266">
        <v>157795</v>
      </c>
      <c r="D63" s="269">
        <v>31921885</v>
      </c>
      <c r="E63" s="672" t="s">
        <v>4958</v>
      </c>
      <c r="F63" s="266">
        <v>59</v>
      </c>
      <c r="G63" s="266" t="s">
        <v>4959</v>
      </c>
      <c r="H63" s="266" t="s">
        <v>278</v>
      </c>
      <c r="I63" s="266">
        <v>993615275</v>
      </c>
      <c r="J63" s="266" t="s">
        <v>384</v>
      </c>
      <c r="K63" s="298">
        <v>46121</v>
      </c>
      <c r="L63" s="266" t="s">
        <v>679</v>
      </c>
      <c r="M63" s="266" t="s">
        <v>230</v>
      </c>
      <c r="N63" s="266" t="s">
        <v>317</v>
      </c>
      <c r="O63" s="956">
        <v>46127</v>
      </c>
      <c r="P63" s="266"/>
      <c r="Q63" s="266" t="s">
        <v>4887</v>
      </c>
      <c r="R63" s="12"/>
      <c r="S63" s="12"/>
      <c r="T63" s="12"/>
      <c r="U63" s="12"/>
      <c r="V63" s="12"/>
      <c r="W63" s="12"/>
      <c r="X63" s="12"/>
      <c r="Y63" s="12"/>
      <c r="Z63" s="12"/>
      <c r="AA63" s="12"/>
    </row>
    <row r="64" spans="1:27" ht="15" customHeight="1">
      <c r="A64" s="206"/>
      <c r="B64" s="320">
        <v>62</v>
      </c>
      <c r="C64" s="43">
        <v>121556</v>
      </c>
      <c r="D64" s="244">
        <v>40839702</v>
      </c>
      <c r="E64" s="973" t="s">
        <v>4960</v>
      </c>
      <c r="F64" s="43">
        <v>45</v>
      </c>
      <c r="G64" s="43" t="s">
        <v>4961</v>
      </c>
      <c r="H64" s="43" t="s">
        <v>222</v>
      </c>
      <c r="I64" s="43">
        <v>969693243</v>
      </c>
      <c r="J64" s="43" t="s">
        <v>223</v>
      </c>
      <c r="K64" s="298">
        <v>46121</v>
      </c>
      <c r="L64" s="955" t="s">
        <v>458</v>
      </c>
      <c r="M64" s="266" t="s">
        <v>260</v>
      </c>
      <c r="N64" s="43" t="s">
        <v>241</v>
      </c>
      <c r="O64" s="956">
        <v>46123</v>
      </c>
      <c r="P64" s="244"/>
      <c r="Q64" s="266" t="s">
        <v>4962</v>
      </c>
      <c r="R64" s="12"/>
      <c r="S64" s="12"/>
      <c r="T64" s="12"/>
      <c r="U64" s="12"/>
      <c r="V64" s="12"/>
      <c r="W64" s="12"/>
      <c r="X64" s="12"/>
      <c r="Y64" s="12"/>
      <c r="Z64" s="12"/>
      <c r="AA64" s="12"/>
    </row>
    <row r="65" spans="1:27" ht="15" customHeight="1">
      <c r="A65" s="271"/>
      <c r="B65" s="320">
        <v>63</v>
      </c>
      <c r="C65" s="43">
        <v>85087</v>
      </c>
      <c r="D65" s="244">
        <v>40224927</v>
      </c>
      <c r="E65" s="973" t="s">
        <v>4963</v>
      </c>
      <c r="F65" s="43">
        <v>48</v>
      </c>
      <c r="G65" s="43" t="s">
        <v>4964</v>
      </c>
      <c r="H65" s="43" t="s">
        <v>222</v>
      </c>
      <c r="I65" s="43">
        <v>982903606</v>
      </c>
      <c r="J65" s="43" t="s">
        <v>238</v>
      </c>
      <c r="K65" s="298">
        <v>46121</v>
      </c>
      <c r="L65" s="955" t="s">
        <v>4965</v>
      </c>
      <c r="M65" s="266" t="s">
        <v>323</v>
      </c>
      <c r="N65" s="43" t="s">
        <v>241</v>
      </c>
      <c r="O65" s="954">
        <v>46122</v>
      </c>
      <c r="P65" s="244"/>
      <c r="Q65" s="242"/>
      <c r="R65" s="12"/>
      <c r="S65" s="12"/>
      <c r="T65" s="12"/>
      <c r="U65" s="12"/>
      <c r="V65" s="12"/>
      <c r="W65" s="12"/>
      <c r="X65" s="12"/>
      <c r="Y65" s="12"/>
      <c r="Z65" s="12"/>
      <c r="AA65" s="12"/>
    </row>
    <row r="66" spans="1:27" ht="15" customHeight="1">
      <c r="A66" s="262" t="s">
        <v>513</v>
      </c>
      <c r="B66" s="320">
        <v>64</v>
      </c>
      <c r="C66" s="43">
        <v>245162</v>
      </c>
      <c r="D66" s="43">
        <v>19421381</v>
      </c>
      <c r="E66" s="648" t="s">
        <v>4966</v>
      </c>
      <c r="F66" s="43">
        <v>58</v>
      </c>
      <c r="G66" s="43" t="s">
        <v>4967</v>
      </c>
      <c r="H66" s="43" t="s">
        <v>1581</v>
      </c>
      <c r="I66" s="43">
        <v>983379833</v>
      </c>
      <c r="J66" s="43" t="s">
        <v>384</v>
      </c>
      <c r="K66" s="298">
        <v>46121</v>
      </c>
      <c r="L66" s="955" t="s">
        <v>4968</v>
      </c>
      <c r="M66" s="266" t="s">
        <v>312</v>
      </c>
      <c r="N66" s="43" t="s">
        <v>241</v>
      </c>
      <c r="O66" s="956">
        <v>46127</v>
      </c>
      <c r="P66" s="266"/>
      <c r="Q66" s="266" t="s">
        <v>4887</v>
      </c>
      <c r="R66" s="12"/>
      <c r="S66" s="12"/>
      <c r="T66" s="12"/>
      <c r="U66" s="12"/>
      <c r="V66" s="12"/>
      <c r="W66" s="12"/>
      <c r="X66" s="12"/>
      <c r="Y66" s="12"/>
      <c r="Z66" s="12"/>
      <c r="AA66" s="12"/>
    </row>
    <row r="67" spans="1:27" ht="15" customHeight="1">
      <c r="A67" s="266"/>
      <c r="B67" s="320">
        <v>65</v>
      </c>
      <c r="C67" s="266">
        <v>128297</v>
      </c>
      <c r="D67" s="266">
        <v>44633196</v>
      </c>
      <c r="E67" s="669" t="s">
        <v>4969</v>
      </c>
      <c r="F67" s="266">
        <v>41</v>
      </c>
      <c r="G67" s="266" t="s">
        <v>4970</v>
      </c>
      <c r="H67" s="266" t="s">
        <v>301</v>
      </c>
      <c r="I67" s="266">
        <v>960608478</v>
      </c>
      <c r="J67" s="266" t="s">
        <v>380</v>
      </c>
      <c r="K67" s="298">
        <v>46121</v>
      </c>
      <c r="L67" s="266" t="s">
        <v>458</v>
      </c>
      <c r="M67" s="266" t="s">
        <v>260</v>
      </c>
      <c r="N67" s="43" t="s">
        <v>241</v>
      </c>
      <c r="O67" s="956">
        <v>46127</v>
      </c>
      <c r="P67" s="266"/>
      <c r="Q67" s="266" t="s">
        <v>4971</v>
      </c>
      <c r="R67" s="12"/>
      <c r="S67" s="12"/>
      <c r="T67" s="12"/>
      <c r="U67" s="12"/>
      <c r="V67" s="12"/>
      <c r="W67" s="12"/>
      <c r="X67" s="12"/>
      <c r="Y67" s="12"/>
      <c r="Z67" s="12"/>
      <c r="AA67" s="12"/>
    </row>
    <row r="68" spans="1:27" ht="15" customHeight="1">
      <c r="A68" s="266"/>
      <c r="B68" s="320">
        <v>66</v>
      </c>
      <c r="C68" s="266">
        <v>112199</v>
      </c>
      <c r="D68" s="266">
        <v>43309582</v>
      </c>
      <c r="E68" s="669" t="s">
        <v>4972</v>
      </c>
      <c r="F68" s="266">
        <v>44</v>
      </c>
      <c r="G68" s="266" t="s">
        <v>4973</v>
      </c>
      <c r="H68" s="266" t="s">
        <v>4056</v>
      </c>
      <c r="I68" s="266">
        <v>916369849</v>
      </c>
      <c r="J68" s="266" t="s">
        <v>742</v>
      </c>
      <c r="K68" s="298">
        <v>46121</v>
      </c>
      <c r="L68" s="266" t="s">
        <v>4974</v>
      </c>
      <c r="M68" s="266" t="s">
        <v>260</v>
      </c>
      <c r="N68" s="43" t="s">
        <v>241</v>
      </c>
      <c r="O68" s="956">
        <v>46123</v>
      </c>
      <c r="P68" s="266"/>
      <c r="Q68" s="266" t="s">
        <v>4131</v>
      </c>
      <c r="R68" s="12"/>
      <c r="S68" s="12"/>
      <c r="T68" s="12"/>
      <c r="U68" s="12"/>
      <c r="V68" s="12"/>
      <c r="W68" s="12"/>
      <c r="X68" s="12"/>
      <c r="Y68" s="12"/>
      <c r="Z68" s="12"/>
      <c r="AA68" s="12"/>
    </row>
    <row r="69" spans="1:27" ht="15" customHeight="1">
      <c r="A69" s="266"/>
      <c r="B69" s="320">
        <v>67</v>
      </c>
      <c r="C69" s="266">
        <v>274116</v>
      </c>
      <c r="D69" s="266">
        <v>41878402</v>
      </c>
      <c r="E69" s="669" t="s">
        <v>4975</v>
      </c>
      <c r="F69" s="266">
        <v>43</v>
      </c>
      <c r="G69" s="266" t="s">
        <v>4976</v>
      </c>
      <c r="H69" s="266" t="s">
        <v>222</v>
      </c>
      <c r="I69" s="266">
        <v>986606999</v>
      </c>
      <c r="J69" s="266" t="s">
        <v>223</v>
      </c>
      <c r="K69" s="298">
        <v>46121</v>
      </c>
      <c r="L69" s="266" t="s">
        <v>4977</v>
      </c>
      <c r="M69" s="266" t="s">
        <v>260</v>
      </c>
      <c r="N69" s="43" t="s">
        <v>241</v>
      </c>
      <c r="O69" s="956">
        <v>46123</v>
      </c>
      <c r="P69" s="266"/>
      <c r="Q69" s="266" t="s">
        <v>4962</v>
      </c>
      <c r="R69" s="12"/>
      <c r="S69" s="12"/>
      <c r="T69" s="12"/>
      <c r="U69" s="12"/>
      <c r="V69" s="12"/>
      <c r="W69" s="12"/>
      <c r="X69" s="12"/>
      <c r="Y69" s="12"/>
      <c r="Z69" s="12"/>
      <c r="AA69" s="12"/>
    </row>
    <row r="70" spans="1:27" ht="15" customHeight="1">
      <c r="A70" s="206"/>
      <c r="B70" s="320">
        <v>68</v>
      </c>
      <c r="C70" s="43">
        <v>477629</v>
      </c>
      <c r="D70" s="43">
        <v>17896988</v>
      </c>
      <c r="E70" s="244" t="s">
        <v>4978</v>
      </c>
      <c r="F70" s="43">
        <v>41</v>
      </c>
      <c r="G70" s="43" t="s">
        <v>4979</v>
      </c>
      <c r="H70" s="43" t="s">
        <v>278</v>
      </c>
      <c r="I70" s="43">
        <v>917983899</v>
      </c>
      <c r="J70" s="43" t="s">
        <v>238</v>
      </c>
      <c r="K70" s="298">
        <v>46121</v>
      </c>
      <c r="L70" s="955" t="s">
        <v>4980</v>
      </c>
      <c r="M70" s="266" t="s">
        <v>260</v>
      </c>
      <c r="N70" s="43" t="s">
        <v>241</v>
      </c>
      <c r="O70" s="954">
        <v>46129</v>
      </c>
      <c r="P70" s="244"/>
      <c r="Q70" s="242"/>
      <c r="R70" s="242" t="s">
        <v>4981</v>
      </c>
      <c r="S70" s="12"/>
      <c r="T70" s="12"/>
      <c r="U70" s="12"/>
      <c r="V70" s="12"/>
      <c r="W70" s="12"/>
      <c r="X70" s="12"/>
      <c r="Y70" s="12"/>
      <c r="Z70" s="12"/>
      <c r="AA70" s="12"/>
    </row>
    <row r="71" spans="1:27" ht="15" customHeight="1">
      <c r="A71" s="206"/>
      <c r="B71" s="320">
        <v>69</v>
      </c>
      <c r="C71" s="43">
        <v>156455</v>
      </c>
      <c r="D71" s="43">
        <v>15962732</v>
      </c>
      <c r="E71" s="648" t="s">
        <v>4982</v>
      </c>
      <c r="F71" s="43">
        <v>161</v>
      </c>
      <c r="G71" s="43" t="s">
        <v>4983</v>
      </c>
      <c r="H71" s="43" t="s">
        <v>237</v>
      </c>
      <c r="I71" s="43">
        <v>977176405</v>
      </c>
      <c r="J71" s="43" t="s">
        <v>238</v>
      </c>
      <c r="K71" s="298">
        <v>46121</v>
      </c>
      <c r="L71" s="955" t="s">
        <v>4984</v>
      </c>
      <c r="M71" s="43" t="s">
        <v>323</v>
      </c>
      <c r="N71" s="43" t="s">
        <v>241</v>
      </c>
      <c r="O71" s="954">
        <v>46122</v>
      </c>
      <c r="P71" s="244"/>
      <c r="Q71" s="242"/>
      <c r="R71" s="12"/>
      <c r="S71" s="12"/>
      <c r="T71" s="12"/>
      <c r="U71" s="12"/>
      <c r="V71" s="12"/>
      <c r="W71" s="12"/>
      <c r="X71" s="12"/>
      <c r="Y71" s="12"/>
      <c r="Z71" s="12"/>
      <c r="AA71" s="12"/>
    </row>
    <row r="72" spans="1:27" ht="15" customHeight="1">
      <c r="A72" s="972">
        <v>46122</v>
      </c>
      <c r="B72" s="320">
        <v>70</v>
      </c>
      <c r="C72" s="266">
        <v>251115</v>
      </c>
      <c r="D72" s="957">
        <v>40976887</v>
      </c>
      <c r="E72" s="958" t="s">
        <v>4985</v>
      </c>
      <c r="F72" s="957">
        <v>49</v>
      </c>
      <c r="G72" s="266" t="s">
        <v>4986</v>
      </c>
      <c r="H72" s="266" t="s">
        <v>301</v>
      </c>
      <c r="I72" s="957">
        <v>970920891</v>
      </c>
      <c r="J72" s="957" t="s">
        <v>302</v>
      </c>
      <c r="K72" s="298">
        <v>46122</v>
      </c>
      <c r="L72" s="266" t="s">
        <v>4987</v>
      </c>
      <c r="M72" s="43" t="s">
        <v>312</v>
      </c>
      <c r="N72" s="43" t="s">
        <v>241</v>
      </c>
      <c r="O72" s="956">
        <v>46127</v>
      </c>
      <c r="P72" s="266"/>
      <c r="Q72" s="266" t="s">
        <v>4988</v>
      </c>
      <c r="R72" s="12"/>
      <c r="S72" s="12"/>
      <c r="T72" s="12"/>
      <c r="U72" s="12"/>
      <c r="V72" s="12"/>
      <c r="W72" s="12"/>
      <c r="X72" s="12"/>
      <c r="Y72" s="12"/>
      <c r="Z72" s="12"/>
      <c r="AA72" s="12"/>
    </row>
    <row r="73" spans="1:27" ht="15" customHeight="1">
      <c r="A73" s="266"/>
      <c r="B73" s="320">
        <v>71</v>
      </c>
      <c r="C73" s="266">
        <v>57951</v>
      </c>
      <c r="D73" s="957">
        <v>15762067</v>
      </c>
      <c r="E73" s="958" t="s">
        <v>4989</v>
      </c>
      <c r="F73" s="957">
        <v>50</v>
      </c>
      <c r="G73" s="266" t="s">
        <v>4990</v>
      </c>
      <c r="H73" s="266" t="s">
        <v>301</v>
      </c>
      <c r="I73" s="957">
        <v>933318091</v>
      </c>
      <c r="J73" s="957" t="s">
        <v>1905</v>
      </c>
      <c r="K73" s="298">
        <v>46122</v>
      </c>
      <c r="L73" s="266" t="s">
        <v>1156</v>
      </c>
      <c r="M73" s="43" t="s">
        <v>230</v>
      </c>
      <c r="N73" s="43" t="s">
        <v>241</v>
      </c>
      <c r="O73" s="956">
        <v>46127</v>
      </c>
      <c r="P73" s="266"/>
      <c r="Q73" s="266" t="s">
        <v>4810</v>
      </c>
    </row>
    <row r="74" spans="1:27" ht="15" customHeight="1">
      <c r="A74" s="266"/>
      <c r="B74" s="320">
        <v>72</v>
      </c>
      <c r="C74" s="266">
        <v>388187</v>
      </c>
      <c r="D74" s="266">
        <v>32269223</v>
      </c>
      <c r="E74" s="669" t="s">
        <v>4991</v>
      </c>
      <c r="F74" s="266">
        <v>61</v>
      </c>
      <c r="G74" s="266" t="s">
        <v>4992</v>
      </c>
      <c r="H74" s="266" t="s">
        <v>278</v>
      </c>
      <c r="I74" s="266">
        <v>994189664</v>
      </c>
      <c r="J74" s="266" t="s">
        <v>384</v>
      </c>
      <c r="K74" s="298">
        <v>46122</v>
      </c>
      <c r="L74" s="266" t="s">
        <v>1794</v>
      </c>
      <c r="M74" s="266" t="s">
        <v>312</v>
      </c>
      <c r="N74" s="43" t="s">
        <v>317</v>
      </c>
      <c r="O74" s="956">
        <v>46127</v>
      </c>
      <c r="P74" s="266"/>
      <c r="Q74" s="266" t="s">
        <v>4887</v>
      </c>
    </row>
    <row r="75" spans="1:27" ht="15" customHeight="1">
      <c r="A75" s="266"/>
      <c r="B75" s="320">
        <v>73</v>
      </c>
      <c r="C75" s="266">
        <v>255930</v>
      </c>
      <c r="D75" s="957">
        <v>41213171</v>
      </c>
      <c r="E75" s="958" t="s">
        <v>4993</v>
      </c>
      <c r="F75" s="957">
        <v>43</v>
      </c>
      <c r="G75" s="266" t="s">
        <v>4994</v>
      </c>
      <c r="H75" s="266" t="s">
        <v>222</v>
      </c>
      <c r="I75" s="957">
        <v>967403573</v>
      </c>
      <c r="J75" s="957" t="s">
        <v>223</v>
      </c>
      <c r="K75" s="298">
        <v>46122</v>
      </c>
      <c r="L75" s="266" t="s">
        <v>1156</v>
      </c>
      <c r="M75" s="43" t="s">
        <v>260</v>
      </c>
      <c r="N75" s="43" t="s">
        <v>241</v>
      </c>
      <c r="O75" s="956">
        <v>46127</v>
      </c>
      <c r="P75" s="266"/>
      <c r="Q75" s="266" t="s">
        <v>227</v>
      </c>
    </row>
    <row r="76" spans="1:27" ht="15" customHeight="1">
      <c r="A76" s="266"/>
      <c r="B76" s="320">
        <v>74</v>
      </c>
      <c r="C76" s="266">
        <v>191057</v>
      </c>
      <c r="D76" s="957">
        <v>40215531</v>
      </c>
      <c r="E76" s="958" t="s">
        <v>4995</v>
      </c>
      <c r="F76" s="957">
        <v>47</v>
      </c>
      <c r="G76" s="266" t="s">
        <v>4994</v>
      </c>
      <c r="H76" s="266" t="s">
        <v>222</v>
      </c>
      <c r="I76" s="957">
        <v>993898883</v>
      </c>
      <c r="J76" s="957" t="s">
        <v>223</v>
      </c>
      <c r="K76" s="298">
        <v>46122</v>
      </c>
      <c r="L76" s="266" t="s">
        <v>747</v>
      </c>
      <c r="M76" s="43" t="s">
        <v>230</v>
      </c>
      <c r="N76" s="43" t="s">
        <v>317</v>
      </c>
      <c r="O76" s="956">
        <v>46127</v>
      </c>
      <c r="P76" s="266"/>
      <c r="Q76" s="266" t="s">
        <v>227</v>
      </c>
    </row>
    <row r="77" spans="1:27" ht="15" customHeight="1">
      <c r="A77" s="266"/>
      <c r="B77" s="320">
        <v>75</v>
      </c>
      <c r="C77" s="266">
        <v>115220</v>
      </c>
      <c r="D77" s="266">
        <v>15652641</v>
      </c>
      <c r="E77" s="669" t="s">
        <v>4996</v>
      </c>
      <c r="F77" s="266">
        <v>61</v>
      </c>
      <c r="G77" s="266" t="s">
        <v>4997</v>
      </c>
      <c r="H77" s="266" t="s">
        <v>301</v>
      </c>
      <c r="I77" s="266" t="s">
        <v>4998</v>
      </c>
      <c r="J77" s="266" t="s">
        <v>1905</v>
      </c>
      <c r="K77" s="44">
        <v>46122</v>
      </c>
      <c r="L77" s="266" t="s">
        <v>1947</v>
      </c>
      <c r="M77" s="43" t="s">
        <v>230</v>
      </c>
      <c r="N77" s="43" t="s">
        <v>317</v>
      </c>
      <c r="O77" s="956">
        <v>46127</v>
      </c>
      <c r="P77" s="266"/>
      <c r="Q77" s="266" t="s">
        <v>4810</v>
      </c>
    </row>
    <row r="78" spans="1:27" ht="15" customHeight="1">
      <c r="A78" s="266"/>
      <c r="B78" s="320">
        <v>76</v>
      </c>
      <c r="C78" s="266">
        <v>179938</v>
      </c>
      <c r="D78" s="266">
        <v>43294369</v>
      </c>
      <c r="E78" s="669" t="s">
        <v>4999</v>
      </c>
      <c r="F78" s="266">
        <v>40</v>
      </c>
      <c r="G78" s="266" t="s">
        <v>4997</v>
      </c>
      <c r="H78" s="266" t="s">
        <v>301</v>
      </c>
      <c r="I78" s="266">
        <v>984127097</v>
      </c>
      <c r="J78" s="266" t="s">
        <v>1905</v>
      </c>
      <c r="K78" s="44">
        <v>46122</v>
      </c>
      <c r="L78" s="266" t="s">
        <v>5000</v>
      </c>
      <c r="M78" s="266" t="s">
        <v>260</v>
      </c>
      <c r="N78" s="266" t="s">
        <v>241</v>
      </c>
      <c r="O78" s="956">
        <v>46127</v>
      </c>
      <c r="P78" s="266"/>
      <c r="Q78" s="266" t="s">
        <v>4810</v>
      </c>
    </row>
    <row r="79" spans="1:27" ht="15" customHeight="1">
      <c r="A79" s="43"/>
      <c r="B79" s="320">
        <v>77</v>
      </c>
      <c r="C79" s="43">
        <v>524798</v>
      </c>
      <c r="D79" s="213">
        <v>15859697</v>
      </c>
      <c r="E79" s="976" t="s">
        <v>5001</v>
      </c>
      <c r="F79" s="213">
        <v>54</v>
      </c>
      <c r="G79" s="213" t="s">
        <v>5002</v>
      </c>
      <c r="H79" s="213" t="s">
        <v>2724</v>
      </c>
      <c r="I79" s="213">
        <v>917060365</v>
      </c>
      <c r="J79" s="213" t="s">
        <v>175</v>
      </c>
      <c r="K79" s="44">
        <v>46122</v>
      </c>
      <c r="L79" s="43" t="s">
        <v>584</v>
      </c>
      <c r="M79" s="43" t="s">
        <v>230</v>
      </c>
      <c r="N79" s="43" t="s">
        <v>241</v>
      </c>
      <c r="O79" s="954">
        <v>46125</v>
      </c>
      <c r="P79" s="43"/>
      <c r="Q79" s="266" t="s">
        <v>4851</v>
      </c>
    </row>
    <row r="80" spans="1:27" ht="15" customHeight="1">
      <c r="A80" s="206"/>
      <c r="B80" s="320">
        <v>78</v>
      </c>
      <c r="C80" s="43">
        <v>22476</v>
      </c>
      <c r="D80" s="43">
        <v>15731816</v>
      </c>
      <c r="E80" s="648" t="s">
        <v>5003</v>
      </c>
      <c r="F80" s="43">
        <v>53</v>
      </c>
      <c r="G80" s="43" t="s">
        <v>5004</v>
      </c>
      <c r="H80" s="43" t="s">
        <v>301</v>
      </c>
      <c r="I80" s="43" t="s">
        <v>5005</v>
      </c>
      <c r="J80" s="43" t="s">
        <v>238</v>
      </c>
      <c r="K80" s="44">
        <v>46122</v>
      </c>
      <c r="L80" s="955" t="s">
        <v>576</v>
      </c>
      <c r="M80" s="43" t="s">
        <v>230</v>
      </c>
      <c r="N80" s="43" t="s">
        <v>241</v>
      </c>
      <c r="O80" s="954">
        <v>46125</v>
      </c>
      <c r="P80" s="244"/>
      <c r="Q80" s="242"/>
    </row>
    <row r="81" spans="1:18" ht="15" customHeight="1">
      <c r="A81" s="968" t="s">
        <v>513</v>
      </c>
      <c r="B81" s="320">
        <v>79</v>
      </c>
      <c r="C81" s="266">
        <v>94396</v>
      </c>
      <c r="D81" s="665">
        <v>15744743</v>
      </c>
      <c r="E81" s="663" t="s">
        <v>5006</v>
      </c>
      <c r="F81" s="266">
        <v>60</v>
      </c>
      <c r="G81" s="266" t="s">
        <v>5007</v>
      </c>
      <c r="H81" s="665" t="s">
        <v>301</v>
      </c>
      <c r="I81" s="665">
        <v>942056726</v>
      </c>
      <c r="J81" s="266" t="s">
        <v>380</v>
      </c>
      <c r="K81" s="298">
        <v>46122</v>
      </c>
      <c r="L81" s="266" t="s">
        <v>2865</v>
      </c>
      <c r="M81" s="266" t="s">
        <v>260</v>
      </c>
      <c r="N81" s="43" t="s">
        <v>241</v>
      </c>
      <c r="O81" s="956">
        <v>46127</v>
      </c>
      <c r="P81" s="266"/>
      <c r="Q81" s="266" t="s">
        <v>4971</v>
      </c>
    </row>
    <row r="82" spans="1:18" ht="15" customHeight="1">
      <c r="A82" s="266"/>
      <c r="B82" s="320">
        <v>80</v>
      </c>
      <c r="C82" s="266">
        <v>365511</v>
      </c>
      <c r="D82" s="266">
        <v>43830586</v>
      </c>
      <c r="E82" s="669" t="s">
        <v>5008</v>
      </c>
      <c r="F82" s="266">
        <v>41</v>
      </c>
      <c r="G82" s="266" t="s">
        <v>5009</v>
      </c>
      <c r="H82" s="266" t="s">
        <v>326</v>
      </c>
      <c r="I82" s="988">
        <v>928558728</v>
      </c>
      <c r="J82" s="266" t="s">
        <v>827</v>
      </c>
      <c r="K82" s="44">
        <v>46122</v>
      </c>
      <c r="L82" s="266" t="s">
        <v>584</v>
      </c>
      <c r="M82" s="266" t="s">
        <v>260</v>
      </c>
      <c r="N82" s="43" t="s">
        <v>241</v>
      </c>
      <c r="O82" s="956">
        <v>46127</v>
      </c>
      <c r="P82" s="266"/>
      <c r="Q82" s="266" t="s">
        <v>5010</v>
      </c>
    </row>
    <row r="83" spans="1:18" ht="15" customHeight="1">
      <c r="A83" s="266"/>
      <c r="B83" s="320">
        <v>81</v>
      </c>
      <c r="C83" s="266">
        <v>524809</v>
      </c>
      <c r="D83" s="665">
        <v>32025494</v>
      </c>
      <c r="E83" s="663" t="s">
        <v>5011</v>
      </c>
      <c r="F83" s="665">
        <v>59</v>
      </c>
      <c r="G83" s="725" t="s">
        <v>5012</v>
      </c>
      <c r="H83" s="665" t="s">
        <v>1885</v>
      </c>
      <c r="I83" s="665">
        <v>995390276</v>
      </c>
      <c r="J83" s="959" t="s">
        <v>164</v>
      </c>
      <c r="K83" s="298">
        <v>46122</v>
      </c>
      <c r="L83" s="266" t="s">
        <v>747</v>
      </c>
      <c r="M83" s="43" t="s">
        <v>230</v>
      </c>
      <c r="N83" s="43" t="s">
        <v>317</v>
      </c>
      <c r="O83" s="954">
        <v>46125</v>
      </c>
      <c r="P83" s="266"/>
      <c r="Q83" s="266" t="s">
        <v>4851</v>
      </c>
    </row>
    <row r="84" spans="1:18" ht="15" customHeight="1">
      <c r="A84" s="266"/>
      <c r="B84" s="320">
        <v>82</v>
      </c>
      <c r="C84" s="266">
        <v>524811</v>
      </c>
      <c r="D84" s="665">
        <v>9487275</v>
      </c>
      <c r="E84" s="663" t="s">
        <v>5013</v>
      </c>
      <c r="F84" s="266">
        <v>56</v>
      </c>
      <c r="G84" s="665" t="s">
        <v>5014</v>
      </c>
      <c r="H84" s="665" t="s">
        <v>1885</v>
      </c>
      <c r="I84" s="989">
        <v>930742269</v>
      </c>
      <c r="J84" s="266" t="s">
        <v>164</v>
      </c>
      <c r="K84" s="44">
        <v>46122</v>
      </c>
      <c r="L84" s="266" t="s">
        <v>584</v>
      </c>
      <c r="M84" s="43" t="s">
        <v>260</v>
      </c>
      <c r="N84" s="43" t="s">
        <v>241</v>
      </c>
      <c r="O84" s="954">
        <v>46125</v>
      </c>
      <c r="P84" s="266"/>
      <c r="Q84" s="266" t="s">
        <v>4851</v>
      </c>
    </row>
    <row r="85" spans="1:18" ht="15" customHeight="1">
      <c r="A85" s="266"/>
      <c r="B85" s="320">
        <v>83</v>
      </c>
      <c r="C85" s="266">
        <v>231888</v>
      </c>
      <c r="D85" s="266">
        <v>31761020</v>
      </c>
      <c r="E85" s="669" t="s">
        <v>5015</v>
      </c>
      <c r="F85" s="266">
        <v>59</v>
      </c>
      <c r="G85" s="266" t="s">
        <v>5016</v>
      </c>
      <c r="H85" s="266" t="s">
        <v>278</v>
      </c>
      <c r="I85" s="266">
        <v>964061242</v>
      </c>
      <c r="J85" s="266" t="s">
        <v>1012</v>
      </c>
      <c r="K85" s="298">
        <v>46122</v>
      </c>
      <c r="L85" s="266" t="s">
        <v>5017</v>
      </c>
      <c r="M85" s="266" t="s">
        <v>230</v>
      </c>
      <c r="N85" s="266" t="s">
        <v>5018</v>
      </c>
      <c r="O85" s="956">
        <v>46127</v>
      </c>
      <c r="P85" s="266"/>
      <c r="Q85" s="266" t="s">
        <v>4793</v>
      </c>
    </row>
    <row r="86" spans="1:18" ht="15" customHeight="1">
      <c r="A86" s="206"/>
      <c r="B86" s="320">
        <v>84</v>
      </c>
      <c r="C86" s="43">
        <v>115404</v>
      </c>
      <c r="D86" s="43">
        <v>44131361</v>
      </c>
      <c r="E86" s="648" t="s">
        <v>5019</v>
      </c>
      <c r="F86" s="43">
        <v>43</v>
      </c>
      <c r="G86" s="43" t="s">
        <v>5020</v>
      </c>
      <c r="H86" s="43" t="s">
        <v>278</v>
      </c>
      <c r="I86" s="43">
        <v>912435179</v>
      </c>
      <c r="J86" s="43" t="s">
        <v>238</v>
      </c>
      <c r="K86" s="44">
        <v>46122</v>
      </c>
      <c r="L86" s="955" t="s">
        <v>584</v>
      </c>
      <c r="M86" s="43" t="s">
        <v>230</v>
      </c>
      <c r="N86" s="43" t="s">
        <v>241</v>
      </c>
      <c r="O86" s="954">
        <v>46125</v>
      </c>
      <c r="P86" s="244"/>
      <c r="Q86" s="242"/>
      <c r="R86" s="242" t="s">
        <v>5021</v>
      </c>
    </row>
    <row r="87" spans="1:18" ht="15" customHeight="1">
      <c r="A87" s="266"/>
      <c r="B87" s="320">
        <v>85</v>
      </c>
      <c r="C87" s="266">
        <v>320629</v>
      </c>
      <c r="D87" s="266">
        <v>44308312</v>
      </c>
      <c r="E87" s="669" t="s">
        <v>5022</v>
      </c>
      <c r="F87" s="266">
        <v>40</v>
      </c>
      <c r="G87" s="266" t="s">
        <v>5023</v>
      </c>
      <c r="H87" s="266" t="s">
        <v>278</v>
      </c>
      <c r="I87" s="266" t="s">
        <v>5024</v>
      </c>
      <c r="J87" s="266" t="s">
        <v>1012</v>
      </c>
      <c r="K87" s="44">
        <v>46122</v>
      </c>
      <c r="L87" s="266" t="s">
        <v>5025</v>
      </c>
      <c r="M87" s="266" t="s">
        <v>260</v>
      </c>
      <c r="N87" s="266" t="s">
        <v>241</v>
      </c>
      <c r="O87" s="956">
        <v>46127</v>
      </c>
      <c r="P87" s="266"/>
      <c r="Q87" s="266" t="s">
        <v>4793</v>
      </c>
    </row>
    <row r="88" spans="1:18" ht="15" customHeight="1">
      <c r="A88" s="266"/>
      <c r="B88" s="320">
        <v>86</v>
      </c>
      <c r="C88" s="266">
        <v>168882</v>
      </c>
      <c r="D88" s="266">
        <v>40156234</v>
      </c>
      <c r="E88" s="669" t="s">
        <v>5026</v>
      </c>
      <c r="F88" s="266">
        <v>46</v>
      </c>
      <c r="G88" s="266" t="s">
        <v>5027</v>
      </c>
      <c r="H88" s="266" t="s">
        <v>301</v>
      </c>
      <c r="I88" s="266">
        <v>932006066</v>
      </c>
      <c r="J88" s="266" t="s">
        <v>380</v>
      </c>
      <c r="K88" s="44">
        <v>46122</v>
      </c>
      <c r="L88" s="266" t="s">
        <v>5028</v>
      </c>
      <c r="M88" s="43" t="s">
        <v>260</v>
      </c>
      <c r="N88" s="43" t="s">
        <v>241</v>
      </c>
      <c r="O88" s="956">
        <v>46127</v>
      </c>
      <c r="P88" s="266"/>
      <c r="Q88" s="266" t="s">
        <v>4971</v>
      </c>
    </row>
    <row r="89" spans="1:18" ht="15" customHeight="1">
      <c r="A89" s="972">
        <v>46123</v>
      </c>
      <c r="B89" s="320">
        <v>87</v>
      </c>
      <c r="C89" s="266">
        <v>288260</v>
      </c>
      <c r="D89" s="266">
        <v>43039461</v>
      </c>
      <c r="E89" s="669" t="s">
        <v>5029</v>
      </c>
      <c r="F89" s="266">
        <v>47</v>
      </c>
      <c r="G89" s="266" t="s">
        <v>5030</v>
      </c>
      <c r="H89" s="266" t="s">
        <v>246</v>
      </c>
      <c r="I89" s="266">
        <v>902393738</v>
      </c>
      <c r="J89" s="266" t="s">
        <v>579</v>
      </c>
      <c r="K89" s="298">
        <v>46123</v>
      </c>
      <c r="L89" s="266" t="s">
        <v>2865</v>
      </c>
      <c r="M89" s="43" t="s">
        <v>230</v>
      </c>
      <c r="N89" s="43" t="s">
        <v>241</v>
      </c>
      <c r="O89" s="956">
        <v>46127</v>
      </c>
      <c r="P89" s="266"/>
      <c r="Q89" s="266" t="s">
        <v>5031</v>
      </c>
    </row>
    <row r="90" spans="1:18" ht="15" customHeight="1">
      <c r="A90" s="266"/>
      <c r="B90" s="320">
        <v>88</v>
      </c>
      <c r="C90" s="266">
        <v>137499</v>
      </c>
      <c r="D90" s="266">
        <v>47942463</v>
      </c>
      <c r="E90" s="669" t="s">
        <v>5032</v>
      </c>
      <c r="F90" s="266">
        <v>40</v>
      </c>
      <c r="G90" s="266" t="s">
        <v>5033</v>
      </c>
      <c r="H90" s="266" t="s">
        <v>246</v>
      </c>
      <c r="I90" s="266">
        <v>963247822</v>
      </c>
      <c r="J90" s="266" t="s">
        <v>579</v>
      </c>
      <c r="K90" s="298">
        <v>46123</v>
      </c>
      <c r="L90" s="266" t="s">
        <v>5034</v>
      </c>
      <c r="M90" s="43" t="s">
        <v>230</v>
      </c>
      <c r="N90" s="43" t="s">
        <v>317</v>
      </c>
      <c r="O90" s="956">
        <v>46127</v>
      </c>
      <c r="P90" s="266"/>
      <c r="Q90" s="266" t="s">
        <v>5031</v>
      </c>
    </row>
    <row r="91" spans="1:18" ht="15" customHeight="1">
      <c r="A91" s="298"/>
      <c r="B91" s="320">
        <v>89</v>
      </c>
      <c r="C91" s="266">
        <v>524828</v>
      </c>
      <c r="D91" s="266">
        <v>15973694</v>
      </c>
      <c r="E91" s="669" t="s">
        <v>5035</v>
      </c>
      <c r="F91" s="266">
        <v>65</v>
      </c>
      <c r="G91" s="266" t="s">
        <v>5036</v>
      </c>
      <c r="H91" s="266" t="s">
        <v>461</v>
      </c>
      <c r="I91" s="266">
        <v>903223180</v>
      </c>
      <c r="J91" s="266" t="s">
        <v>421</v>
      </c>
      <c r="K91" s="298">
        <v>46118</v>
      </c>
      <c r="L91" s="266" t="s">
        <v>1794</v>
      </c>
      <c r="M91" s="43" t="s">
        <v>312</v>
      </c>
      <c r="N91" s="43" t="s">
        <v>317</v>
      </c>
      <c r="O91" s="954">
        <v>46125</v>
      </c>
      <c r="P91" s="266"/>
      <c r="Q91" s="266" t="s">
        <v>5037</v>
      </c>
    </row>
    <row r="92" spans="1:18" ht="15" customHeight="1">
      <c r="A92" s="266"/>
      <c r="B92" s="320">
        <v>90</v>
      </c>
      <c r="C92" s="266">
        <v>94981</v>
      </c>
      <c r="D92" s="266">
        <v>15761810</v>
      </c>
      <c r="E92" s="669" t="s">
        <v>5038</v>
      </c>
      <c r="F92" s="266">
        <v>48</v>
      </c>
      <c r="G92" s="266" t="s">
        <v>5039</v>
      </c>
      <c r="H92" s="266" t="s">
        <v>2552</v>
      </c>
      <c r="I92" s="266">
        <v>960844897</v>
      </c>
      <c r="J92" s="266" t="s">
        <v>247</v>
      </c>
      <c r="K92" s="298">
        <v>46123</v>
      </c>
      <c r="L92" s="266" t="s">
        <v>2865</v>
      </c>
      <c r="M92" s="43" t="s">
        <v>230</v>
      </c>
      <c r="N92" s="43" t="s">
        <v>241</v>
      </c>
      <c r="O92" s="956">
        <v>46127</v>
      </c>
      <c r="P92" s="266"/>
      <c r="Q92" s="266" t="s">
        <v>5040</v>
      </c>
    </row>
    <row r="93" spans="1:18" ht="15" customHeight="1">
      <c r="A93" s="266"/>
      <c r="B93" s="320">
        <v>91</v>
      </c>
      <c r="C93" s="266">
        <v>524829</v>
      </c>
      <c r="D93" s="682">
        <v>15864024</v>
      </c>
      <c r="E93" s="663" t="s">
        <v>5041</v>
      </c>
      <c r="F93" s="682">
        <v>48</v>
      </c>
      <c r="G93" s="682" t="s">
        <v>5042</v>
      </c>
      <c r="H93" s="682" t="s">
        <v>5043</v>
      </c>
      <c r="I93" s="682">
        <v>949358599</v>
      </c>
      <c r="J93" s="963" t="s">
        <v>175</v>
      </c>
      <c r="K93" s="298">
        <v>46123</v>
      </c>
      <c r="L93" s="266" t="s">
        <v>584</v>
      </c>
      <c r="M93" s="43" t="s">
        <v>230</v>
      </c>
      <c r="N93" s="43" t="s">
        <v>241</v>
      </c>
      <c r="O93" s="954">
        <v>46125</v>
      </c>
      <c r="P93" s="266"/>
      <c r="Q93" s="266" t="s">
        <v>4851</v>
      </c>
    </row>
    <row r="94" spans="1:18" ht="15" customHeight="1">
      <c r="A94" s="266"/>
      <c r="B94" s="320">
        <v>92</v>
      </c>
      <c r="C94" s="266">
        <v>476108</v>
      </c>
      <c r="D94" s="665">
        <v>40996216</v>
      </c>
      <c r="E94" s="663" t="s">
        <v>5044</v>
      </c>
      <c r="F94" s="665">
        <v>50</v>
      </c>
      <c r="G94" s="682" t="s">
        <v>5045</v>
      </c>
      <c r="H94" s="682" t="s">
        <v>5046</v>
      </c>
      <c r="I94" s="665">
        <v>932253220</v>
      </c>
      <c r="J94" s="682" t="s">
        <v>5047</v>
      </c>
      <c r="K94" s="298">
        <v>46123</v>
      </c>
      <c r="L94" s="266" t="s">
        <v>5048</v>
      </c>
      <c r="M94" s="43" t="s">
        <v>260</v>
      </c>
      <c r="N94" s="43" t="s">
        <v>241</v>
      </c>
      <c r="O94" s="954">
        <v>46125</v>
      </c>
      <c r="P94" s="266"/>
      <c r="Q94" s="266" t="s">
        <v>4851</v>
      </c>
    </row>
    <row r="95" spans="1:18" ht="15" customHeight="1">
      <c r="A95" s="266"/>
      <c r="B95" s="320">
        <v>93</v>
      </c>
      <c r="C95" s="266">
        <v>105378</v>
      </c>
      <c r="D95" s="266">
        <v>44567563</v>
      </c>
      <c r="E95" s="669" t="s">
        <v>5049</v>
      </c>
      <c r="F95" s="266">
        <v>44</v>
      </c>
      <c r="G95" s="266" t="s">
        <v>5050</v>
      </c>
      <c r="H95" s="266" t="s">
        <v>278</v>
      </c>
      <c r="I95" s="266">
        <v>980429355</v>
      </c>
      <c r="J95" s="266" t="s">
        <v>283</v>
      </c>
      <c r="K95" s="298">
        <v>46123</v>
      </c>
      <c r="L95" s="266" t="s">
        <v>5051</v>
      </c>
      <c r="M95" s="43" t="s">
        <v>312</v>
      </c>
      <c r="N95" s="43" t="s">
        <v>317</v>
      </c>
      <c r="O95" s="956">
        <v>46127</v>
      </c>
      <c r="P95" s="266"/>
      <c r="Q95" s="266" t="s">
        <v>4944</v>
      </c>
    </row>
    <row r="96" spans="1:18" ht="15" customHeight="1">
      <c r="A96" s="266"/>
      <c r="B96" s="320">
        <v>94</v>
      </c>
      <c r="C96" s="266">
        <v>524830</v>
      </c>
      <c r="D96" s="682">
        <v>15630910</v>
      </c>
      <c r="E96" s="663" t="s">
        <v>5052</v>
      </c>
      <c r="F96" s="682">
        <v>59</v>
      </c>
      <c r="G96" s="682" t="s">
        <v>5053</v>
      </c>
      <c r="H96" s="682" t="s">
        <v>2724</v>
      </c>
      <c r="I96" s="682">
        <v>948761604</v>
      </c>
      <c r="J96" s="963" t="s">
        <v>175</v>
      </c>
      <c r="K96" s="298">
        <v>46123</v>
      </c>
      <c r="L96" s="266" t="s">
        <v>747</v>
      </c>
      <c r="M96" s="43" t="s">
        <v>230</v>
      </c>
      <c r="N96" s="43" t="s">
        <v>317</v>
      </c>
      <c r="O96" s="954">
        <v>46125</v>
      </c>
      <c r="P96" s="266"/>
      <c r="Q96" s="266" t="s">
        <v>4851</v>
      </c>
    </row>
    <row r="97" spans="1:17" ht="15" customHeight="1">
      <c r="A97" s="266"/>
      <c r="B97" s="320">
        <v>95</v>
      </c>
      <c r="C97" s="266">
        <v>359117</v>
      </c>
      <c r="D97" s="682">
        <v>41266961</v>
      </c>
      <c r="E97" s="663" t="s">
        <v>5054</v>
      </c>
      <c r="F97" s="682">
        <v>43</v>
      </c>
      <c r="G97" s="682" t="s">
        <v>5055</v>
      </c>
      <c r="H97" s="682" t="s">
        <v>2724</v>
      </c>
      <c r="I97" s="682">
        <v>948016126</v>
      </c>
      <c r="J97" s="963" t="s">
        <v>175</v>
      </c>
      <c r="K97" s="298">
        <v>46123</v>
      </c>
      <c r="L97" s="266" t="s">
        <v>3704</v>
      </c>
      <c r="M97" s="43" t="s">
        <v>260</v>
      </c>
      <c r="N97" s="43" t="s">
        <v>241</v>
      </c>
      <c r="O97" s="954">
        <v>46125</v>
      </c>
      <c r="P97" s="266"/>
      <c r="Q97" s="266" t="s">
        <v>4851</v>
      </c>
    </row>
    <row r="98" spans="1:17" ht="15" customHeight="1">
      <c r="A98" s="266"/>
      <c r="B98" s="320">
        <v>96</v>
      </c>
      <c r="C98" s="266">
        <v>524832</v>
      </c>
      <c r="D98" s="682">
        <v>48853159</v>
      </c>
      <c r="E98" s="663" t="s">
        <v>5056</v>
      </c>
      <c r="F98" s="682">
        <v>63</v>
      </c>
      <c r="G98" s="682" t="s">
        <v>5057</v>
      </c>
      <c r="H98" s="682" t="s">
        <v>2724</v>
      </c>
      <c r="I98" s="682">
        <v>908702790</v>
      </c>
      <c r="J98" s="963" t="s">
        <v>175</v>
      </c>
      <c r="K98" s="298">
        <v>46123</v>
      </c>
      <c r="L98" s="266" t="s">
        <v>683</v>
      </c>
      <c r="M98" s="43" t="s">
        <v>312</v>
      </c>
      <c r="N98" s="43" t="s">
        <v>241</v>
      </c>
      <c r="O98" s="954">
        <v>46125</v>
      </c>
      <c r="P98" s="266"/>
      <c r="Q98" s="266" t="s">
        <v>4851</v>
      </c>
    </row>
    <row r="99" spans="1:17" ht="15" customHeight="1">
      <c r="A99" s="266"/>
      <c r="B99" s="320">
        <v>97</v>
      </c>
      <c r="C99" s="266">
        <v>524833</v>
      </c>
      <c r="D99" s="665">
        <v>42697217</v>
      </c>
      <c r="E99" s="663" t="s">
        <v>5058</v>
      </c>
      <c r="F99" s="266">
        <v>40</v>
      </c>
      <c r="G99" s="665" t="s">
        <v>5059</v>
      </c>
      <c r="H99" s="665" t="s">
        <v>271</v>
      </c>
      <c r="I99" s="665">
        <v>996792722</v>
      </c>
      <c r="J99" s="266" t="s">
        <v>164</v>
      </c>
      <c r="K99" s="298">
        <v>46123</v>
      </c>
      <c r="L99" s="266" t="s">
        <v>5060</v>
      </c>
      <c r="M99" s="43" t="s">
        <v>260</v>
      </c>
      <c r="N99" s="43" t="s">
        <v>241</v>
      </c>
      <c r="O99" s="954">
        <v>46125</v>
      </c>
      <c r="P99" s="266"/>
      <c r="Q99" s="266" t="s">
        <v>4851</v>
      </c>
    </row>
    <row r="100" spans="1:17" ht="15" customHeight="1">
      <c r="A100" s="266"/>
      <c r="B100" s="320">
        <v>98</v>
      </c>
      <c r="C100" s="266">
        <v>246311</v>
      </c>
      <c r="D100" s="266">
        <v>43007289</v>
      </c>
      <c r="E100" s="669" t="s">
        <v>5061</v>
      </c>
      <c r="F100" s="266">
        <v>43</v>
      </c>
      <c r="G100" s="266" t="s">
        <v>5062</v>
      </c>
      <c r="H100" s="266" t="s">
        <v>301</v>
      </c>
      <c r="I100" s="266">
        <v>916130048</v>
      </c>
      <c r="J100" s="266" t="s">
        <v>380</v>
      </c>
      <c r="K100" s="298">
        <v>46123</v>
      </c>
      <c r="L100" s="266" t="s">
        <v>5063</v>
      </c>
      <c r="M100" s="43" t="s">
        <v>260</v>
      </c>
      <c r="N100" s="43" t="s">
        <v>241</v>
      </c>
      <c r="O100" s="956">
        <v>46127</v>
      </c>
      <c r="P100" s="266"/>
      <c r="Q100" s="266" t="s">
        <v>4971</v>
      </c>
    </row>
    <row r="101" spans="1:17" ht="15" customHeight="1">
      <c r="A101" s="266"/>
      <c r="B101" s="320">
        <v>99</v>
      </c>
      <c r="C101" s="266">
        <v>524834</v>
      </c>
      <c r="D101" s="266">
        <v>16015443</v>
      </c>
      <c r="E101" s="669" t="s">
        <v>5064</v>
      </c>
      <c r="F101" s="266">
        <v>55</v>
      </c>
      <c r="G101" s="266" t="s">
        <v>5065</v>
      </c>
      <c r="H101" s="266" t="s">
        <v>1885</v>
      </c>
      <c r="I101" s="266">
        <v>904953426</v>
      </c>
      <c r="J101" s="266" t="s">
        <v>1620</v>
      </c>
      <c r="K101" s="298">
        <v>46123</v>
      </c>
      <c r="L101" s="266" t="s">
        <v>5066</v>
      </c>
      <c r="M101" s="43" t="s">
        <v>323</v>
      </c>
      <c r="N101" s="43" t="s">
        <v>241</v>
      </c>
      <c r="O101" s="954">
        <v>46125</v>
      </c>
      <c r="P101" s="266"/>
      <c r="Q101" s="266" t="s">
        <v>5067</v>
      </c>
    </row>
    <row r="102" spans="1:17" ht="15" customHeight="1">
      <c r="A102" s="206"/>
      <c r="B102" s="320">
        <v>100</v>
      </c>
      <c r="C102" s="43">
        <v>323446</v>
      </c>
      <c r="D102" s="43">
        <v>41731693</v>
      </c>
      <c r="E102" s="648" t="s">
        <v>5068</v>
      </c>
      <c r="F102" s="43">
        <v>42</v>
      </c>
      <c r="G102" s="43" t="s">
        <v>5069</v>
      </c>
      <c r="H102" s="43" t="s">
        <v>237</v>
      </c>
      <c r="I102" s="43">
        <v>915967651</v>
      </c>
      <c r="J102" s="43" t="s">
        <v>742</v>
      </c>
      <c r="K102" s="298">
        <v>46123</v>
      </c>
      <c r="L102" s="955" t="s">
        <v>458</v>
      </c>
      <c r="M102" s="43" t="s">
        <v>260</v>
      </c>
      <c r="N102" s="43" t="s">
        <v>241</v>
      </c>
      <c r="O102" s="956">
        <v>46127</v>
      </c>
      <c r="P102" s="244"/>
      <c r="Q102" s="242" t="s">
        <v>5070</v>
      </c>
    </row>
    <row r="103" spans="1:17" ht="15" customHeight="1">
      <c r="A103" s="266"/>
      <c r="B103" s="320">
        <v>101</v>
      </c>
      <c r="C103" s="266">
        <v>524840</v>
      </c>
      <c r="D103" s="665">
        <v>80645118</v>
      </c>
      <c r="E103" s="663" t="s">
        <v>5071</v>
      </c>
      <c r="F103" s="266">
        <v>46</v>
      </c>
      <c r="G103" s="725" t="s">
        <v>5072</v>
      </c>
      <c r="H103" s="266" t="s">
        <v>461</v>
      </c>
      <c r="I103" s="725">
        <v>999307016</v>
      </c>
      <c r="J103" s="266" t="s">
        <v>162</v>
      </c>
      <c r="K103" s="298">
        <v>46123</v>
      </c>
      <c r="L103" s="266" t="s">
        <v>4832</v>
      </c>
      <c r="M103" s="43" t="s">
        <v>230</v>
      </c>
      <c r="N103" s="43" t="s">
        <v>317</v>
      </c>
      <c r="O103" s="954">
        <v>46125</v>
      </c>
      <c r="P103" s="266"/>
      <c r="Q103" s="242" t="s">
        <v>4851</v>
      </c>
    </row>
    <row r="104" spans="1:17" ht="15" customHeight="1">
      <c r="A104" s="262" t="s">
        <v>513</v>
      </c>
      <c r="B104" s="320">
        <v>102</v>
      </c>
      <c r="C104" s="43">
        <v>524843</v>
      </c>
      <c r="D104" s="266">
        <v>41694947</v>
      </c>
      <c r="E104" s="648" t="s">
        <v>5073</v>
      </c>
      <c r="F104" s="43">
        <v>43</v>
      </c>
      <c r="G104" s="43" t="s">
        <v>5074</v>
      </c>
      <c r="H104" s="43" t="s">
        <v>461</v>
      </c>
      <c r="I104" s="43">
        <v>953359440</v>
      </c>
      <c r="J104" s="43" t="s">
        <v>162</v>
      </c>
      <c r="K104" s="298">
        <v>46064</v>
      </c>
      <c r="L104" s="955" t="s">
        <v>413</v>
      </c>
      <c r="M104" s="43" t="s">
        <v>230</v>
      </c>
      <c r="N104" s="43" t="s">
        <v>241</v>
      </c>
      <c r="O104" s="954">
        <v>46127</v>
      </c>
      <c r="P104" s="244"/>
      <c r="Q104" s="242" t="s">
        <v>4851</v>
      </c>
    </row>
    <row r="105" spans="1:17" ht="15" customHeight="1">
      <c r="A105" s="261">
        <v>46125</v>
      </c>
      <c r="B105" s="320">
        <v>103</v>
      </c>
      <c r="C105" s="43">
        <v>158976</v>
      </c>
      <c r="D105" s="43">
        <v>15845880</v>
      </c>
      <c r="E105" s="648" t="s">
        <v>5075</v>
      </c>
      <c r="F105" s="43">
        <v>59</v>
      </c>
      <c r="G105" s="43" t="s">
        <v>5076</v>
      </c>
      <c r="H105" s="43" t="s">
        <v>301</v>
      </c>
      <c r="I105" s="43">
        <v>956779499</v>
      </c>
      <c r="J105" s="43" t="s">
        <v>302</v>
      </c>
      <c r="K105" s="44">
        <v>46125</v>
      </c>
      <c r="L105" s="955" t="s">
        <v>584</v>
      </c>
      <c r="M105" s="43" t="s">
        <v>230</v>
      </c>
      <c r="N105" s="43" t="s">
        <v>241</v>
      </c>
      <c r="O105" s="956">
        <v>46127</v>
      </c>
      <c r="P105" s="266"/>
      <c r="Q105" s="266" t="s">
        <v>4988</v>
      </c>
    </row>
    <row r="106" spans="1:17" ht="15" customHeight="1">
      <c r="A106" s="206"/>
      <c r="B106" s="320">
        <v>104</v>
      </c>
      <c r="C106" s="43">
        <v>262254</v>
      </c>
      <c r="D106" s="43">
        <v>36658178</v>
      </c>
      <c r="E106" s="648" t="s">
        <v>5077</v>
      </c>
      <c r="F106" s="43">
        <v>50</v>
      </c>
      <c r="G106" s="43" t="s">
        <v>5078</v>
      </c>
      <c r="H106" s="43" t="s">
        <v>301</v>
      </c>
      <c r="I106" s="43" t="s">
        <v>5079</v>
      </c>
      <c r="J106" s="43" t="s">
        <v>302</v>
      </c>
      <c r="K106" s="44">
        <v>46125</v>
      </c>
      <c r="L106" s="955" t="s">
        <v>584</v>
      </c>
      <c r="M106" s="43" t="s">
        <v>230</v>
      </c>
      <c r="N106" s="43" t="s">
        <v>241</v>
      </c>
      <c r="O106" s="956">
        <v>46127</v>
      </c>
      <c r="P106" s="266"/>
      <c r="Q106" s="266" t="s">
        <v>4988</v>
      </c>
    </row>
    <row r="107" spans="1:17" ht="15" customHeight="1">
      <c r="A107" s="206"/>
      <c r="B107" s="320">
        <v>105</v>
      </c>
      <c r="C107" s="43">
        <v>97456</v>
      </c>
      <c r="D107" s="43">
        <v>41556764</v>
      </c>
      <c r="E107" s="648" t="s">
        <v>5080</v>
      </c>
      <c r="F107" s="43">
        <v>445</v>
      </c>
      <c r="G107" s="43" t="s">
        <v>5081</v>
      </c>
      <c r="H107" s="43" t="s">
        <v>301</v>
      </c>
      <c r="I107" s="43">
        <v>953716047</v>
      </c>
      <c r="J107" s="43" t="s">
        <v>302</v>
      </c>
      <c r="K107" s="44">
        <v>46125</v>
      </c>
      <c r="L107" s="955" t="s">
        <v>584</v>
      </c>
      <c r="M107" s="43" t="s">
        <v>230</v>
      </c>
      <c r="N107" s="43" t="s">
        <v>241</v>
      </c>
      <c r="O107" s="956">
        <v>46127</v>
      </c>
      <c r="P107" s="266"/>
      <c r="Q107" s="266" t="s">
        <v>4988</v>
      </c>
    </row>
    <row r="108" spans="1:17" ht="15" customHeight="1">
      <c r="A108" s="266"/>
      <c r="B108" s="320">
        <v>106</v>
      </c>
      <c r="C108" s="266">
        <v>430869</v>
      </c>
      <c r="D108" s="266">
        <v>44109395</v>
      </c>
      <c r="E108" s="669" t="s">
        <v>5082</v>
      </c>
      <c r="F108" s="266">
        <v>53</v>
      </c>
      <c r="G108" s="266" t="s">
        <v>5083</v>
      </c>
      <c r="H108" s="266" t="s">
        <v>237</v>
      </c>
      <c r="I108" s="43">
        <v>953716047</v>
      </c>
      <c r="J108" s="266" t="s">
        <v>429</v>
      </c>
      <c r="K108" s="298">
        <v>46125</v>
      </c>
      <c r="L108" s="266" t="s">
        <v>1156</v>
      </c>
      <c r="M108" s="43" t="s">
        <v>260</v>
      </c>
      <c r="N108" s="43" t="s">
        <v>241</v>
      </c>
      <c r="O108" s="448">
        <v>46133</v>
      </c>
      <c r="P108" s="266"/>
      <c r="Q108" s="266" t="s">
        <v>4944</v>
      </c>
    </row>
    <row r="109" spans="1:17" ht="15" customHeight="1">
      <c r="A109" s="206"/>
      <c r="B109" s="320">
        <v>107</v>
      </c>
      <c r="C109" s="43">
        <v>72972</v>
      </c>
      <c r="D109" s="43">
        <v>15762466</v>
      </c>
      <c r="E109" s="648" t="s">
        <v>5084</v>
      </c>
      <c r="F109" s="43">
        <v>48</v>
      </c>
      <c r="G109" s="43" t="s">
        <v>5085</v>
      </c>
      <c r="H109" s="43" t="s">
        <v>301</v>
      </c>
      <c r="I109" s="43" t="s">
        <v>5086</v>
      </c>
      <c r="J109" s="43" t="s">
        <v>302</v>
      </c>
      <c r="K109" s="44">
        <v>46125</v>
      </c>
      <c r="L109" s="955" t="s">
        <v>584</v>
      </c>
      <c r="M109" s="43" t="s">
        <v>312</v>
      </c>
      <c r="N109" s="43" t="s">
        <v>241</v>
      </c>
      <c r="O109" s="956">
        <v>46127</v>
      </c>
      <c r="P109" s="266"/>
      <c r="Q109" s="266" t="s">
        <v>4988</v>
      </c>
    </row>
    <row r="110" spans="1:17" ht="15" customHeight="1">
      <c r="A110" s="206"/>
      <c r="B110" s="320">
        <v>108</v>
      </c>
      <c r="C110" s="43">
        <v>524880</v>
      </c>
      <c r="D110" s="43">
        <v>15996543</v>
      </c>
      <c r="E110" s="648" t="s">
        <v>5087</v>
      </c>
      <c r="F110" s="43">
        <v>55</v>
      </c>
      <c r="G110" s="43" t="s">
        <v>5088</v>
      </c>
      <c r="H110" s="43" t="s">
        <v>461</v>
      </c>
      <c r="I110" s="43" t="s">
        <v>5089</v>
      </c>
      <c r="J110" s="43" t="s">
        <v>162</v>
      </c>
      <c r="K110" s="44">
        <v>46125</v>
      </c>
      <c r="L110" s="955" t="s">
        <v>576</v>
      </c>
      <c r="M110" s="43" t="s">
        <v>312</v>
      </c>
      <c r="N110" s="43" t="s">
        <v>241</v>
      </c>
      <c r="O110" s="954">
        <v>46127</v>
      </c>
      <c r="P110" s="244"/>
      <c r="Q110" s="242" t="s">
        <v>4851</v>
      </c>
    </row>
    <row r="111" spans="1:17" ht="15" customHeight="1">
      <c r="A111" s="266"/>
      <c r="B111" s="320">
        <v>109</v>
      </c>
      <c r="C111" s="266">
        <v>316283</v>
      </c>
      <c r="D111" s="266">
        <v>43408905</v>
      </c>
      <c r="E111" s="669" t="s">
        <v>5090</v>
      </c>
      <c r="F111" s="266">
        <v>40</v>
      </c>
      <c r="G111" s="266" t="s">
        <v>5091</v>
      </c>
      <c r="H111" s="266" t="s">
        <v>222</v>
      </c>
      <c r="I111" s="266">
        <v>991350058</v>
      </c>
      <c r="J111" s="266" t="s">
        <v>223</v>
      </c>
      <c r="K111" s="298">
        <v>46125</v>
      </c>
      <c r="L111" s="266" t="s">
        <v>5092</v>
      </c>
      <c r="M111" s="43" t="s">
        <v>312</v>
      </c>
      <c r="N111" s="43" t="s">
        <v>241</v>
      </c>
      <c r="O111" s="956">
        <v>46127</v>
      </c>
      <c r="P111" s="266"/>
      <c r="Q111" s="266" t="s">
        <v>227</v>
      </c>
    </row>
    <row r="112" spans="1:17" ht="15" customHeight="1">
      <c r="A112" s="266"/>
      <c r="B112" s="320">
        <v>110</v>
      </c>
      <c r="C112" s="266">
        <v>306703</v>
      </c>
      <c r="D112" s="957">
        <v>40789644</v>
      </c>
      <c r="E112" s="958" t="s">
        <v>5093</v>
      </c>
      <c r="F112" s="957">
        <v>45</v>
      </c>
      <c r="G112" s="266" t="s">
        <v>5094</v>
      </c>
      <c r="H112" s="266" t="s">
        <v>278</v>
      </c>
      <c r="I112" s="957">
        <v>970112259</v>
      </c>
      <c r="J112" s="266" t="s">
        <v>384</v>
      </c>
      <c r="K112" s="44">
        <v>46125</v>
      </c>
      <c r="L112" s="266" t="s">
        <v>1469</v>
      </c>
      <c r="M112" s="43" t="s">
        <v>260</v>
      </c>
      <c r="N112" s="43" t="s">
        <v>241</v>
      </c>
      <c r="O112" s="956">
        <v>46127</v>
      </c>
      <c r="P112" s="266"/>
      <c r="Q112" s="266" t="s">
        <v>4887</v>
      </c>
    </row>
    <row r="113" spans="1:17" ht="15" customHeight="1">
      <c r="A113" s="968" t="s">
        <v>513</v>
      </c>
      <c r="B113" s="320">
        <v>111</v>
      </c>
      <c r="C113" s="266">
        <v>238666</v>
      </c>
      <c r="D113" s="266">
        <v>42274202</v>
      </c>
      <c r="E113" s="669" t="s">
        <v>5095</v>
      </c>
      <c r="F113" s="266">
        <v>42</v>
      </c>
      <c r="G113" s="266" t="s">
        <v>5096</v>
      </c>
      <c r="H113" s="266" t="s">
        <v>301</v>
      </c>
      <c r="I113" s="266">
        <v>922134521</v>
      </c>
      <c r="J113" s="266" t="s">
        <v>1905</v>
      </c>
      <c r="K113" s="44">
        <v>46125</v>
      </c>
      <c r="L113" s="266" t="s">
        <v>2865</v>
      </c>
      <c r="M113" s="43" t="s">
        <v>230</v>
      </c>
      <c r="N113" s="43" t="s">
        <v>241</v>
      </c>
      <c r="O113" s="956">
        <v>46127</v>
      </c>
      <c r="P113" s="266"/>
      <c r="Q113" s="266" t="s">
        <v>4810</v>
      </c>
    </row>
    <row r="114" spans="1:17" ht="15" customHeight="1">
      <c r="A114" s="266"/>
      <c r="B114" s="320">
        <v>112</v>
      </c>
      <c r="C114" s="266">
        <v>135283</v>
      </c>
      <c r="D114" s="266">
        <v>15731724</v>
      </c>
      <c r="E114" s="669" t="s">
        <v>5097</v>
      </c>
      <c r="F114" s="266"/>
      <c r="G114" s="266" t="s">
        <v>5098</v>
      </c>
      <c r="H114" s="266" t="s">
        <v>301</v>
      </c>
      <c r="I114" s="266">
        <v>962323790</v>
      </c>
      <c r="J114" s="266" t="s">
        <v>1905</v>
      </c>
      <c r="K114" s="298">
        <v>46125</v>
      </c>
      <c r="L114" s="266" t="s">
        <v>388</v>
      </c>
      <c r="M114" s="43" t="s">
        <v>230</v>
      </c>
      <c r="N114" s="43" t="s">
        <v>241</v>
      </c>
      <c r="O114" s="956">
        <v>46127</v>
      </c>
      <c r="P114" s="266"/>
      <c r="Q114" s="266" t="s">
        <v>4810</v>
      </c>
    </row>
    <row r="115" spans="1:17" ht="15" customHeight="1">
      <c r="A115" s="266"/>
      <c r="B115" s="320">
        <v>113</v>
      </c>
      <c r="C115" s="266">
        <v>187478</v>
      </c>
      <c r="D115" s="266">
        <v>15733550</v>
      </c>
      <c r="E115" s="669" t="s">
        <v>5099</v>
      </c>
      <c r="F115" s="266">
        <v>53</v>
      </c>
      <c r="G115" s="266" t="s">
        <v>5100</v>
      </c>
      <c r="H115" s="266" t="s">
        <v>237</v>
      </c>
      <c r="I115" s="266">
        <v>922864594</v>
      </c>
      <c r="J115" s="266" t="s">
        <v>289</v>
      </c>
      <c r="K115" s="44">
        <v>46125</v>
      </c>
      <c r="L115" s="298" t="s">
        <v>376</v>
      </c>
      <c r="M115" s="43" t="s">
        <v>230</v>
      </c>
      <c r="N115" s="43" t="s">
        <v>317</v>
      </c>
      <c r="O115" s="956">
        <v>46127</v>
      </c>
      <c r="P115" s="266"/>
      <c r="Q115" s="266" t="s">
        <v>2708</v>
      </c>
    </row>
    <row r="116" spans="1:17" ht="15" customHeight="1">
      <c r="A116" s="266"/>
      <c r="B116" s="320">
        <v>114</v>
      </c>
      <c r="C116" s="266">
        <v>145131</v>
      </c>
      <c r="D116" s="266">
        <v>15762423</v>
      </c>
      <c r="E116" s="669" t="s">
        <v>5101</v>
      </c>
      <c r="F116" s="266">
        <v>48</v>
      </c>
      <c r="G116" s="266" t="s">
        <v>5102</v>
      </c>
      <c r="H116" s="266" t="s">
        <v>301</v>
      </c>
      <c r="I116" s="266">
        <v>910229599</v>
      </c>
      <c r="J116" s="266" t="s">
        <v>1905</v>
      </c>
      <c r="K116" s="44">
        <v>46125</v>
      </c>
      <c r="L116" s="266" t="s">
        <v>388</v>
      </c>
      <c r="M116" s="43" t="s">
        <v>230</v>
      </c>
      <c r="N116" s="43" t="s">
        <v>241</v>
      </c>
      <c r="O116" s="956">
        <v>46127</v>
      </c>
      <c r="P116" s="266"/>
      <c r="Q116" s="266" t="s">
        <v>4810</v>
      </c>
    </row>
    <row r="117" spans="1:17" ht="15" customHeight="1">
      <c r="A117" s="266"/>
      <c r="B117" s="320">
        <v>115</v>
      </c>
      <c r="C117" s="266">
        <v>502681</v>
      </c>
      <c r="D117" s="266">
        <v>41497907</v>
      </c>
      <c r="E117" s="669" t="s">
        <v>5103</v>
      </c>
      <c r="F117" s="266">
        <v>44</v>
      </c>
      <c r="G117" s="266" t="s">
        <v>5104</v>
      </c>
      <c r="H117" s="266" t="s">
        <v>301</v>
      </c>
      <c r="I117" s="266">
        <v>992582907</v>
      </c>
      <c r="J117" s="266" t="s">
        <v>1905</v>
      </c>
      <c r="K117" s="298">
        <v>46125</v>
      </c>
      <c r="L117" s="266" t="s">
        <v>388</v>
      </c>
      <c r="M117" s="43" t="s">
        <v>230</v>
      </c>
      <c r="N117" s="43" t="s">
        <v>241</v>
      </c>
      <c r="O117" s="956">
        <v>46127</v>
      </c>
      <c r="P117" s="266"/>
      <c r="Q117" s="266" t="s">
        <v>4810</v>
      </c>
    </row>
    <row r="118" spans="1:17" ht="15" customHeight="1">
      <c r="A118" s="266"/>
      <c r="B118" s="320">
        <v>116</v>
      </c>
      <c r="C118" s="266">
        <v>246227</v>
      </c>
      <c r="D118" s="266">
        <v>44339144</v>
      </c>
      <c r="E118" s="669" t="s">
        <v>5105</v>
      </c>
      <c r="F118" s="266">
        <v>42</v>
      </c>
      <c r="G118" s="266" t="s">
        <v>5106</v>
      </c>
      <c r="H118" s="266" t="s">
        <v>432</v>
      </c>
      <c r="I118" s="266">
        <v>996460640</v>
      </c>
      <c r="J118" s="266" t="s">
        <v>1209</v>
      </c>
      <c r="K118" s="44">
        <v>46125</v>
      </c>
      <c r="L118" s="266" t="s">
        <v>388</v>
      </c>
      <c r="M118" s="43" t="s">
        <v>230</v>
      </c>
      <c r="N118" s="43" t="s">
        <v>241</v>
      </c>
      <c r="O118" s="956">
        <v>46127</v>
      </c>
      <c r="P118" s="266"/>
      <c r="Q118" s="266" t="s">
        <v>4848</v>
      </c>
    </row>
    <row r="119" spans="1:17" ht="15" customHeight="1">
      <c r="A119" s="266"/>
      <c r="B119" s="320">
        <v>117</v>
      </c>
      <c r="C119" s="266">
        <v>243089</v>
      </c>
      <c r="D119" s="957">
        <v>16022522</v>
      </c>
      <c r="E119" s="958" t="s">
        <v>5107</v>
      </c>
      <c r="F119" s="957">
        <v>48</v>
      </c>
      <c r="G119" s="266" t="s">
        <v>5108</v>
      </c>
      <c r="H119" s="266" t="s">
        <v>246</v>
      </c>
      <c r="I119" s="957">
        <v>941041102</v>
      </c>
      <c r="J119" s="266" t="s">
        <v>579</v>
      </c>
      <c r="K119" s="44">
        <v>46125</v>
      </c>
      <c r="L119" s="266" t="s">
        <v>388</v>
      </c>
      <c r="M119" s="43" t="s">
        <v>230</v>
      </c>
      <c r="N119" s="43" t="s">
        <v>241</v>
      </c>
      <c r="O119" s="956">
        <v>46127</v>
      </c>
      <c r="P119" s="266"/>
      <c r="Q119" s="266" t="s">
        <v>5031</v>
      </c>
    </row>
    <row r="120" spans="1:17" ht="15" customHeight="1">
      <c r="A120" s="266"/>
      <c r="B120" s="320">
        <v>118</v>
      </c>
      <c r="C120" s="266">
        <v>434685</v>
      </c>
      <c r="D120" s="266">
        <v>10230482</v>
      </c>
      <c r="E120" s="669" t="s">
        <v>5109</v>
      </c>
      <c r="F120" s="266">
        <v>51</v>
      </c>
      <c r="G120" s="266" t="s">
        <v>5110</v>
      </c>
      <c r="H120" s="266" t="s">
        <v>237</v>
      </c>
      <c r="I120" s="266" t="s">
        <v>5111</v>
      </c>
      <c r="J120" s="266" t="s">
        <v>742</v>
      </c>
      <c r="K120" s="298">
        <v>46125</v>
      </c>
      <c r="L120" s="266" t="s">
        <v>376</v>
      </c>
      <c r="M120" s="43" t="s">
        <v>230</v>
      </c>
      <c r="N120" s="43" t="s">
        <v>317</v>
      </c>
      <c r="O120" s="956">
        <v>46127</v>
      </c>
      <c r="P120" s="266"/>
      <c r="Q120" s="266" t="s">
        <v>4848</v>
      </c>
    </row>
    <row r="121" spans="1:17" ht="15" customHeight="1">
      <c r="A121" s="266"/>
      <c r="B121" s="320">
        <v>119</v>
      </c>
      <c r="C121" s="266">
        <v>130978</v>
      </c>
      <c r="D121" s="266">
        <v>10509428</v>
      </c>
      <c r="E121" s="669" t="s">
        <v>5112</v>
      </c>
      <c r="F121" s="266">
        <v>48</v>
      </c>
      <c r="G121" s="266" t="s">
        <v>5113</v>
      </c>
      <c r="H121" s="266" t="s">
        <v>432</v>
      </c>
      <c r="I121" s="266">
        <v>974152488</v>
      </c>
      <c r="J121" s="266" t="s">
        <v>1209</v>
      </c>
      <c r="K121" s="44">
        <v>46125</v>
      </c>
      <c r="L121" s="266" t="s">
        <v>388</v>
      </c>
      <c r="M121" s="43" t="s">
        <v>230</v>
      </c>
      <c r="N121" s="43" t="s">
        <v>241</v>
      </c>
      <c r="O121" s="956">
        <v>46127</v>
      </c>
      <c r="P121" s="266"/>
      <c r="Q121" s="266" t="s">
        <v>4848</v>
      </c>
    </row>
    <row r="122" spans="1:17" ht="15" customHeight="1">
      <c r="A122" s="206"/>
      <c r="B122" s="320">
        <v>120</v>
      </c>
      <c r="C122" s="43">
        <v>31994</v>
      </c>
      <c r="D122" s="43">
        <v>15723613</v>
      </c>
      <c r="E122" s="648" t="s">
        <v>5114</v>
      </c>
      <c r="F122" s="43">
        <v>56</v>
      </c>
      <c r="G122" s="43" t="s">
        <v>5115</v>
      </c>
      <c r="H122" s="43" t="s">
        <v>278</v>
      </c>
      <c r="I122" s="43" t="s">
        <v>5116</v>
      </c>
      <c r="J122" s="43" t="s">
        <v>238</v>
      </c>
      <c r="K122" s="298">
        <v>46125</v>
      </c>
      <c r="L122" s="955" t="s">
        <v>5117</v>
      </c>
      <c r="M122" s="43" t="s">
        <v>230</v>
      </c>
      <c r="N122" s="43" t="s">
        <v>241</v>
      </c>
      <c r="O122" s="954">
        <v>46129</v>
      </c>
      <c r="P122" s="244"/>
      <c r="Q122" s="242"/>
    </row>
    <row r="123" spans="1:17" ht="15" customHeight="1">
      <c r="A123" s="261">
        <v>46126</v>
      </c>
      <c r="B123" s="320">
        <v>121</v>
      </c>
      <c r="C123" s="43">
        <v>122795</v>
      </c>
      <c r="D123" s="43">
        <v>15642599</v>
      </c>
      <c r="E123" s="648" t="s">
        <v>5118</v>
      </c>
      <c r="F123" s="43">
        <v>56</v>
      </c>
      <c r="G123" s="43" t="s">
        <v>5119</v>
      </c>
      <c r="H123" s="43" t="s">
        <v>301</v>
      </c>
      <c r="I123" s="43">
        <v>928729373</v>
      </c>
      <c r="J123" s="43" t="s">
        <v>1905</v>
      </c>
      <c r="K123" s="298">
        <v>46126</v>
      </c>
      <c r="L123" s="955" t="s">
        <v>376</v>
      </c>
      <c r="M123" s="43" t="s">
        <v>230</v>
      </c>
      <c r="N123" s="43" t="s">
        <v>317</v>
      </c>
      <c r="O123" s="956">
        <v>46127</v>
      </c>
      <c r="P123" s="266"/>
      <c r="Q123" s="266" t="s">
        <v>4810</v>
      </c>
    </row>
    <row r="124" spans="1:17" ht="15" customHeight="1">
      <c r="A124" s="206"/>
      <c r="B124" s="320">
        <v>122</v>
      </c>
      <c r="C124" s="43">
        <v>447158</v>
      </c>
      <c r="D124" s="43">
        <v>7359273</v>
      </c>
      <c r="E124" s="244" t="s">
        <v>5120</v>
      </c>
      <c r="F124" s="43">
        <v>59</v>
      </c>
      <c r="G124" s="43" t="s">
        <v>5121</v>
      </c>
      <c r="H124" s="43" t="s">
        <v>222</v>
      </c>
      <c r="I124" s="43">
        <v>927239298</v>
      </c>
      <c r="J124" s="43" t="s">
        <v>283</v>
      </c>
      <c r="K124" s="298">
        <v>46126</v>
      </c>
      <c r="L124" s="955" t="s">
        <v>5122</v>
      </c>
      <c r="M124" s="43" t="s">
        <v>260</v>
      </c>
      <c r="N124" s="43" t="s">
        <v>241</v>
      </c>
      <c r="O124" s="767" t="s">
        <v>5123</v>
      </c>
      <c r="P124" s="244"/>
      <c r="Q124" s="242" t="s">
        <v>4944</v>
      </c>
    </row>
    <row r="125" spans="1:17" ht="15" customHeight="1">
      <c r="A125" s="206"/>
      <c r="B125" s="320">
        <v>123</v>
      </c>
      <c r="C125" s="43">
        <v>186043</v>
      </c>
      <c r="D125" s="43">
        <v>48744470</v>
      </c>
      <c r="E125" s="648" t="s">
        <v>5124</v>
      </c>
      <c r="F125" s="43">
        <v>58</v>
      </c>
      <c r="G125" s="43" t="s">
        <v>4056</v>
      </c>
      <c r="H125" s="43" t="s">
        <v>237</v>
      </c>
      <c r="I125" s="43">
        <v>913113013</v>
      </c>
      <c r="J125" s="43" t="s">
        <v>742</v>
      </c>
      <c r="K125" s="298">
        <v>46126</v>
      </c>
      <c r="L125" s="955" t="s">
        <v>376</v>
      </c>
      <c r="M125" s="43" t="s">
        <v>230</v>
      </c>
      <c r="N125" s="43" t="s">
        <v>317</v>
      </c>
      <c r="O125" s="956">
        <v>46127</v>
      </c>
      <c r="P125" s="266"/>
      <c r="Q125" s="266" t="s">
        <v>4848</v>
      </c>
    </row>
    <row r="126" spans="1:17" ht="15" customHeight="1">
      <c r="A126" s="206"/>
      <c r="B126" s="320">
        <v>124</v>
      </c>
      <c r="C126" s="43">
        <v>11489</v>
      </c>
      <c r="D126" s="43">
        <v>15614990</v>
      </c>
      <c r="E126" s="648" t="s">
        <v>5125</v>
      </c>
      <c r="F126" s="43">
        <v>61</v>
      </c>
      <c r="G126" s="43" t="s">
        <v>5126</v>
      </c>
      <c r="H126" s="43" t="s">
        <v>2731</v>
      </c>
      <c r="I126" s="43">
        <v>942892490</v>
      </c>
      <c r="J126" s="43" t="s">
        <v>238</v>
      </c>
      <c r="K126" s="298">
        <v>46126</v>
      </c>
      <c r="L126" s="955" t="s">
        <v>376</v>
      </c>
      <c r="M126" s="43" t="s">
        <v>230</v>
      </c>
      <c r="N126" s="43" t="s">
        <v>317</v>
      </c>
      <c r="O126" s="956">
        <v>46127</v>
      </c>
      <c r="P126" s="266"/>
      <c r="Q126" s="266" t="s">
        <v>4848</v>
      </c>
    </row>
    <row r="127" spans="1:17" ht="15" customHeight="1">
      <c r="A127" s="206"/>
      <c r="B127" s="320">
        <v>125</v>
      </c>
      <c r="C127" s="43">
        <v>524917</v>
      </c>
      <c r="D127" s="43">
        <v>16019905</v>
      </c>
      <c r="E127" s="648" t="s">
        <v>5127</v>
      </c>
      <c r="F127" s="43">
        <v>51</v>
      </c>
      <c r="G127" s="43" t="s">
        <v>5128</v>
      </c>
      <c r="H127" s="43" t="s">
        <v>461</v>
      </c>
      <c r="I127" s="43">
        <v>910471018</v>
      </c>
      <c r="J127" s="43" t="s">
        <v>162</v>
      </c>
      <c r="K127" s="298">
        <v>46126</v>
      </c>
      <c r="L127" s="955" t="s">
        <v>376</v>
      </c>
      <c r="M127" s="43" t="s">
        <v>230</v>
      </c>
      <c r="N127" s="43" t="s">
        <v>317</v>
      </c>
      <c r="O127" s="954">
        <v>46127</v>
      </c>
      <c r="P127" s="244"/>
      <c r="Q127" s="242" t="s">
        <v>4851</v>
      </c>
    </row>
    <row r="128" spans="1:17" ht="15" customHeight="1">
      <c r="A128" s="206"/>
      <c r="B128" s="320">
        <v>126</v>
      </c>
      <c r="C128" s="43">
        <v>104818</v>
      </c>
      <c r="D128" s="43">
        <v>15692232</v>
      </c>
      <c r="E128" s="648" t="s">
        <v>5129</v>
      </c>
      <c r="F128" s="43">
        <v>64</v>
      </c>
      <c r="G128" s="43" t="s">
        <v>5130</v>
      </c>
      <c r="H128" s="43" t="s">
        <v>237</v>
      </c>
      <c r="I128" s="43">
        <v>932027993</v>
      </c>
      <c r="J128" s="43" t="s">
        <v>742</v>
      </c>
      <c r="K128" s="298">
        <v>46126</v>
      </c>
      <c r="L128" s="955" t="s">
        <v>376</v>
      </c>
      <c r="M128" s="43" t="s">
        <v>230</v>
      </c>
      <c r="N128" s="43" t="s">
        <v>317</v>
      </c>
      <c r="O128" s="448">
        <v>46133</v>
      </c>
      <c r="P128" s="244"/>
      <c r="Q128" s="242" t="s">
        <v>4944</v>
      </c>
    </row>
    <row r="129" spans="1:17" ht="15" customHeight="1">
      <c r="A129" s="206"/>
      <c r="B129" s="320">
        <v>127</v>
      </c>
      <c r="C129" s="43">
        <v>416934</v>
      </c>
      <c r="D129" s="43">
        <v>15738313</v>
      </c>
      <c r="E129" s="648" t="s">
        <v>5131</v>
      </c>
      <c r="F129" s="43">
        <v>50</v>
      </c>
      <c r="G129" s="43" t="s">
        <v>5132</v>
      </c>
      <c r="H129" s="43" t="s">
        <v>222</v>
      </c>
      <c r="I129" s="43">
        <v>951348736</v>
      </c>
      <c r="J129" s="43" t="s">
        <v>223</v>
      </c>
      <c r="K129" s="298">
        <v>46126</v>
      </c>
      <c r="L129" s="955" t="s">
        <v>388</v>
      </c>
      <c r="M129" s="43" t="s">
        <v>230</v>
      </c>
      <c r="N129" s="43" t="s">
        <v>241</v>
      </c>
      <c r="O129" s="956">
        <v>46127</v>
      </c>
      <c r="P129" s="266"/>
      <c r="Q129" s="266" t="s">
        <v>227</v>
      </c>
    </row>
    <row r="130" spans="1:17" ht="15" customHeight="1">
      <c r="A130" s="206"/>
      <c r="B130" s="320">
        <v>128</v>
      </c>
      <c r="C130" s="43">
        <v>524915</v>
      </c>
      <c r="D130" s="43">
        <v>40367659</v>
      </c>
      <c r="E130" s="648" t="s">
        <v>5133</v>
      </c>
      <c r="F130" s="43">
        <v>46</v>
      </c>
      <c r="G130" s="43" t="s">
        <v>5134</v>
      </c>
      <c r="H130" s="43" t="s">
        <v>461</v>
      </c>
      <c r="I130" s="43">
        <v>907054272</v>
      </c>
      <c r="J130" s="43" t="s">
        <v>162</v>
      </c>
      <c r="K130" s="298">
        <v>46126</v>
      </c>
      <c r="L130" s="992" t="s">
        <v>376</v>
      </c>
      <c r="M130" s="43" t="s">
        <v>230</v>
      </c>
      <c r="N130" s="43" t="s">
        <v>317</v>
      </c>
      <c r="O130" s="993">
        <v>46132</v>
      </c>
      <c r="P130" s="244"/>
      <c r="Q130" s="242" t="s">
        <v>4844</v>
      </c>
    </row>
    <row r="131" spans="1:17" ht="15" customHeight="1">
      <c r="A131" s="266"/>
      <c r="B131" s="320">
        <v>129</v>
      </c>
      <c r="C131" s="266">
        <v>524914</v>
      </c>
      <c r="D131" s="266" t="s">
        <v>5135</v>
      </c>
      <c r="E131" s="669" t="s">
        <v>5136</v>
      </c>
      <c r="F131" s="266">
        <v>53</v>
      </c>
      <c r="G131" s="266" t="s">
        <v>5137</v>
      </c>
      <c r="H131" s="266" t="s">
        <v>461</v>
      </c>
      <c r="I131" s="266">
        <v>970549925</v>
      </c>
      <c r="J131" s="266" t="s">
        <v>162</v>
      </c>
      <c r="K131" s="298">
        <v>46126</v>
      </c>
      <c r="L131" s="266" t="s">
        <v>376</v>
      </c>
      <c r="M131" s="266" t="s">
        <v>230</v>
      </c>
      <c r="N131" s="43" t="s">
        <v>317</v>
      </c>
      <c r="O131" s="993">
        <v>46132</v>
      </c>
      <c r="P131" s="266"/>
      <c r="Q131" s="242" t="s">
        <v>4844</v>
      </c>
    </row>
    <row r="132" spans="1:17" ht="15" customHeight="1">
      <c r="A132" s="266"/>
      <c r="B132" s="320">
        <v>130</v>
      </c>
      <c r="C132" s="266">
        <v>524913</v>
      </c>
      <c r="D132" s="266">
        <v>33641699</v>
      </c>
      <c r="E132" s="669" t="s">
        <v>5138</v>
      </c>
      <c r="F132" s="266">
        <v>64</v>
      </c>
      <c r="G132" s="266" t="s">
        <v>5139</v>
      </c>
      <c r="H132" s="266" t="s">
        <v>461</v>
      </c>
      <c r="I132" s="266">
        <v>923526594</v>
      </c>
      <c r="J132" s="266" t="s">
        <v>162</v>
      </c>
      <c r="K132" s="298">
        <v>46126</v>
      </c>
      <c r="L132" s="266" t="s">
        <v>5140</v>
      </c>
      <c r="M132" s="266" t="s">
        <v>312</v>
      </c>
      <c r="N132" s="43" t="s">
        <v>317</v>
      </c>
      <c r="O132" s="993">
        <v>46132</v>
      </c>
      <c r="P132" s="266"/>
      <c r="Q132" s="242" t="s">
        <v>4844</v>
      </c>
    </row>
    <row r="133" spans="1:17" ht="15" customHeight="1">
      <c r="A133" s="266"/>
      <c r="B133" s="320">
        <v>131</v>
      </c>
      <c r="C133" s="266">
        <v>36407</v>
      </c>
      <c r="D133" s="266">
        <v>15616350</v>
      </c>
      <c r="E133" s="669" t="s">
        <v>5141</v>
      </c>
      <c r="F133" s="266">
        <v>58</v>
      </c>
      <c r="G133" s="266" t="s">
        <v>5142</v>
      </c>
      <c r="H133" s="266" t="s">
        <v>278</v>
      </c>
      <c r="I133" s="266">
        <v>961361383</v>
      </c>
      <c r="J133" s="266" t="s">
        <v>238</v>
      </c>
      <c r="K133" s="298">
        <v>46126</v>
      </c>
      <c r="L133" s="266" t="s">
        <v>388</v>
      </c>
      <c r="M133" s="43" t="s">
        <v>230</v>
      </c>
      <c r="N133" s="43" t="s">
        <v>317</v>
      </c>
      <c r="O133" s="954">
        <v>46127</v>
      </c>
      <c r="P133" s="266"/>
      <c r="Q133" s="266"/>
    </row>
    <row r="134" spans="1:17" ht="15" customHeight="1">
      <c r="A134" s="262" t="s">
        <v>2910</v>
      </c>
      <c r="B134" s="320">
        <v>132</v>
      </c>
      <c r="C134" s="43">
        <v>524930</v>
      </c>
      <c r="D134" s="43">
        <v>32299407</v>
      </c>
      <c r="E134" s="648" t="s">
        <v>5143</v>
      </c>
      <c r="F134" s="43">
        <v>55</v>
      </c>
      <c r="G134" s="43" t="s">
        <v>5144</v>
      </c>
      <c r="H134" s="43" t="s">
        <v>354</v>
      </c>
      <c r="I134" s="43">
        <v>998804993</v>
      </c>
      <c r="J134" s="43" t="s">
        <v>162</v>
      </c>
      <c r="K134" s="298">
        <v>46126</v>
      </c>
      <c r="L134" s="955" t="s">
        <v>376</v>
      </c>
      <c r="M134" s="43" t="s">
        <v>230</v>
      </c>
      <c r="N134" s="43" t="s">
        <v>317</v>
      </c>
      <c r="O134" s="954">
        <v>46127</v>
      </c>
      <c r="P134" s="244"/>
      <c r="Q134" s="242" t="s">
        <v>4851</v>
      </c>
    </row>
    <row r="135" spans="1:17" ht="15" customHeight="1">
      <c r="A135" s="206"/>
      <c r="B135" s="320">
        <v>133</v>
      </c>
      <c r="C135" s="43">
        <v>138425</v>
      </c>
      <c r="D135" s="43">
        <v>43274456</v>
      </c>
      <c r="E135" s="648" t="s">
        <v>5145</v>
      </c>
      <c r="F135" s="43">
        <v>43</v>
      </c>
      <c r="G135" s="43" t="s">
        <v>5146</v>
      </c>
      <c r="H135" s="43" t="s">
        <v>301</v>
      </c>
      <c r="I135" s="43">
        <v>942228592</v>
      </c>
      <c r="J135" s="43" t="s">
        <v>302</v>
      </c>
      <c r="K135" s="298">
        <v>46126</v>
      </c>
      <c r="L135" s="955" t="s">
        <v>376</v>
      </c>
      <c r="M135" s="43" t="s">
        <v>312</v>
      </c>
      <c r="N135" s="43" t="s">
        <v>317</v>
      </c>
      <c r="O135" s="956">
        <v>46127</v>
      </c>
      <c r="P135" s="266"/>
      <c r="Q135" s="242" t="s">
        <v>4851</v>
      </c>
    </row>
    <row r="136" spans="1:17" ht="15" customHeight="1">
      <c r="A136" s="206"/>
      <c r="B136" s="320">
        <v>134</v>
      </c>
      <c r="C136" s="43">
        <v>177518</v>
      </c>
      <c r="D136" s="43">
        <v>15758407</v>
      </c>
      <c r="E136" s="648" t="s">
        <v>5147</v>
      </c>
      <c r="F136" s="43">
        <v>49</v>
      </c>
      <c r="G136" s="43" t="s">
        <v>5148</v>
      </c>
      <c r="H136" s="43" t="s">
        <v>237</v>
      </c>
      <c r="I136" s="43">
        <v>944716093</v>
      </c>
      <c r="J136" s="43" t="s">
        <v>384</v>
      </c>
      <c r="K136" s="298">
        <v>46126</v>
      </c>
      <c r="L136" s="955" t="s">
        <v>376</v>
      </c>
      <c r="M136" s="43" t="s">
        <v>230</v>
      </c>
      <c r="N136" s="43" t="s">
        <v>317</v>
      </c>
      <c r="O136" s="956">
        <v>46127</v>
      </c>
      <c r="P136" s="266"/>
      <c r="Q136" s="266" t="s">
        <v>4887</v>
      </c>
    </row>
    <row r="137" spans="1:17" ht="15" customHeight="1">
      <c r="A137" s="206"/>
      <c r="B137" s="320">
        <v>135</v>
      </c>
      <c r="C137" s="43">
        <v>524932</v>
      </c>
      <c r="D137" s="43">
        <v>41422289</v>
      </c>
      <c r="E137" s="648" t="s">
        <v>5149</v>
      </c>
      <c r="F137" s="43">
        <v>43</v>
      </c>
      <c r="G137" s="43" t="s">
        <v>5150</v>
      </c>
      <c r="H137" s="43" t="s">
        <v>461</v>
      </c>
      <c r="I137" s="43">
        <v>970288788</v>
      </c>
      <c r="J137" s="43" t="s">
        <v>162</v>
      </c>
      <c r="K137" s="298">
        <v>46126</v>
      </c>
      <c r="L137" s="955" t="s">
        <v>376</v>
      </c>
      <c r="M137" s="43" t="s">
        <v>230</v>
      </c>
      <c r="N137" s="43" t="s">
        <v>317</v>
      </c>
      <c r="O137" s="954">
        <v>46127</v>
      </c>
      <c r="P137" s="244"/>
      <c r="Q137" s="242" t="s">
        <v>4851</v>
      </c>
    </row>
    <row r="138" spans="1:17" ht="15" customHeight="1">
      <c r="A138" s="206"/>
      <c r="B138" s="320">
        <v>136</v>
      </c>
      <c r="C138" s="43">
        <v>185848</v>
      </c>
      <c r="D138" s="43">
        <v>15694109</v>
      </c>
      <c r="E138" s="648" t="s">
        <v>5151</v>
      </c>
      <c r="F138" s="43">
        <v>56</v>
      </c>
      <c r="G138" s="43" t="s">
        <v>5152</v>
      </c>
      <c r="H138" s="43" t="s">
        <v>237</v>
      </c>
      <c r="I138" s="43">
        <v>965966781</v>
      </c>
      <c r="J138" s="43" t="s">
        <v>238</v>
      </c>
      <c r="K138" s="298">
        <v>46126</v>
      </c>
      <c r="L138" s="955" t="s">
        <v>376</v>
      </c>
      <c r="M138" s="43" t="s">
        <v>230</v>
      </c>
      <c r="N138" s="43" t="s">
        <v>317</v>
      </c>
      <c r="O138" s="954">
        <v>46127</v>
      </c>
      <c r="P138" s="244"/>
      <c r="Q138" s="242" t="s">
        <v>4851</v>
      </c>
    </row>
    <row r="139" spans="1:17" ht="15" customHeight="1">
      <c r="A139" s="261">
        <v>46127</v>
      </c>
      <c r="B139" s="320">
        <v>137</v>
      </c>
      <c r="C139" s="43">
        <v>213609</v>
      </c>
      <c r="D139" s="266">
        <v>15744926</v>
      </c>
      <c r="E139" s="648" t="s">
        <v>5153</v>
      </c>
      <c r="F139" s="43">
        <v>59</v>
      </c>
      <c r="G139" s="43" t="s">
        <v>5154</v>
      </c>
      <c r="H139" s="43" t="s">
        <v>301</v>
      </c>
      <c r="I139" s="43" t="s">
        <v>5155</v>
      </c>
      <c r="J139" s="43" t="s">
        <v>380</v>
      </c>
      <c r="K139" s="44">
        <v>46127</v>
      </c>
      <c r="L139" s="955" t="s">
        <v>376</v>
      </c>
      <c r="M139" s="43" t="s">
        <v>230</v>
      </c>
      <c r="N139" s="43" t="s">
        <v>317</v>
      </c>
      <c r="O139" s="767" t="s">
        <v>5123</v>
      </c>
      <c r="P139" s="244"/>
      <c r="Q139" s="242" t="s">
        <v>4971</v>
      </c>
    </row>
    <row r="140" spans="1:17" ht="15" customHeight="1">
      <c r="A140" s="266"/>
      <c r="B140" s="320">
        <v>138</v>
      </c>
      <c r="C140" s="266">
        <v>206830</v>
      </c>
      <c r="D140" s="957">
        <v>48141679</v>
      </c>
      <c r="E140" s="958" t="s">
        <v>5156</v>
      </c>
      <c r="F140" s="957">
        <v>49</v>
      </c>
      <c r="G140" s="266" t="s">
        <v>5157</v>
      </c>
      <c r="H140" s="266" t="s">
        <v>301</v>
      </c>
      <c r="I140" s="957">
        <v>972538816</v>
      </c>
      <c r="J140" s="957" t="s">
        <v>302</v>
      </c>
      <c r="K140" s="44">
        <v>46127</v>
      </c>
      <c r="L140" s="266" t="s">
        <v>376</v>
      </c>
      <c r="M140" s="266" t="s">
        <v>230</v>
      </c>
      <c r="N140" s="43" t="s">
        <v>317</v>
      </c>
      <c r="O140" s="956">
        <v>46133</v>
      </c>
      <c r="P140" s="266"/>
      <c r="Q140" s="266" t="s">
        <v>5158</v>
      </c>
    </row>
    <row r="141" spans="1:17" ht="15" customHeight="1">
      <c r="A141" s="266"/>
      <c r="B141" s="320">
        <v>139</v>
      </c>
      <c r="C141" s="266">
        <v>259294</v>
      </c>
      <c r="D141" s="957">
        <v>15732940</v>
      </c>
      <c r="E141" s="958" t="s">
        <v>5159</v>
      </c>
      <c r="F141" s="957">
        <v>52</v>
      </c>
      <c r="G141" s="266" t="s">
        <v>5160</v>
      </c>
      <c r="H141" s="266" t="s">
        <v>301</v>
      </c>
      <c r="I141" s="957">
        <v>949300217</v>
      </c>
      <c r="J141" s="957" t="s">
        <v>302</v>
      </c>
      <c r="K141" s="298">
        <v>46127</v>
      </c>
      <c r="L141" s="266" t="s">
        <v>376</v>
      </c>
      <c r="M141" s="266" t="s">
        <v>230</v>
      </c>
      <c r="N141" s="43" t="s">
        <v>317</v>
      </c>
      <c r="O141" s="956">
        <v>46133</v>
      </c>
      <c r="P141" s="266"/>
      <c r="Q141" s="266" t="s">
        <v>5158</v>
      </c>
    </row>
    <row r="142" spans="1:17" ht="15" customHeight="1">
      <c r="A142" s="266"/>
      <c r="B142" s="320">
        <v>140</v>
      </c>
      <c r="C142" s="266"/>
      <c r="D142" s="266">
        <v>41062781</v>
      </c>
      <c r="E142" s="669" t="s">
        <v>5161</v>
      </c>
      <c r="F142" s="266">
        <v>44</v>
      </c>
      <c r="G142" s="266" t="s">
        <v>5162</v>
      </c>
      <c r="H142" s="266" t="s">
        <v>326</v>
      </c>
      <c r="I142" s="266">
        <v>936214218</v>
      </c>
      <c r="J142" s="266" t="s">
        <v>328</v>
      </c>
      <c r="K142" s="298">
        <v>46127</v>
      </c>
      <c r="L142" s="266" t="s">
        <v>376</v>
      </c>
      <c r="M142" s="266" t="s">
        <v>230</v>
      </c>
      <c r="N142" s="43" t="s">
        <v>317</v>
      </c>
      <c r="O142" s="956">
        <v>46133</v>
      </c>
      <c r="P142" s="266"/>
      <c r="Q142" s="266" t="s">
        <v>5163</v>
      </c>
    </row>
    <row r="143" spans="1:17" ht="15" customHeight="1">
      <c r="A143" s="266"/>
      <c r="B143" s="320">
        <v>141</v>
      </c>
      <c r="C143" s="266">
        <v>84935</v>
      </c>
      <c r="D143" s="266">
        <v>15592379</v>
      </c>
      <c r="E143" s="669" t="s">
        <v>5164</v>
      </c>
      <c r="F143" s="266">
        <v>64</v>
      </c>
      <c r="G143" s="266" t="s">
        <v>5165</v>
      </c>
      <c r="H143" s="266"/>
      <c r="I143" s="266">
        <v>931849792</v>
      </c>
      <c r="J143" s="266" t="s">
        <v>289</v>
      </c>
      <c r="K143" s="298">
        <v>46127</v>
      </c>
      <c r="L143" s="266" t="s">
        <v>376</v>
      </c>
      <c r="M143" s="266" t="s">
        <v>230</v>
      </c>
      <c r="N143" s="43" t="s">
        <v>317</v>
      </c>
      <c r="O143" s="956">
        <v>46134</v>
      </c>
      <c r="P143" s="266"/>
      <c r="Q143" s="266" t="s">
        <v>2708</v>
      </c>
    </row>
    <row r="144" spans="1:17" ht="15" customHeight="1">
      <c r="A144" s="206"/>
      <c r="B144" s="320">
        <v>142</v>
      </c>
      <c r="C144" s="43">
        <v>461003</v>
      </c>
      <c r="D144" s="43">
        <v>22287685</v>
      </c>
      <c r="E144" s="648" t="s">
        <v>5166</v>
      </c>
      <c r="F144" s="43">
        <v>57</v>
      </c>
      <c r="G144" s="43" t="s">
        <v>5167</v>
      </c>
      <c r="H144" s="43" t="s">
        <v>461</v>
      </c>
      <c r="I144" s="43">
        <v>969284000</v>
      </c>
      <c r="J144" s="43" t="s">
        <v>162</v>
      </c>
      <c r="K144" s="44">
        <v>46127</v>
      </c>
      <c r="L144" s="955" t="s">
        <v>388</v>
      </c>
      <c r="M144" s="43" t="s">
        <v>230</v>
      </c>
      <c r="N144" s="43" t="s">
        <v>241</v>
      </c>
      <c r="O144" s="993">
        <v>46132</v>
      </c>
      <c r="P144" s="244"/>
      <c r="Q144" s="242" t="s">
        <v>4844</v>
      </c>
    </row>
    <row r="145" spans="1:27" ht="15" customHeight="1">
      <c r="A145" s="266"/>
      <c r="B145" s="320">
        <v>143</v>
      </c>
      <c r="C145" s="266"/>
      <c r="D145" s="957">
        <v>15763057</v>
      </c>
      <c r="E145" s="958" t="s">
        <v>5168</v>
      </c>
      <c r="F145" s="957">
        <v>47</v>
      </c>
      <c r="G145" s="266" t="s">
        <v>5169</v>
      </c>
      <c r="H145" s="266" t="s">
        <v>301</v>
      </c>
      <c r="I145" s="957">
        <v>915200508</v>
      </c>
      <c r="J145" s="957" t="s">
        <v>302</v>
      </c>
      <c r="K145" s="298">
        <v>46127</v>
      </c>
      <c r="L145" s="266" t="s">
        <v>388</v>
      </c>
      <c r="M145" s="266" t="s">
        <v>230</v>
      </c>
      <c r="N145" s="43" t="s">
        <v>241</v>
      </c>
      <c r="O145" s="956">
        <v>46133</v>
      </c>
      <c r="P145" s="266"/>
      <c r="Q145" s="266" t="s">
        <v>5158</v>
      </c>
    </row>
    <row r="146" spans="1:27" ht="15" customHeight="1">
      <c r="A146" s="266"/>
      <c r="B146" s="320">
        <v>144</v>
      </c>
      <c r="C146" s="266"/>
      <c r="D146" s="957">
        <v>15741176</v>
      </c>
      <c r="E146" s="958" t="s">
        <v>5170</v>
      </c>
      <c r="F146" s="957">
        <v>51</v>
      </c>
      <c r="G146" s="266" t="s">
        <v>5171</v>
      </c>
      <c r="H146" s="266" t="s">
        <v>326</v>
      </c>
      <c r="I146" s="957">
        <v>915229334</v>
      </c>
      <c r="J146" s="957" t="s">
        <v>302</v>
      </c>
      <c r="K146" s="298">
        <v>46127</v>
      </c>
      <c r="L146" s="266" t="s">
        <v>388</v>
      </c>
      <c r="M146" s="266" t="s">
        <v>230</v>
      </c>
      <c r="N146" s="43" t="s">
        <v>241</v>
      </c>
      <c r="O146" s="956">
        <v>46133</v>
      </c>
      <c r="P146" s="266"/>
      <c r="Q146" s="266" t="s">
        <v>5158</v>
      </c>
    </row>
    <row r="147" spans="1:27" ht="15" customHeight="1">
      <c r="A147" s="266"/>
      <c r="B147" s="320">
        <v>145</v>
      </c>
      <c r="C147" s="266"/>
      <c r="D147" s="266" t="s">
        <v>5172</v>
      </c>
      <c r="E147" s="669" t="s">
        <v>5173</v>
      </c>
      <c r="F147" s="266">
        <v>58</v>
      </c>
      <c r="G147" s="266" t="s">
        <v>5174</v>
      </c>
      <c r="H147" s="266" t="s">
        <v>432</v>
      </c>
      <c r="I147" s="266">
        <v>990599810</v>
      </c>
      <c r="J147" s="266" t="s">
        <v>1209</v>
      </c>
      <c r="K147" s="298">
        <v>46127</v>
      </c>
      <c r="L147" s="266" t="s">
        <v>388</v>
      </c>
      <c r="M147" s="266" t="s">
        <v>230</v>
      </c>
      <c r="N147" s="43" t="s">
        <v>241</v>
      </c>
      <c r="O147" s="956">
        <v>46133</v>
      </c>
      <c r="P147" s="266"/>
      <c r="Q147" s="266" t="s">
        <v>4944</v>
      </c>
    </row>
    <row r="148" spans="1:27" ht="15" customHeight="1">
      <c r="A148" s="206"/>
      <c r="B148" s="320">
        <v>146</v>
      </c>
      <c r="C148" s="43">
        <v>114074</v>
      </c>
      <c r="D148" s="43">
        <v>15698581</v>
      </c>
      <c r="E148" s="648" t="s">
        <v>5175</v>
      </c>
      <c r="F148" s="43">
        <v>60</v>
      </c>
      <c r="G148" s="43" t="s">
        <v>5176</v>
      </c>
      <c r="H148" s="43" t="s">
        <v>246</v>
      </c>
      <c r="I148" s="43">
        <v>951211698</v>
      </c>
      <c r="J148" s="43" t="s">
        <v>238</v>
      </c>
      <c r="K148" s="44">
        <v>46127</v>
      </c>
      <c r="L148" s="955" t="s">
        <v>5177</v>
      </c>
      <c r="M148" s="43" t="s">
        <v>323</v>
      </c>
      <c r="N148" s="43" t="s">
        <v>5178</v>
      </c>
      <c r="O148" s="993">
        <v>46132</v>
      </c>
      <c r="P148" s="244"/>
      <c r="Q148" s="242"/>
    </row>
    <row r="149" spans="1:27" ht="15" customHeight="1">
      <c r="A149" s="206"/>
      <c r="B149" s="320">
        <v>147</v>
      </c>
      <c r="C149" s="43">
        <v>524951</v>
      </c>
      <c r="D149" s="43">
        <v>15999558</v>
      </c>
      <c r="E149" s="648" t="s">
        <v>5179</v>
      </c>
      <c r="F149" s="43">
        <v>58</v>
      </c>
      <c r="G149" s="43" t="s">
        <v>5180</v>
      </c>
      <c r="H149" s="43" t="s">
        <v>354</v>
      </c>
      <c r="I149" s="43">
        <v>969827966</v>
      </c>
      <c r="J149" s="43" t="s">
        <v>162</v>
      </c>
      <c r="K149" s="44">
        <v>46127</v>
      </c>
      <c r="L149" s="955" t="s">
        <v>3998</v>
      </c>
      <c r="M149" s="43" t="s">
        <v>312</v>
      </c>
      <c r="N149" s="43" t="s">
        <v>317</v>
      </c>
      <c r="O149" s="993">
        <v>46132</v>
      </c>
      <c r="P149" s="244"/>
      <c r="Q149" s="242" t="s">
        <v>4844</v>
      </c>
    </row>
    <row r="150" spans="1:27" ht="15" customHeight="1">
      <c r="A150" s="206"/>
      <c r="B150" s="320">
        <v>148</v>
      </c>
      <c r="C150" s="43">
        <v>132168</v>
      </c>
      <c r="D150" s="43">
        <v>43121845</v>
      </c>
      <c r="E150" s="648" t="s">
        <v>5181</v>
      </c>
      <c r="F150" s="43">
        <v>40</v>
      </c>
      <c r="G150" s="43" t="s">
        <v>5182</v>
      </c>
      <c r="H150" s="43" t="s">
        <v>222</v>
      </c>
      <c r="I150" s="43" t="s">
        <v>5183</v>
      </c>
      <c r="J150" s="43" t="s">
        <v>238</v>
      </c>
      <c r="K150" s="44">
        <v>46127</v>
      </c>
      <c r="L150" s="955" t="s">
        <v>376</v>
      </c>
      <c r="M150" s="43" t="s">
        <v>230</v>
      </c>
      <c r="N150" s="43" t="s">
        <v>317</v>
      </c>
      <c r="O150" s="993">
        <v>46132</v>
      </c>
      <c r="P150" s="244"/>
      <c r="Q150" s="242"/>
      <c r="R150" s="242" t="s">
        <v>5184</v>
      </c>
    </row>
    <row r="151" spans="1:27" ht="15" customHeight="1">
      <c r="A151" s="206"/>
      <c r="B151" s="320">
        <v>149</v>
      </c>
      <c r="C151" s="43">
        <v>419077</v>
      </c>
      <c r="D151" s="43">
        <v>15598279</v>
      </c>
      <c r="E151" s="648" t="s">
        <v>5185</v>
      </c>
      <c r="F151" s="43">
        <v>65</v>
      </c>
      <c r="G151" s="43" t="s">
        <v>5186</v>
      </c>
      <c r="H151" s="43" t="s">
        <v>278</v>
      </c>
      <c r="I151" s="43" t="s">
        <v>5187</v>
      </c>
      <c r="J151" s="43" t="s">
        <v>384</v>
      </c>
      <c r="K151" s="44">
        <v>46127</v>
      </c>
      <c r="L151" s="955" t="s">
        <v>376</v>
      </c>
      <c r="M151" s="43" t="s">
        <v>230</v>
      </c>
      <c r="N151" s="43" t="s">
        <v>317</v>
      </c>
      <c r="O151" s="448">
        <v>46133</v>
      </c>
      <c r="P151" s="244"/>
      <c r="Q151" s="242" t="s">
        <v>4887</v>
      </c>
    </row>
    <row r="152" spans="1:27" ht="15" customHeight="1">
      <c r="A152" s="206"/>
      <c r="B152" s="320">
        <v>150</v>
      </c>
      <c r="C152" s="43">
        <v>455801</v>
      </c>
      <c r="D152" s="266">
        <v>15985561</v>
      </c>
      <c r="E152" s="648" t="s">
        <v>5188</v>
      </c>
      <c r="F152" s="43">
        <v>67</v>
      </c>
      <c r="G152" s="43" t="s">
        <v>5189</v>
      </c>
      <c r="H152" s="43" t="s">
        <v>271</v>
      </c>
      <c r="I152" s="43">
        <v>942173903</v>
      </c>
      <c r="J152" s="43" t="s">
        <v>164</v>
      </c>
      <c r="K152" s="44">
        <v>46127</v>
      </c>
      <c r="L152" s="955" t="s">
        <v>376</v>
      </c>
      <c r="M152" s="43" t="s">
        <v>230</v>
      </c>
      <c r="N152" s="43" t="s">
        <v>317</v>
      </c>
      <c r="O152" s="993">
        <v>46132</v>
      </c>
      <c r="P152" s="244"/>
      <c r="Q152" s="242" t="s">
        <v>4844</v>
      </c>
    </row>
    <row r="153" spans="1:27" ht="15" customHeight="1">
      <c r="A153" s="977" t="s">
        <v>513</v>
      </c>
      <c r="B153" s="320">
        <v>151</v>
      </c>
      <c r="C153" s="267">
        <v>168919</v>
      </c>
      <c r="D153" s="267">
        <v>45399886</v>
      </c>
      <c r="E153" s="975" t="s">
        <v>5190</v>
      </c>
      <c r="F153" s="267">
        <v>45</v>
      </c>
      <c r="G153" s="267" t="s">
        <v>5191</v>
      </c>
      <c r="H153" s="267" t="s">
        <v>326</v>
      </c>
      <c r="I153" s="267">
        <v>934536531</v>
      </c>
      <c r="J153" s="267" t="s">
        <v>375</v>
      </c>
      <c r="K153" s="299">
        <v>46127</v>
      </c>
      <c r="L153" s="267" t="s">
        <v>5192</v>
      </c>
      <c r="M153" s="267" t="s">
        <v>4326</v>
      </c>
      <c r="N153" s="267" t="s">
        <v>5193</v>
      </c>
      <c r="O153" s="962">
        <v>46133</v>
      </c>
      <c r="P153" s="267"/>
      <c r="Q153" s="267" t="s">
        <v>5194</v>
      </c>
    </row>
    <row r="154" spans="1:27" ht="15" customHeight="1">
      <c r="A154" s="266"/>
      <c r="B154" s="320">
        <v>152</v>
      </c>
      <c r="C154" s="266">
        <v>293280</v>
      </c>
      <c r="D154" s="266">
        <v>43935563</v>
      </c>
      <c r="E154" s="669" t="s">
        <v>5195</v>
      </c>
      <c r="F154" s="266">
        <v>42</v>
      </c>
      <c r="G154" s="266" t="s">
        <v>5196</v>
      </c>
      <c r="H154" s="266" t="s">
        <v>222</v>
      </c>
      <c r="I154" s="266">
        <v>933663665</v>
      </c>
      <c r="J154" s="266" t="s">
        <v>223</v>
      </c>
      <c r="K154" s="298">
        <v>46127</v>
      </c>
      <c r="L154" s="266" t="s">
        <v>376</v>
      </c>
      <c r="M154" s="266" t="s">
        <v>230</v>
      </c>
      <c r="N154" s="43" t="s">
        <v>317</v>
      </c>
      <c r="O154" s="956">
        <v>46133</v>
      </c>
      <c r="P154" s="266"/>
      <c r="Q154" s="266" t="s">
        <v>227</v>
      </c>
    </row>
    <row r="155" spans="1:27" ht="15" customHeight="1">
      <c r="A155" s="266"/>
      <c r="B155" s="320">
        <v>153</v>
      </c>
      <c r="C155" s="266">
        <v>466870</v>
      </c>
      <c r="D155" s="963">
        <v>15968993</v>
      </c>
      <c r="E155" s="964" t="s">
        <v>5197</v>
      </c>
      <c r="F155" s="266">
        <v>68</v>
      </c>
      <c r="G155" s="963" t="s">
        <v>5198</v>
      </c>
      <c r="H155" s="963" t="s">
        <v>1885</v>
      </c>
      <c r="I155" s="963">
        <v>924004480</v>
      </c>
      <c r="J155" s="266" t="s">
        <v>164</v>
      </c>
      <c r="K155" s="298">
        <v>46127</v>
      </c>
      <c r="L155" s="266" t="s">
        <v>376</v>
      </c>
      <c r="M155" s="266" t="s">
        <v>230</v>
      </c>
      <c r="N155" s="43" t="s">
        <v>317</v>
      </c>
      <c r="O155" s="993">
        <v>46132</v>
      </c>
      <c r="P155" s="266"/>
      <c r="Q155" s="242" t="s">
        <v>4844</v>
      </c>
    </row>
    <row r="156" spans="1:27" ht="15" customHeight="1">
      <c r="A156" s="266"/>
      <c r="B156" s="320">
        <v>154</v>
      </c>
      <c r="C156" s="266">
        <v>524967</v>
      </c>
      <c r="D156" s="266">
        <v>27437212</v>
      </c>
      <c r="E156" s="669" t="s">
        <v>5199</v>
      </c>
      <c r="F156" s="266">
        <v>48</v>
      </c>
      <c r="G156" s="266" t="s">
        <v>5200</v>
      </c>
      <c r="H156" s="266" t="s">
        <v>301</v>
      </c>
      <c r="I156" s="266">
        <v>914866577</v>
      </c>
      <c r="J156" s="266" t="s">
        <v>380</v>
      </c>
      <c r="K156" s="298">
        <v>46127</v>
      </c>
      <c r="L156" s="266" t="s">
        <v>376</v>
      </c>
      <c r="M156" s="266" t="s">
        <v>230</v>
      </c>
      <c r="N156" s="43" t="s">
        <v>317</v>
      </c>
      <c r="O156" s="767" t="s">
        <v>5123</v>
      </c>
      <c r="P156" s="244"/>
      <c r="Q156" s="242" t="s">
        <v>4971</v>
      </c>
    </row>
    <row r="157" spans="1:27" ht="15" customHeight="1">
      <c r="A157" s="266"/>
      <c r="B157" s="320">
        <v>155</v>
      </c>
      <c r="C157" s="266">
        <v>357345</v>
      </c>
      <c r="D157" s="266">
        <v>15685385</v>
      </c>
      <c r="E157" s="669" t="s">
        <v>5201</v>
      </c>
      <c r="F157" s="266">
        <v>49</v>
      </c>
      <c r="G157" s="266" t="s">
        <v>5202</v>
      </c>
      <c r="H157" s="266" t="s">
        <v>246</v>
      </c>
      <c r="I157" s="266">
        <v>940134180</v>
      </c>
      <c r="J157" s="266" t="s">
        <v>238</v>
      </c>
      <c r="K157" s="298">
        <v>46127</v>
      </c>
      <c r="L157" s="266" t="s">
        <v>376</v>
      </c>
      <c r="M157" s="266" t="s">
        <v>230</v>
      </c>
      <c r="N157" s="43" t="s">
        <v>317</v>
      </c>
      <c r="O157" s="993">
        <v>46132</v>
      </c>
      <c r="P157" s="266"/>
      <c r="Q157" s="266"/>
    </row>
    <row r="158" spans="1:27" ht="15" customHeight="1">
      <c r="A158" s="1002" t="s">
        <v>219</v>
      </c>
      <c r="B158" s="320">
        <v>156</v>
      </c>
      <c r="C158" s="143">
        <v>7198</v>
      </c>
      <c r="D158" s="143">
        <v>15603678</v>
      </c>
      <c r="E158" s="143" t="s">
        <v>4583</v>
      </c>
      <c r="F158" s="143">
        <v>63</v>
      </c>
      <c r="G158" s="143" t="s">
        <v>4584</v>
      </c>
      <c r="H158" s="143" t="s">
        <v>278</v>
      </c>
      <c r="I158" s="143">
        <v>988270672</v>
      </c>
      <c r="J158" s="143" t="s">
        <v>238</v>
      </c>
      <c r="K158" s="994">
        <v>46108</v>
      </c>
      <c r="L158" s="995" t="s">
        <v>4585</v>
      </c>
      <c r="M158" s="143" t="s">
        <v>323</v>
      </c>
      <c r="N158" s="143" t="s">
        <v>5203</v>
      </c>
      <c r="O158" s="996">
        <v>46112</v>
      </c>
      <c r="P158" s="143"/>
      <c r="Q158" s="143" t="s">
        <v>4895</v>
      </c>
      <c r="W158" s="44">
        <v>46127</v>
      </c>
      <c r="X158" s="43" t="s">
        <v>5204</v>
      </c>
      <c r="Y158" s="43" t="s">
        <v>241</v>
      </c>
      <c r="Z158" s="43" t="s">
        <v>312</v>
      </c>
      <c r="AA158" s="1110">
        <v>46134</v>
      </c>
    </row>
    <row r="159" spans="1:27" ht="15" customHeight="1">
      <c r="A159" s="206"/>
      <c r="B159" s="320">
        <v>157</v>
      </c>
      <c r="C159" s="43">
        <v>524973</v>
      </c>
      <c r="D159" s="43" t="s">
        <v>5205</v>
      </c>
      <c r="E159" s="648" t="s">
        <v>5206</v>
      </c>
      <c r="F159" s="43">
        <v>64</v>
      </c>
      <c r="G159" s="43" t="s">
        <v>5207</v>
      </c>
      <c r="H159" s="43" t="s">
        <v>461</v>
      </c>
      <c r="I159" s="43">
        <v>936894375</v>
      </c>
      <c r="J159" s="43" t="s">
        <v>162</v>
      </c>
      <c r="K159" s="44">
        <v>46127</v>
      </c>
      <c r="L159" s="955" t="s">
        <v>376</v>
      </c>
      <c r="M159" s="43" t="s">
        <v>230</v>
      </c>
      <c r="N159" s="43" t="s">
        <v>317</v>
      </c>
      <c r="O159" s="993">
        <v>46132</v>
      </c>
      <c r="P159" s="244"/>
      <c r="Q159" s="242" t="s">
        <v>4844</v>
      </c>
    </row>
    <row r="160" spans="1:27" ht="15" customHeight="1">
      <c r="A160" s="267"/>
      <c r="B160" s="320">
        <v>158</v>
      </c>
      <c r="C160" s="267">
        <v>524974</v>
      </c>
      <c r="D160" s="978">
        <v>42829743</v>
      </c>
      <c r="E160" s="979" t="s">
        <v>5208</v>
      </c>
      <c r="F160" s="267">
        <v>41</v>
      </c>
      <c r="G160" s="990" t="s">
        <v>5209</v>
      </c>
      <c r="H160" s="978" t="s">
        <v>1885</v>
      </c>
      <c r="I160" s="978">
        <v>934419668</v>
      </c>
      <c r="J160" s="267" t="s">
        <v>164</v>
      </c>
      <c r="K160" s="299">
        <v>46127</v>
      </c>
      <c r="L160" s="267" t="s">
        <v>5210</v>
      </c>
      <c r="M160" s="267" t="s">
        <v>256</v>
      </c>
      <c r="N160" s="132" t="s">
        <v>241</v>
      </c>
      <c r="O160" s="997">
        <v>46132</v>
      </c>
      <c r="P160" s="267"/>
      <c r="Q160" s="137" t="s">
        <v>4844</v>
      </c>
    </row>
    <row r="161" spans="1:17" ht="15" customHeight="1">
      <c r="A161" s="266"/>
      <c r="B161" s="320">
        <v>159</v>
      </c>
      <c r="C161" s="266">
        <v>417904</v>
      </c>
      <c r="D161" s="266">
        <v>40502399</v>
      </c>
      <c r="E161" s="669" t="s">
        <v>5211</v>
      </c>
      <c r="F161" s="266">
        <v>46</v>
      </c>
      <c r="G161" s="266" t="s">
        <v>5212</v>
      </c>
      <c r="H161" s="266" t="s">
        <v>278</v>
      </c>
      <c r="I161" s="266">
        <v>981293923</v>
      </c>
      <c r="J161" s="266" t="s">
        <v>1012</v>
      </c>
      <c r="K161" s="298">
        <v>46127</v>
      </c>
      <c r="L161" s="266" t="s">
        <v>388</v>
      </c>
      <c r="M161" s="266" t="s">
        <v>230</v>
      </c>
      <c r="N161" s="43" t="s">
        <v>241</v>
      </c>
      <c r="O161" s="266"/>
      <c r="P161" s="266"/>
      <c r="Q161" s="266"/>
    </row>
    <row r="162" spans="1:17" ht="15" customHeight="1">
      <c r="A162" s="206"/>
      <c r="B162" s="320">
        <v>160</v>
      </c>
      <c r="C162" s="43">
        <v>524975</v>
      </c>
      <c r="D162" s="43">
        <v>42116291</v>
      </c>
      <c r="E162" s="648" t="s">
        <v>5213</v>
      </c>
      <c r="F162" s="43">
        <v>41</v>
      </c>
      <c r="G162" s="43" t="s">
        <v>5214</v>
      </c>
      <c r="H162" s="43" t="s">
        <v>461</v>
      </c>
      <c r="I162" s="43" t="s">
        <v>5215</v>
      </c>
      <c r="J162" s="43" t="s">
        <v>162</v>
      </c>
      <c r="K162" s="44">
        <v>46127</v>
      </c>
      <c r="L162" s="955" t="s">
        <v>5216</v>
      </c>
      <c r="M162" s="43" t="s">
        <v>312</v>
      </c>
      <c r="N162" s="43" t="s">
        <v>317</v>
      </c>
      <c r="O162" s="993">
        <v>46132</v>
      </c>
      <c r="P162" s="244"/>
      <c r="Q162" s="242" t="s">
        <v>4844</v>
      </c>
    </row>
    <row r="163" spans="1:17" ht="15" customHeight="1">
      <c r="A163" s="972">
        <v>46128</v>
      </c>
      <c r="B163" s="320">
        <v>161</v>
      </c>
      <c r="C163" s="266">
        <v>1084</v>
      </c>
      <c r="D163" s="266">
        <v>80283995</v>
      </c>
      <c r="E163" s="669" t="s">
        <v>5217</v>
      </c>
      <c r="F163" s="266">
        <v>58</v>
      </c>
      <c r="G163" s="266" t="s">
        <v>1717</v>
      </c>
      <c r="H163" s="266" t="s">
        <v>237</v>
      </c>
      <c r="I163" s="987">
        <v>965102988</v>
      </c>
      <c r="J163" s="266" t="s">
        <v>429</v>
      </c>
      <c r="K163" s="298">
        <v>46128</v>
      </c>
      <c r="L163" s="266" t="s">
        <v>376</v>
      </c>
      <c r="M163" s="266" t="s">
        <v>230</v>
      </c>
      <c r="N163" s="43" t="s">
        <v>317</v>
      </c>
      <c r="O163" s="956">
        <v>46133</v>
      </c>
      <c r="P163" s="266"/>
      <c r="Q163" s="266" t="s">
        <v>4944</v>
      </c>
    </row>
    <row r="164" spans="1:17" ht="15" customHeight="1">
      <c r="A164" s="266"/>
      <c r="B164" s="320">
        <v>162</v>
      </c>
      <c r="C164" s="266">
        <v>524989</v>
      </c>
      <c r="D164" s="980">
        <v>45844325</v>
      </c>
      <c r="E164" s="981" t="s">
        <v>5218</v>
      </c>
      <c r="F164" s="980">
        <v>36</v>
      </c>
      <c r="G164" s="991" t="s">
        <v>5219</v>
      </c>
      <c r="H164" s="980" t="s">
        <v>4739</v>
      </c>
      <c r="I164" s="980">
        <v>933670268</v>
      </c>
      <c r="J164" s="991" t="s">
        <v>5220</v>
      </c>
      <c r="K164" s="298">
        <v>46128</v>
      </c>
      <c r="L164" s="266" t="s">
        <v>5221</v>
      </c>
      <c r="M164" s="266" t="s">
        <v>323</v>
      </c>
      <c r="N164" s="266" t="s">
        <v>241</v>
      </c>
      <c r="O164" s="998">
        <v>46133</v>
      </c>
      <c r="P164" s="266"/>
      <c r="Q164" s="266" t="s">
        <v>4844</v>
      </c>
    </row>
    <row r="165" spans="1:17" ht="15" customHeight="1">
      <c r="A165" s="266"/>
      <c r="B165" s="320">
        <v>163</v>
      </c>
      <c r="C165" s="266">
        <v>159279</v>
      </c>
      <c r="D165" s="682">
        <v>42342894</v>
      </c>
      <c r="E165" s="663" t="s">
        <v>5222</v>
      </c>
      <c r="F165" s="682">
        <v>42</v>
      </c>
      <c r="G165" s="963" t="s">
        <v>5223</v>
      </c>
      <c r="H165" s="682" t="s">
        <v>2724</v>
      </c>
      <c r="I165" s="682">
        <v>918797629</v>
      </c>
      <c r="J165" s="963" t="s">
        <v>175</v>
      </c>
      <c r="K165" s="298">
        <v>46128</v>
      </c>
      <c r="L165" s="266" t="s">
        <v>376</v>
      </c>
      <c r="M165" s="266" t="s">
        <v>230</v>
      </c>
      <c r="N165" s="43" t="s">
        <v>317</v>
      </c>
      <c r="O165" s="993">
        <v>46132</v>
      </c>
      <c r="P165" s="266"/>
      <c r="Q165" s="266" t="s">
        <v>4844</v>
      </c>
    </row>
    <row r="166" spans="1:17" ht="15" customHeight="1">
      <c r="A166" s="266"/>
      <c r="B166" s="320">
        <v>164</v>
      </c>
      <c r="C166" s="266">
        <v>452796</v>
      </c>
      <c r="D166" s="682">
        <v>15860008</v>
      </c>
      <c r="E166" s="663" t="s">
        <v>5224</v>
      </c>
      <c r="F166" s="682">
        <v>57</v>
      </c>
      <c r="G166" s="963" t="s">
        <v>5225</v>
      </c>
      <c r="H166" s="682" t="s">
        <v>2724</v>
      </c>
      <c r="I166" s="682">
        <v>930508592</v>
      </c>
      <c r="J166" s="963" t="s">
        <v>175</v>
      </c>
      <c r="K166" s="298">
        <v>46128</v>
      </c>
      <c r="L166" s="266" t="s">
        <v>755</v>
      </c>
      <c r="M166" s="266" t="s">
        <v>312</v>
      </c>
      <c r="N166" s="43" t="s">
        <v>317</v>
      </c>
      <c r="O166" s="993">
        <v>46132</v>
      </c>
      <c r="P166" s="266"/>
      <c r="Q166" s="266" t="s">
        <v>4844</v>
      </c>
    </row>
    <row r="167" spans="1:17" ht="15" customHeight="1">
      <c r="A167" s="266"/>
      <c r="B167" s="320">
        <v>165</v>
      </c>
      <c r="C167" s="266">
        <v>284137</v>
      </c>
      <c r="D167" s="266">
        <v>15731142</v>
      </c>
      <c r="E167" s="982" t="s">
        <v>5226</v>
      </c>
      <c r="F167" s="266">
        <v>55</v>
      </c>
      <c r="G167" s="266" t="s">
        <v>3478</v>
      </c>
      <c r="H167" s="266" t="s">
        <v>1546</v>
      </c>
      <c r="I167" s="266">
        <v>915911280</v>
      </c>
      <c r="J167" s="266" t="s">
        <v>302</v>
      </c>
      <c r="K167" s="298">
        <v>46128</v>
      </c>
      <c r="L167" s="266" t="s">
        <v>376</v>
      </c>
      <c r="M167" s="266" t="s">
        <v>230</v>
      </c>
      <c r="N167" s="43" t="s">
        <v>317</v>
      </c>
      <c r="O167" s="956">
        <v>46133</v>
      </c>
      <c r="P167" s="266"/>
      <c r="Q167" s="266" t="s">
        <v>5158</v>
      </c>
    </row>
    <row r="168" spans="1:17" ht="15" customHeight="1">
      <c r="A168" s="266"/>
      <c r="B168" s="320">
        <v>166</v>
      </c>
      <c r="C168" s="266">
        <v>524992</v>
      </c>
      <c r="D168" s="682" t="s">
        <v>5227</v>
      </c>
      <c r="E168" s="663" t="s">
        <v>5228</v>
      </c>
      <c r="F168" s="682">
        <v>59</v>
      </c>
      <c r="G168" s="963" t="s">
        <v>5229</v>
      </c>
      <c r="H168" s="682" t="s">
        <v>2724</v>
      </c>
      <c r="I168" s="682">
        <v>931687994</v>
      </c>
      <c r="J168" s="963" t="s">
        <v>175</v>
      </c>
      <c r="K168" s="298">
        <v>46128</v>
      </c>
      <c r="L168" s="266" t="s">
        <v>376</v>
      </c>
      <c r="M168" s="266" t="s">
        <v>230</v>
      </c>
      <c r="N168" s="43" t="s">
        <v>317</v>
      </c>
      <c r="O168" s="993">
        <v>46132</v>
      </c>
      <c r="P168" s="266"/>
      <c r="Q168" s="266" t="s">
        <v>4844</v>
      </c>
    </row>
    <row r="169" spans="1:17" ht="15" customHeight="1">
      <c r="A169" s="266"/>
      <c r="B169" s="320">
        <v>167</v>
      </c>
      <c r="C169" s="266">
        <v>73835</v>
      </c>
      <c r="D169" s="682">
        <v>15865349</v>
      </c>
      <c r="E169" s="663" t="s">
        <v>5230</v>
      </c>
      <c r="F169" s="682">
        <v>48</v>
      </c>
      <c r="G169" s="963" t="s">
        <v>5231</v>
      </c>
      <c r="H169" s="682" t="s">
        <v>2724</v>
      </c>
      <c r="I169" s="682">
        <v>956830078</v>
      </c>
      <c r="J169" s="963" t="s">
        <v>175</v>
      </c>
      <c r="K169" s="298">
        <v>46128</v>
      </c>
      <c r="L169" s="266" t="s">
        <v>5232</v>
      </c>
      <c r="M169" s="266" t="s">
        <v>312</v>
      </c>
      <c r="N169" s="43" t="s">
        <v>241</v>
      </c>
      <c r="O169" s="993">
        <v>46132</v>
      </c>
      <c r="P169" s="266"/>
      <c r="Q169" s="266" t="s">
        <v>4844</v>
      </c>
    </row>
    <row r="170" spans="1:17" ht="15" customHeight="1">
      <c r="A170" s="266"/>
      <c r="B170" s="320">
        <v>168</v>
      </c>
      <c r="C170" s="266">
        <v>23675</v>
      </c>
      <c r="D170" s="957">
        <v>15731977</v>
      </c>
      <c r="E170" s="958" t="s">
        <v>5233</v>
      </c>
      <c r="F170" s="957">
        <v>53</v>
      </c>
      <c r="G170" s="266" t="s">
        <v>5234</v>
      </c>
      <c r="H170" s="266" t="s">
        <v>1546</v>
      </c>
      <c r="I170" s="957">
        <v>967042684</v>
      </c>
      <c r="J170" s="266" t="s">
        <v>302</v>
      </c>
      <c r="K170" s="298">
        <v>46128</v>
      </c>
      <c r="L170" s="266" t="s">
        <v>376</v>
      </c>
      <c r="M170" s="266" t="s">
        <v>230</v>
      </c>
      <c r="N170" s="43" t="s">
        <v>317</v>
      </c>
      <c r="O170" s="956">
        <v>46133</v>
      </c>
      <c r="P170" s="266"/>
      <c r="Q170" s="266" t="s">
        <v>5158</v>
      </c>
    </row>
    <row r="171" spans="1:17" ht="15" customHeight="1">
      <c r="A171" s="206"/>
      <c r="B171" s="320">
        <v>169</v>
      </c>
      <c r="C171" s="43">
        <v>391383</v>
      </c>
      <c r="D171" s="43">
        <v>15216662</v>
      </c>
      <c r="E171" s="648" t="s">
        <v>5235</v>
      </c>
      <c r="F171" s="43">
        <v>54</v>
      </c>
      <c r="G171" s="43" t="s">
        <v>5236</v>
      </c>
      <c r="H171" s="43" t="s">
        <v>278</v>
      </c>
      <c r="I171" s="43" t="s">
        <v>5237</v>
      </c>
      <c r="J171" s="43" t="s">
        <v>238</v>
      </c>
      <c r="K171" s="298">
        <v>46128</v>
      </c>
      <c r="L171" s="955" t="s">
        <v>376</v>
      </c>
      <c r="M171" s="43" t="s">
        <v>230</v>
      </c>
      <c r="N171" s="43" t="s">
        <v>241</v>
      </c>
      <c r="O171" s="993">
        <v>46132</v>
      </c>
      <c r="P171" s="244"/>
      <c r="Q171" s="242"/>
    </row>
    <row r="172" spans="1:17" ht="15" customHeight="1">
      <c r="A172" s="266"/>
      <c r="B172" s="320">
        <v>170</v>
      </c>
      <c r="C172" s="266">
        <v>71164</v>
      </c>
      <c r="D172" s="957">
        <v>32730796</v>
      </c>
      <c r="E172" s="958" t="s">
        <v>5238</v>
      </c>
      <c r="F172" s="957">
        <v>52</v>
      </c>
      <c r="G172" s="266" t="s">
        <v>5239</v>
      </c>
      <c r="H172" s="266" t="s">
        <v>1546</v>
      </c>
      <c r="I172" s="957">
        <v>921258035</v>
      </c>
      <c r="J172" s="266" t="s">
        <v>302</v>
      </c>
      <c r="K172" s="298">
        <v>46128</v>
      </c>
      <c r="L172" s="266" t="s">
        <v>376</v>
      </c>
      <c r="M172" s="266" t="s">
        <v>230</v>
      </c>
      <c r="N172" s="43" t="s">
        <v>317</v>
      </c>
      <c r="O172" s="956">
        <v>46133</v>
      </c>
      <c r="P172" s="266"/>
      <c r="Q172" s="266" t="s">
        <v>5158</v>
      </c>
    </row>
    <row r="173" spans="1:17" ht="15" customHeight="1">
      <c r="A173" s="266"/>
      <c r="B173" s="320">
        <v>171</v>
      </c>
      <c r="C173" s="266">
        <v>524991</v>
      </c>
      <c r="D173" s="682">
        <v>15628927</v>
      </c>
      <c r="E173" s="663" t="s">
        <v>5240</v>
      </c>
      <c r="F173" s="682">
        <v>64</v>
      </c>
      <c r="G173" s="963" t="s">
        <v>5241</v>
      </c>
      <c r="H173" s="682" t="s">
        <v>2724</v>
      </c>
      <c r="I173" s="682">
        <v>972380609</v>
      </c>
      <c r="J173" s="963" t="s">
        <v>175</v>
      </c>
      <c r="K173" s="298">
        <v>46128</v>
      </c>
      <c r="L173" s="266" t="s">
        <v>376</v>
      </c>
      <c r="M173" s="266" t="s">
        <v>230</v>
      </c>
      <c r="N173" s="43" t="s">
        <v>317</v>
      </c>
      <c r="O173" s="993">
        <v>46132</v>
      </c>
      <c r="P173" s="266"/>
      <c r="Q173" s="266" t="s">
        <v>4844</v>
      </c>
    </row>
    <row r="174" spans="1:17" ht="15" customHeight="1">
      <c r="A174" s="206"/>
      <c r="B174" s="320">
        <v>172</v>
      </c>
      <c r="C174" s="43">
        <v>524994</v>
      </c>
      <c r="D174" s="43">
        <v>16003813</v>
      </c>
      <c r="E174" s="648" t="s">
        <v>5242</v>
      </c>
      <c r="F174" s="43">
        <v>56</v>
      </c>
      <c r="G174" s="43" t="s">
        <v>5243</v>
      </c>
      <c r="H174" s="43" t="s">
        <v>461</v>
      </c>
      <c r="I174" s="43">
        <v>973074020</v>
      </c>
      <c r="J174" s="43" t="s">
        <v>162</v>
      </c>
      <c r="K174" s="298">
        <v>46128</v>
      </c>
      <c r="L174" s="955" t="s">
        <v>5244</v>
      </c>
      <c r="M174" s="43" t="s">
        <v>323</v>
      </c>
      <c r="N174" s="43" t="s">
        <v>241</v>
      </c>
      <c r="O174" s="993">
        <v>46132</v>
      </c>
      <c r="P174" s="244"/>
      <c r="Q174" s="242" t="s">
        <v>4844</v>
      </c>
    </row>
    <row r="175" spans="1:17" ht="15" customHeight="1">
      <c r="A175" s="206"/>
      <c r="B175" s="320">
        <v>173</v>
      </c>
      <c r="C175" s="43">
        <v>524995</v>
      </c>
      <c r="D175" s="43">
        <v>43916283</v>
      </c>
      <c r="E175" s="648" t="s">
        <v>5245</v>
      </c>
      <c r="F175" s="43">
        <v>54</v>
      </c>
      <c r="G175" s="43" t="s">
        <v>5246</v>
      </c>
      <c r="H175" s="43" t="s">
        <v>461</v>
      </c>
      <c r="I175" s="43">
        <v>933391837</v>
      </c>
      <c r="J175" s="43" t="s">
        <v>162</v>
      </c>
      <c r="K175" s="298">
        <v>46128</v>
      </c>
      <c r="L175" s="955" t="s">
        <v>376</v>
      </c>
      <c r="M175" s="43" t="s">
        <v>230</v>
      </c>
      <c r="N175" s="43" t="s">
        <v>317</v>
      </c>
      <c r="O175" s="993">
        <v>46132</v>
      </c>
      <c r="P175" s="244"/>
      <c r="Q175" s="242" t="s">
        <v>4844</v>
      </c>
    </row>
    <row r="176" spans="1:17" ht="15" customHeight="1">
      <c r="A176" s="266"/>
      <c r="B176" s="320">
        <v>174</v>
      </c>
      <c r="C176" s="266">
        <v>524998</v>
      </c>
      <c r="D176" s="682">
        <v>15626243</v>
      </c>
      <c r="E176" s="663" t="s">
        <v>5247</v>
      </c>
      <c r="F176" s="682">
        <v>60</v>
      </c>
      <c r="G176" s="963" t="s">
        <v>5248</v>
      </c>
      <c r="H176" s="682" t="s">
        <v>2724</v>
      </c>
      <c r="I176" s="682">
        <v>998230087</v>
      </c>
      <c r="J176" s="963" t="s">
        <v>175</v>
      </c>
      <c r="K176" s="298">
        <v>46128</v>
      </c>
      <c r="L176" s="266" t="s">
        <v>4305</v>
      </c>
      <c r="M176" s="266" t="s">
        <v>323</v>
      </c>
      <c r="N176" s="43" t="s">
        <v>241</v>
      </c>
      <c r="O176" s="993">
        <v>46132</v>
      </c>
      <c r="P176" s="266"/>
      <c r="Q176" s="266" t="s">
        <v>4844</v>
      </c>
    </row>
    <row r="177" spans="1:17" ht="15" customHeight="1">
      <c r="A177" s="968" t="s">
        <v>513</v>
      </c>
      <c r="B177" s="320">
        <v>175</v>
      </c>
      <c r="C177" s="266">
        <v>507665</v>
      </c>
      <c r="D177" s="266">
        <v>15640614</v>
      </c>
      <c r="E177" s="669" t="s">
        <v>5249</v>
      </c>
      <c r="F177" s="266">
        <v>58</v>
      </c>
      <c r="G177" s="266" t="s">
        <v>5250</v>
      </c>
      <c r="H177" s="266" t="s">
        <v>4930</v>
      </c>
      <c r="I177" s="266">
        <v>977501398</v>
      </c>
      <c r="J177" s="266" t="s">
        <v>1209</v>
      </c>
      <c r="K177" s="298">
        <v>46128</v>
      </c>
      <c r="L177" s="266" t="s">
        <v>388</v>
      </c>
      <c r="M177" s="266" t="s">
        <v>230</v>
      </c>
      <c r="N177" s="43" t="s">
        <v>241</v>
      </c>
      <c r="O177" s="956">
        <v>46133</v>
      </c>
      <c r="P177" s="266"/>
      <c r="Q177" s="266" t="s">
        <v>4944</v>
      </c>
    </row>
    <row r="178" spans="1:17" ht="15" customHeight="1">
      <c r="A178" s="266"/>
      <c r="B178" s="320">
        <v>176</v>
      </c>
      <c r="C178" s="266">
        <v>182803</v>
      </c>
      <c r="D178" s="957">
        <v>15730319</v>
      </c>
      <c r="E178" s="958" t="s">
        <v>5251</v>
      </c>
      <c r="F178" s="957">
        <v>57</v>
      </c>
      <c r="G178" s="266" t="s">
        <v>5252</v>
      </c>
      <c r="H178" s="266" t="s">
        <v>1546</v>
      </c>
      <c r="I178" s="957">
        <v>980414424</v>
      </c>
      <c r="J178" s="266" t="s">
        <v>302</v>
      </c>
      <c r="K178" s="298">
        <v>46128</v>
      </c>
      <c r="L178" s="266" t="s">
        <v>376</v>
      </c>
      <c r="M178" s="266" t="s">
        <v>230</v>
      </c>
      <c r="N178" s="43" t="s">
        <v>241</v>
      </c>
      <c r="O178" s="956">
        <v>46133</v>
      </c>
      <c r="P178" s="266"/>
      <c r="Q178" s="266" t="s">
        <v>5158</v>
      </c>
    </row>
    <row r="179" spans="1:17" ht="15" customHeight="1">
      <c r="A179" s="269"/>
      <c r="B179" s="320">
        <v>177</v>
      </c>
      <c r="C179" s="266">
        <v>116333</v>
      </c>
      <c r="D179" s="266">
        <v>40628050</v>
      </c>
      <c r="E179" s="669" t="s">
        <v>5253</v>
      </c>
      <c r="F179" s="266">
        <v>45</v>
      </c>
      <c r="G179" s="266" t="s">
        <v>5254</v>
      </c>
      <c r="H179" s="266" t="s">
        <v>326</v>
      </c>
      <c r="I179" s="266">
        <v>953441331</v>
      </c>
      <c r="J179" s="266" t="s">
        <v>375</v>
      </c>
      <c r="K179" s="298">
        <v>46128</v>
      </c>
      <c r="L179" s="266" t="s">
        <v>388</v>
      </c>
      <c r="M179" s="266" t="s">
        <v>230</v>
      </c>
      <c r="N179" s="43" t="s">
        <v>241</v>
      </c>
      <c r="O179" s="956">
        <v>46133</v>
      </c>
      <c r="P179" s="266"/>
      <c r="Q179" s="266" t="s">
        <v>5194</v>
      </c>
    </row>
    <row r="180" spans="1:17" ht="15" customHeight="1">
      <c r="A180" s="206"/>
      <c r="B180" s="320">
        <v>178</v>
      </c>
      <c r="C180" s="43">
        <v>525009</v>
      </c>
      <c r="D180" s="43">
        <v>40398781</v>
      </c>
      <c r="E180" s="648" t="s">
        <v>5255</v>
      </c>
      <c r="F180" s="43">
        <v>46</v>
      </c>
      <c r="G180" s="43" t="s">
        <v>5256</v>
      </c>
      <c r="H180" s="43" t="s">
        <v>278</v>
      </c>
      <c r="I180" s="43">
        <v>972265160</v>
      </c>
      <c r="J180" s="43" t="s">
        <v>238</v>
      </c>
      <c r="K180" s="298">
        <v>46128</v>
      </c>
      <c r="L180" s="955" t="s">
        <v>388</v>
      </c>
      <c r="M180" s="43" t="s">
        <v>230</v>
      </c>
      <c r="N180" s="43" t="s">
        <v>241</v>
      </c>
      <c r="O180" s="993">
        <v>46132</v>
      </c>
      <c r="P180" s="244"/>
      <c r="Q180" s="242"/>
    </row>
    <row r="181" spans="1:17" ht="15" customHeight="1">
      <c r="A181" s="972">
        <v>46129</v>
      </c>
      <c r="B181" s="320">
        <v>179</v>
      </c>
      <c r="C181" s="266">
        <v>171758</v>
      </c>
      <c r="D181" s="266">
        <v>43046482</v>
      </c>
      <c r="E181" s="669" t="s">
        <v>5257</v>
      </c>
      <c r="F181" s="266">
        <v>40</v>
      </c>
      <c r="G181" s="266" t="s">
        <v>5258</v>
      </c>
      <c r="H181" s="266" t="s">
        <v>222</v>
      </c>
      <c r="I181" s="266">
        <v>931812336</v>
      </c>
      <c r="J181" s="266" t="s">
        <v>223</v>
      </c>
      <c r="K181" s="298">
        <v>46129</v>
      </c>
      <c r="L181" s="266" t="s">
        <v>376</v>
      </c>
      <c r="M181" s="43" t="s">
        <v>230</v>
      </c>
      <c r="N181" s="43" t="s">
        <v>317</v>
      </c>
      <c r="O181" s="956">
        <v>46133</v>
      </c>
      <c r="P181" s="266"/>
      <c r="Q181" s="266" t="s">
        <v>5259</v>
      </c>
    </row>
    <row r="182" spans="1:17" ht="15" customHeight="1">
      <c r="A182" s="206"/>
      <c r="B182" s="320">
        <v>180</v>
      </c>
      <c r="C182" s="43">
        <v>525016</v>
      </c>
      <c r="D182" s="43">
        <v>15981690</v>
      </c>
      <c r="E182" s="648" t="s">
        <v>5260</v>
      </c>
      <c r="F182" s="43">
        <v>65</v>
      </c>
      <c r="G182" s="43" t="s">
        <v>5261</v>
      </c>
      <c r="H182" s="43" t="s">
        <v>271</v>
      </c>
      <c r="I182" s="43" t="s">
        <v>5262</v>
      </c>
      <c r="J182" s="43" t="s">
        <v>1620</v>
      </c>
      <c r="K182" s="298">
        <v>46129</v>
      </c>
      <c r="L182" s="955" t="s">
        <v>5263</v>
      </c>
      <c r="M182" s="43" t="s">
        <v>260</v>
      </c>
      <c r="N182" s="43" t="s">
        <v>4210</v>
      </c>
      <c r="O182" s="448">
        <v>46133</v>
      </c>
      <c r="P182" s="244"/>
      <c r="Q182" s="242" t="s">
        <v>5264</v>
      </c>
    </row>
    <row r="183" spans="1:17" ht="15" customHeight="1">
      <c r="A183" s="983"/>
      <c r="B183" s="320">
        <v>181</v>
      </c>
      <c r="C183" s="143">
        <v>525017</v>
      </c>
      <c r="D183" s="143">
        <v>32020079</v>
      </c>
      <c r="E183" s="984" t="s">
        <v>5265</v>
      </c>
      <c r="F183" s="143">
        <v>59</v>
      </c>
      <c r="G183" s="143" t="s">
        <v>5266</v>
      </c>
      <c r="H183" s="143" t="s">
        <v>461</v>
      </c>
      <c r="I183" s="143" t="s">
        <v>5267</v>
      </c>
      <c r="J183" s="143" t="s">
        <v>162</v>
      </c>
      <c r="K183" s="999">
        <v>46129</v>
      </c>
      <c r="L183" s="1000" t="s">
        <v>5268</v>
      </c>
      <c r="M183" s="995" t="s">
        <v>323</v>
      </c>
      <c r="N183" s="143" t="s">
        <v>4210</v>
      </c>
      <c r="O183" s="463">
        <v>46133</v>
      </c>
      <c r="P183" s="932"/>
      <c r="Q183" s="1001" t="s">
        <v>5070</v>
      </c>
    </row>
    <row r="184" spans="1:17" ht="15" customHeight="1">
      <c r="A184" s="206"/>
      <c r="B184" s="320">
        <v>182</v>
      </c>
      <c r="C184" s="43">
        <v>525018</v>
      </c>
      <c r="D184" s="43" t="s">
        <v>5269</v>
      </c>
      <c r="E184" s="648" t="s">
        <v>5270</v>
      </c>
      <c r="F184" s="43">
        <v>59</v>
      </c>
      <c r="G184" s="43" t="s">
        <v>5271</v>
      </c>
      <c r="H184" s="43" t="s">
        <v>461</v>
      </c>
      <c r="I184" s="43" t="s">
        <v>5272</v>
      </c>
      <c r="J184" s="43" t="s">
        <v>162</v>
      </c>
      <c r="K184" s="298">
        <v>46129</v>
      </c>
      <c r="L184" s="955" t="s">
        <v>376</v>
      </c>
      <c r="M184" s="43" t="s">
        <v>230</v>
      </c>
      <c r="N184" s="43" t="s">
        <v>317</v>
      </c>
      <c r="O184" s="463">
        <v>46133</v>
      </c>
      <c r="P184" s="932"/>
      <c r="Q184" s="1001" t="s">
        <v>5070</v>
      </c>
    </row>
    <row r="185" spans="1:17" ht="15" customHeight="1">
      <c r="A185" s="206"/>
      <c r="B185" s="320">
        <v>183</v>
      </c>
      <c r="C185" s="43">
        <v>525019</v>
      </c>
      <c r="D185" s="43">
        <v>15998580</v>
      </c>
      <c r="E185" s="648" t="s">
        <v>5273</v>
      </c>
      <c r="F185" s="43">
        <v>58</v>
      </c>
      <c r="G185" s="43" t="s">
        <v>5274</v>
      </c>
      <c r="H185" s="43" t="s">
        <v>461</v>
      </c>
      <c r="I185" s="43" t="s">
        <v>5275</v>
      </c>
      <c r="J185" s="43" t="s">
        <v>162</v>
      </c>
      <c r="K185" s="298">
        <v>46129</v>
      </c>
      <c r="L185" s="955" t="s">
        <v>376</v>
      </c>
      <c r="M185" s="43" t="s">
        <v>230</v>
      </c>
      <c r="N185" s="43" t="s">
        <v>317</v>
      </c>
      <c r="O185" s="463">
        <v>46133</v>
      </c>
      <c r="P185" s="932"/>
      <c r="Q185" s="1001" t="s">
        <v>5070</v>
      </c>
    </row>
    <row r="186" spans="1:17" ht="15" customHeight="1">
      <c r="A186" s="266"/>
      <c r="B186" s="320">
        <v>184</v>
      </c>
      <c r="C186" s="266">
        <v>514391</v>
      </c>
      <c r="D186" s="957">
        <v>32731088</v>
      </c>
      <c r="E186" s="958" t="s">
        <v>5276</v>
      </c>
      <c r="F186" s="957">
        <v>50</v>
      </c>
      <c r="G186" s="266" t="s">
        <v>5277</v>
      </c>
      <c r="H186" s="266" t="s">
        <v>246</v>
      </c>
      <c r="I186" s="957">
        <v>925022495</v>
      </c>
      <c r="J186" s="266" t="s">
        <v>1312</v>
      </c>
      <c r="K186" s="298">
        <v>46129</v>
      </c>
      <c r="L186" s="266" t="s">
        <v>5278</v>
      </c>
      <c r="M186" s="266" t="s">
        <v>312</v>
      </c>
      <c r="N186" s="43" t="s">
        <v>317</v>
      </c>
      <c r="O186" s="956">
        <v>46133</v>
      </c>
      <c r="P186" s="266"/>
      <c r="Q186" s="266" t="s">
        <v>4944</v>
      </c>
    </row>
    <row r="187" spans="1:17" ht="15" customHeight="1">
      <c r="A187" s="206"/>
      <c r="B187" s="320">
        <v>185</v>
      </c>
      <c r="C187" s="43">
        <v>109823</v>
      </c>
      <c r="D187" s="43">
        <v>41306750</v>
      </c>
      <c r="E187" s="669" t="s">
        <v>5279</v>
      </c>
      <c r="F187" s="43">
        <v>44</v>
      </c>
      <c r="G187" s="43" t="s">
        <v>5280</v>
      </c>
      <c r="H187" s="43" t="s">
        <v>278</v>
      </c>
      <c r="I187" s="43">
        <v>922538116</v>
      </c>
      <c r="J187" s="43" t="s">
        <v>238</v>
      </c>
      <c r="K187" s="298">
        <v>46129</v>
      </c>
      <c r="L187" s="955" t="s">
        <v>388</v>
      </c>
      <c r="M187" s="43" t="s">
        <v>230</v>
      </c>
      <c r="N187" s="43" t="s">
        <v>241</v>
      </c>
      <c r="O187" s="998">
        <v>46133</v>
      </c>
      <c r="P187" s="244"/>
      <c r="Q187" s="242"/>
    </row>
    <row r="188" spans="1:17" ht="15" customHeight="1">
      <c r="A188" s="206"/>
      <c r="B188" s="320">
        <v>186</v>
      </c>
      <c r="C188" s="43">
        <v>525022</v>
      </c>
      <c r="D188" s="43">
        <v>41458798</v>
      </c>
      <c r="E188" s="648" t="s">
        <v>5281</v>
      </c>
      <c r="F188" s="43">
        <v>44</v>
      </c>
      <c r="G188" s="43" t="s">
        <v>5282</v>
      </c>
      <c r="H188" s="43" t="s">
        <v>461</v>
      </c>
      <c r="I188" s="43">
        <v>902926662</v>
      </c>
      <c r="J188" s="43" t="s">
        <v>162</v>
      </c>
      <c r="K188" s="298">
        <v>46129</v>
      </c>
      <c r="L188" s="955" t="s">
        <v>388</v>
      </c>
      <c r="M188" s="43" t="s">
        <v>230</v>
      </c>
      <c r="N188" s="43" t="s">
        <v>241</v>
      </c>
      <c r="O188" s="463">
        <v>46133</v>
      </c>
      <c r="P188" s="932"/>
      <c r="Q188" s="1001" t="s">
        <v>5070</v>
      </c>
    </row>
    <row r="189" spans="1:17" ht="15" customHeight="1">
      <c r="A189" s="206"/>
      <c r="B189" s="320">
        <v>187</v>
      </c>
      <c r="C189" s="43">
        <v>525023</v>
      </c>
      <c r="D189" s="43">
        <v>41705439</v>
      </c>
      <c r="E189" s="648" t="s">
        <v>5283</v>
      </c>
      <c r="F189" s="43">
        <v>43</v>
      </c>
      <c r="G189" s="43" t="s">
        <v>5284</v>
      </c>
      <c r="H189" s="43" t="s">
        <v>461</v>
      </c>
      <c r="I189" s="43">
        <v>947271765</v>
      </c>
      <c r="J189" s="43" t="s">
        <v>162</v>
      </c>
      <c r="K189" s="298">
        <v>46129</v>
      </c>
      <c r="L189" s="955" t="s">
        <v>1469</v>
      </c>
      <c r="M189" s="43" t="s">
        <v>260</v>
      </c>
      <c r="N189" s="43" t="s">
        <v>241</v>
      </c>
      <c r="O189" s="463">
        <v>46133</v>
      </c>
      <c r="P189" s="932"/>
      <c r="Q189" s="1001" t="s">
        <v>5070</v>
      </c>
    </row>
    <row r="190" spans="1:17" ht="15" customHeight="1">
      <c r="A190" s="267"/>
      <c r="B190" s="320">
        <v>188</v>
      </c>
      <c r="C190" s="267">
        <v>525034</v>
      </c>
      <c r="D190" s="267">
        <v>40700584</v>
      </c>
      <c r="E190" s="975" t="s">
        <v>5285</v>
      </c>
      <c r="F190" s="267">
        <v>48</v>
      </c>
      <c r="G190" s="267" t="s">
        <v>5286</v>
      </c>
      <c r="H190" s="267" t="s">
        <v>461</v>
      </c>
      <c r="I190" s="267" t="s">
        <v>5287</v>
      </c>
      <c r="J190" s="267" t="s">
        <v>5288</v>
      </c>
      <c r="K190" s="267" t="s">
        <v>5289</v>
      </c>
      <c r="L190" s="267" t="s">
        <v>5290</v>
      </c>
      <c r="M190" s="132" t="s">
        <v>260</v>
      </c>
      <c r="N190" s="267" t="s">
        <v>5291</v>
      </c>
      <c r="O190" s="998">
        <v>46133</v>
      </c>
      <c r="P190" s="266"/>
      <c r="Q190" s="266" t="s">
        <v>5292</v>
      </c>
    </row>
    <row r="191" spans="1:17" ht="15" customHeight="1">
      <c r="A191" s="206"/>
      <c r="B191" s="320">
        <v>189</v>
      </c>
      <c r="C191" s="43">
        <v>525036</v>
      </c>
      <c r="D191" s="43">
        <v>15991047</v>
      </c>
      <c r="E191" s="648" t="s">
        <v>5293</v>
      </c>
      <c r="F191" s="43">
        <v>61</v>
      </c>
      <c r="G191" s="43" t="s">
        <v>5294</v>
      </c>
      <c r="H191" s="43" t="s">
        <v>461</v>
      </c>
      <c r="I191" s="43">
        <v>986782934</v>
      </c>
      <c r="J191" s="43" t="s">
        <v>1620</v>
      </c>
      <c r="K191" s="298">
        <v>46129</v>
      </c>
      <c r="L191" s="955" t="s">
        <v>5295</v>
      </c>
      <c r="M191" s="43" t="s">
        <v>260</v>
      </c>
      <c r="N191" s="43" t="s">
        <v>241</v>
      </c>
      <c r="O191" s="998">
        <v>46133</v>
      </c>
      <c r="P191" s="266"/>
      <c r="Q191" s="266" t="s">
        <v>5296</v>
      </c>
    </row>
    <row r="192" spans="1:17" ht="15" customHeight="1">
      <c r="A192" s="968" t="s">
        <v>513</v>
      </c>
      <c r="B192" s="320">
        <v>190</v>
      </c>
      <c r="C192" s="266">
        <v>148985</v>
      </c>
      <c r="D192" s="266">
        <v>15741823</v>
      </c>
      <c r="E192" s="669" t="s">
        <v>5297</v>
      </c>
      <c r="F192" s="266">
        <v>53</v>
      </c>
      <c r="G192" s="266" t="s">
        <v>5298</v>
      </c>
      <c r="H192" s="266" t="s">
        <v>237</v>
      </c>
      <c r="I192" s="266">
        <v>922744381</v>
      </c>
      <c r="J192" s="266" t="s">
        <v>742</v>
      </c>
      <c r="K192" s="298">
        <v>46129</v>
      </c>
      <c r="L192" s="266" t="s">
        <v>376</v>
      </c>
      <c r="M192" s="43" t="s">
        <v>230</v>
      </c>
      <c r="N192" s="43" t="s">
        <v>317</v>
      </c>
      <c r="O192" s="956">
        <v>46133</v>
      </c>
      <c r="P192" s="266"/>
      <c r="Q192" s="266" t="s">
        <v>4944</v>
      </c>
    </row>
    <row r="193" spans="1:24" ht="15" customHeight="1">
      <c r="A193" s="206"/>
      <c r="B193" s="320">
        <v>191</v>
      </c>
      <c r="C193" s="43">
        <v>525039</v>
      </c>
      <c r="D193" s="43">
        <v>10126492</v>
      </c>
      <c r="E193" s="648" t="s">
        <v>5299</v>
      </c>
      <c r="F193" s="43">
        <v>51</v>
      </c>
      <c r="G193" s="43" t="s">
        <v>5300</v>
      </c>
      <c r="H193" s="43" t="s">
        <v>461</v>
      </c>
      <c r="I193" s="43" t="s">
        <v>5301</v>
      </c>
      <c r="J193" s="43" t="s">
        <v>162</v>
      </c>
      <c r="K193" s="298">
        <v>46129</v>
      </c>
      <c r="L193" s="955" t="s">
        <v>5302</v>
      </c>
      <c r="M193" s="43" t="s">
        <v>230</v>
      </c>
      <c r="N193" s="43" t="s">
        <v>317</v>
      </c>
      <c r="O193" s="463">
        <v>46133</v>
      </c>
      <c r="P193" s="932"/>
      <c r="Q193" s="1001" t="s">
        <v>5070</v>
      </c>
    </row>
    <row r="194" spans="1:24" ht="15" customHeight="1">
      <c r="A194" s="266"/>
      <c r="B194" s="320">
        <v>192</v>
      </c>
      <c r="C194" s="266">
        <v>525040</v>
      </c>
      <c r="D194" s="665">
        <v>40855365</v>
      </c>
      <c r="E194" s="663" t="s">
        <v>5303</v>
      </c>
      <c r="F194" s="266">
        <v>44</v>
      </c>
      <c r="G194" s="665" t="s">
        <v>5304</v>
      </c>
      <c r="H194" s="665" t="s">
        <v>1885</v>
      </c>
      <c r="I194" s="665">
        <v>953909563</v>
      </c>
      <c r="J194" s="266" t="s">
        <v>164</v>
      </c>
      <c r="K194" s="298">
        <v>46129</v>
      </c>
      <c r="L194" s="266" t="s">
        <v>1819</v>
      </c>
      <c r="M194" s="266" t="s">
        <v>312</v>
      </c>
      <c r="N194" s="43" t="s">
        <v>241</v>
      </c>
      <c r="O194" s="998">
        <v>46133</v>
      </c>
      <c r="P194" s="266"/>
      <c r="Q194" s="266" t="s">
        <v>5292</v>
      </c>
    </row>
    <row r="195" spans="1:24" ht="15" customHeight="1">
      <c r="A195" s="261">
        <v>46130</v>
      </c>
      <c r="B195" s="320">
        <v>193</v>
      </c>
      <c r="C195" s="43">
        <v>525060</v>
      </c>
      <c r="D195" s="43">
        <v>41402023</v>
      </c>
      <c r="E195" s="648" t="s">
        <v>5305</v>
      </c>
      <c r="F195" s="43">
        <v>44</v>
      </c>
      <c r="G195" s="43" t="s">
        <v>5306</v>
      </c>
      <c r="H195" s="43" t="s">
        <v>461</v>
      </c>
      <c r="I195" s="43">
        <v>976550172</v>
      </c>
      <c r="J195" s="43" t="s">
        <v>162</v>
      </c>
      <c r="K195" s="44">
        <v>46130</v>
      </c>
      <c r="L195" s="955" t="s">
        <v>458</v>
      </c>
      <c r="M195" s="43" t="s">
        <v>260</v>
      </c>
      <c r="N195" s="43" t="s">
        <v>241</v>
      </c>
      <c r="O195" s="463">
        <v>46133</v>
      </c>
      <c r="P195" s="932"/>
      <c r="Q195" s="266" t="s">
        <v>5296</v>
      </c>
    </row>
    <row r="196" spans="1:24" ht="15" customHeight="1">
      <c r="A196" s="985"/>
      <c r="B196" s="320">
        <v>194</v>
      </c>
      <c r="C196" s="43">
        <v>525062</v>
      </c>
      <c r="D196" s="43">
        <v>80152891</v>
      </c>
      <c r="E196" s="648" t="s">
        <v>5307</v>
      </c>
      <c r="F196" s="43">
        <v>46</v>
      </c>
      <c r="G196" s="43" t="s">
        <v>5308</v>
      </c>
      <c r="H196" s="43" t="s">
        <v>1885</v>
      </c>
      <c r="I196" s="43">
        <v>934358216</v>
      </c>
      <c r="J196" s="43" t="s">
        <v>164</v>
      </c>
      <c r="K196" s="44">
        <v>46130</v>
      </c>
      <c r="L196" s="955" t="s">
        <v>5309</v>
      </c>
      <c r="M196" s="43" t="s">
        <v>323</v>
      </c>
      <c r="N196" s="43" t="s">
        <v>241</v>
      </c>
      <c r="O196" s="998">
        <v>46133</v>
      </c>
      <c r="P196" s="244"/>
      <c r="Q196" s="266" t="s">
        <v>5292</v>
      </c>
    </row>
    <row r="197" spans="1:24" ht="15" customHeight="1">
      <c r="A197" s="206"/>
      <c r="B197" s="320">
        <v>195</v>
      </c>
      <c r="C197" s="43">
        <v>68390</v>
      </c>
      <c r="D197" s="43">
        <v>15756780</v>
      </c>
      <c r="E197" s="648" t="s">
        <v>5310</v>
      </c>
      <c r="F197" s="43">
        <v>49</v>
      </c>
      <c r="G197" s="43" t="s">
        <v>5311</v>
      </c>
      <c r="H197" s="43" t="s">
        <v>2337</v>
      </c>
      <c r="I197" s="43">
        <v>943385155</v>
      </c>
      <c r="J197" s="43" t="s">
        <v>289</v>
      </c>
      <c r="K197" s="44">
        <v>46130</v>
      </c>
      <c r="L197" s="955" t="s">
        <v>5312</v>
      </c>
      <c r="M197" s="43" t="s">
        <v>260</v>
      </c>
      <c r="N197" s="43" t="s">
        <v>241</v>
      </c>
      <c r="O197" s="956">
        <v>46134</v>
      </c>
      <c r="P197" s="266"/>
      <c r="Q197" s="266" t="s">
        <v>2708</v>
      </c>
    </row>
    <row r="198" spans="1:24" ht="15" customHeight="1">
      <c r="A198" s="207"/>
      <c r="B198" s="320">
        <v>196</v>
      </c>
      <c r="C198" s="132">
        <v>525063</v>
      </c>
      <c r="D198" s="132">
        <v>41169410</v>
      </c>
      <c r="E198" s="965" t="s">
        <v>5313</v>
      </c>
      <c r="F198" s="132">
        <v>44</v>
      </c>
      <c r="G198" s="132" t="s">
        <v>5314</v>
      </c>
      <c r="H198" s="132" t="s">
        <v>2724</v>
      </c>
      <c r="I198" s="132">
        <v>969750225</v>
      </c>
      <c r="J198" s="132" t="s">
        <v>238</v>
      </c>
      <c r="K198" s="133">
        <v>46130</v>
      </c>
      <c r="L198" s="966" t="s">
        <v>5315</v>
      </c>
      <c r="M198" s="132" t="s">
        <v>260</v>
      </c>
      <c r="N198" s="132" t="s">
        <v>5316</v>
      </c>
      <c r="O198" s="998">
        <v>46133</v>
      </c>
      <c r="P198" s="137"/>
      <c r="Q198" s="137"/>
    </row>
    <row r="199" spans="1:24" ht="15" customHeight="1">
      <c r="A199" s="261">
        <v>46132</v>
      </c>
      <c r="B199" s="320">
        <v>197</v>
      </c>
      <c r="C199" s="43">
        <v>184314</v>
      </c>
      <c r="D199" s="43">
        <v>15608007</v>
      </c>
      <c r="E199" s="648" t="s">
        <v>5317</v>
      </c>
      <c r="F199" s="43">
        <v>63</v>
      </c>
      <c r="G199" s="43" t="s">
        <v>5318</v>
      </c>
      <c r="H199" s="43" t="s">
        <v>222</v>
      </c>
      <c r="I199" s="43" t="s">
        <v>5319</v>
      </c>
      <c r="J199" s="43" t="s">
        <v>283</v>
      </c>
      <c r="K199" s="44">
        <v>46132</v>
      </c>
      <c r="L199" s="955" t="s">
        <v>5320</v>
      </c>
      <c r="M199" s="266" t="s">
        <v>312</v>
      </c>
      <c r="N199" s="43" t="s">
        <v>241</v>
      </c>
      <c r="O199" s="448">
        <v>46142</v>
      </c>
      <c r="P199" s="244"/>
      <c r="Q199" s="242" t="s">
        <v>4131</v>
      </c>
      <c r="R199" s="43"/>
      <c r="S199" s="43"/>
      <c r="T199" s="43"/>
      <c r="U199" s="43"/>
      <c r="V199" s="43"/>
      <c r="W199" s="43"/>
      <c r="X199" s="43"/>
    </row>
    <row r="200" spans="1:24" ht="15" customHeight="1">
      <c r="A200" s="206"/>
      <c r="B200" s="320">
        <v>198</v>
      </c>
      <c r="C200" s="43">
        <v>323451</v>
      </c>
      <c r="D200" s="43">
        <v>42081448</v>
      </c>
      <c r="E200" s="648" t="s">
        <v>5321</v>
      </c>
      <c r="F200" s="43">
        <v>42</v>
      </c>
      <c r="G200" s="43" t="s">
        <v>5322</v>
      </c>
      <c r="H200" s="43" t="s">
        <v>278</v>
      </c>
      <c r="I200" s="43" t="s">
        <v>5323</v>
      </c>
      <c r="J200" s="43" t="s">
        <v>238</v>
      </c>
      <c r="K200" s="44">
        <v>46132</v>
      </c>
      <c r="L200" s="955" t="s">
        <v>458</v>
      </c>
      <c r="M200" s="43" t="s">
        <v>260</v>
      </c>
      <c r="N200" s="43" t="s">
        <v>241</v>
      </c>
      <c r="O200" s="954">
        <v>46134</v>
      </c>
      <c r="P200" s="244"/>
      <c r="Q200" s="242"/>
      <c r="R200" s="43"/>
      <c r="S200" s="43"/>
      <c r="T200" s="43"/>
      <c r="U200" s="43"/>
      <c r="V200" s="43"/>
      <c r="W200" s="43"/>
      <c r="X200" s="43"/>
    </row>
    <row r="201" spans="1:24" ht="15" customHeight="1">
      <c r="A201" s="206"/>
      <c r="B201" s="320">
        <v>199</v>
      </c>
      <c r="C201" s="43">
        <v>525102</v>
      </c>
      <c r="D201" s="43">
        <v>15752572</v>
      </c>
      <c r="E201" s="648" t="s">
        <v>5324</v>
      </c>
      <c r="F201" s="43">
        <v>50</v>
      </c>
      <c r="G201" s="43" t="s">
        <v>5325</v>
      </c>
      <c r="H201" s="43" t="s">
        <v>461</v>
      </c>
      <c r="I201" s="43">
        <v>934897532</v>
      </c>
      <c r="J201" s="43" t="s">
        <v>162</v>
      </c>
      <c r="K201" s="44">
        <v>46132</v>
      </c>
      <c r="L201" s="955" t="s">
        <v>5326</v>
      </c>
      <c r="M201" s="43" t="s">
        <v>260</v>
      </c>
      <c r="N201" s="43" t="s">
        <v>241</v>
      </c>
      <c r="O201" s="954">
        <v>46134</v>
      </c>
      <c r="P201" s="244"/>
      <c r="Q201" s="242" t="s">
        <v>5327</v>
      </c>
      <c r="R201" s="43"/>
      <c r="S201" s="43"/>
      <c r="T201" s="43"/>
      <c r="U201" s="43"/>
      <c r="V201" s="43"/>
      <c r="W201" s="43"/>
      <c r="X201" s="43"/>
    </row>
    <row r="202" spans="1:24" ht="15" customHeight="1">
      <c r="A202" s="206"/>
      <c r="B202" s="320">
        <v>200</v>
      </c>
      <c r="C202" s="43">
        <v>525104</v>
      </c>
      <c r="D202" s="43">
        <v>15991128</v>
      </c>
      <c r="E202" s="648" t="s">
        <v>5328</v>
      </c>
      <c r="F202" s="43">
        <v>51</v>
      </c>
      <c r="G202" s="43" t="s">
        <v>5329</v>
      </c>
      <c r="H202" s="43" t="s">
        <v>271</v>
      </c>
      <c r="I202" s="43" t="s">
        <v>5330</v>
      </c>
      <c r="J202" s="43" t="s">
        <v>164</v>
      </c>
      <c r="K202" s="44">
        <v>46132</v>
      </c>
      <c r="L202" s="955" t="s">
        <v>5331</v>
      </c>
      <c r="M202" s="43" t="s">
        <v>260</v>
      </c>
      <c r="N202" s="43" t="s">
        <v>241</v>
      </c>
      <c r="O202" s="954">
        <v>46134</v>
      </c>
      <c r="P202" s="244"/>
      <c r="Q202" s="242" t="s">
        <v>5327</v>
      </c>
      <c r="R202" s="43"/>
      <c r="S202" s="43"/>
      <c r="T202" s="43"/>
      <c r="U202" s="43"/>
      <c r="V202" s="43"/>
      <c r="W202" s="43"/>
      <c r="X202" s="43"/>
    </row>
    <row r="203" spans="1:24" ht="15" customHeight="1">
      <c r="A203" s="262" t="s">
        <v>513</v>
      </c>
      <c r="B203" s="320">
        <v>201</v>
      </c>
      <c r="C203" s="43">
        <v>373712</v>
      </c>
      <c r="D203" s="43">
        <v>16740745</v>
      </c>
      <c r="E203" s="648" t="s">
        <v>5332</v>
      </c>
      <c r="F203" s="43">
        <v>50</v>
      </c>
      <c r="G203" s="43" t="s">
        <v>5333</v>
      </c>
      <c r="H203" s="43" t="s">
        <v>237</v>
      </c>
      <c r="I203" s="43">
        <v>969948858</v>
      </c>
      <c r="J203" s="43" t="s">
        <v>1105</v>
      </c>
      <c r="K203" s="44">
        <v>46132</v>
      </c>
      <c r="L203" s="955" t="s">
        <v>458</v>
      </c>
      <c r="M203" s="43" t="s">
        <v>260</v>
      </c>
      <c r="N203" s="43" t="s">
        <v>241</v>
      </c>
      <c r="O203" s="448">
        <v>46142</v>
      </c>
      <c r="P203" s="244"/>
      <c r="Q203" s="242" t="s">
        <v>4503</v>
      </c>
      <c r="R203" s="43"/>
      <c r="S203" s="43"/>
      <c r="T203" s="43"/>
      <c r="U203" s="43"/>
      <c r="V203" s="43"/>
      <c r="W203" s="43"/>
      <c r="X203" s="43"/>
    </row>
    <row r="204" spans="1:24" ht="15" customHeight="1">
      <c r="A204" s="206"/>
      <c r="B204" s="320">
        <v>202</v>
      </c>
      <c r="C204" s="43">
        <v>161547</v>
      </c>
      <c r="D204" s="43">
        <v>4635184</v>
      </c>
      <c r="E204" s="648" t="s">
        <v>5334</v>
      </c>
      <c r="F204" s="43">
        <v>58</v>
      </c>
      <c r="G204" s="43" t="s">
        <v>5335</v>
      </c>
      <c r="H204" s="43" t="s">
        <v>237</v>
      </c>
      <c r="I204" s="43">
        <v>991976882</v>
      </c>
      <c r="J204" s="43" t="s">
        <v>1105</v>
      </c>
      <c r="K204" s="44">
        <v>46132</v>
      </c>
      <c r="L204" s="955" t="s">
        <v>5336</v>
      </c>
      <c r="M204" s="43" t="s">
        <v>260</v>
      </c>
      <c r="N204" s="43" t="s">
        <v>241</v>
      </c>
      <c r="O204" s="762">
        <v>46142</v>
      </c>
      <c r="P204" s="244"/>
      <c r="Q204" s="242" t="s">
        <v>4503</v>
      </c>
      <c r="R204" s="43"/>
      <c r="S204" s="43"/>
      <c r="T204" s="43"/>
      <c r="U204" s="43"/>
      <c r="V204" s="43"/>
      <c r="W204" s="43"/>
      <c r="X204" s="43"/>
    </row>
    <row r="205" spans="1:24" ht="15" customHeight="1">
      <c r="A205" s="206"/>
      <c r="B205" s="320">
        <v>203</v>
      </c>
      <c r="C205" s="43">
        <v>525118</v>
      </c>
      <c r="D205" s="43">
        <v>16005776</v>
      </c>
      <c r="E205" s="648" t="s">
        <v>5337</v>
      </c>
      <c r="F205" s="43">
        <v>53</v>
      </c>
      <c r="G205" s="43" t="s">
        <v>5338</v>
      </c>
      <c r="H205" s="43" t="s">
        <v>461</v>
      </c>
      <c r="I205" s="43">
        <v>912596946</v>
      </c>
      <c r="J205" s="43" t="s">
        <v>162</v>
      </c>
      <c r="K205" s="44">
        <v>46132</v>
      </c>
      <c r="L205" s="955" t="s">
        <v>458</v>
      </c>
      <c r="M205" s="43" t="s">
        <v>260</v>
      </c>
      <c r="N205" s="43" t="s">
        <v>241</v>
      </c>
      <c r="O205" s="954">
        <v>46134</v>
      </c>
      <c r="P205" s="244"/>
      <c r="Q205" s="242" t="s">
        <v>5327</v>
      </c>
      <c r="R205" s="43"/>
      <c r="S205" s="43"/>
      <c r="T205" s="43"/>
      <c r="U205" s="43"/>
      <c r="V205" s="43"/>
      <c r="W205" s="43"/>
      <c r="X205" s="43"/>
    </row>
    <row r="206" spans="1:24" ht="15" customHeight="1">
      <c r="A206" s="261">
        <v>46133</v>
      </c>
      <c r="B206" s="320">
        <v>204</v>
      </c>
      <c r="C206" s="43">
        <v>368727</v>
      </c>
      <c r="D206" s="43">
        <v>80192698</v>
      </c>
      <c r="E206" s="648" t="s">
        <v>5339</v>
      </c>
      <c r="F206" s="43">
        <v>48</v>
      </c>
      <c r="G206" s="43" t="s">
        <v>5340</v>
      </c>
      <c r="H206" s="43" t="s">
        <v>278</v>
      </c>
      <c r="I206" s="43">
        <v>904258144</v>
      </c>
      <c r="J206" s="43" t="s">
        <v>384</v>
      </c>
      <c r="K206" s="44">
        <v>46133</v>
      </c>
      <c r="L206" s="43" t="s">
        <v>5341</v>
      </c>
      <c r="M206" s="266" t="s">
        <v>312</v>
      </c>
      <c r="N206" s="43" t="s">
        <v>241</v>
      </c>
      <c r="O206" s="463">
        <v>46142</v>
      </c>
      <c r="P206" s="43"/>
      <c r="Q206" s="43" t="s">
        <v>5342</v>
      </c>
      <c r="R206" s="43"/>
      <c r="S206" s="43"/>
      <c r="T206" s="43"/>
      <c r="U206" s="43"/>
      <c r="V206" s="43"/>
      <c r="W206" s="43"/>
      <c r="X206" s="43"/>
    </row>
    <row r="207" spans="1:24" ht="15" customHeight="1">
      <c r="A207" s="986"/>
      <c r="B207" s="320">
        <v>205</v>
      </c>
      <c r="C207" s="43">
        <v>439236</v>
      </c>
      <c r="D207" s="43">
        <v>15737921</v>
      </c>
      <c r="E207" s="648" t="s">
        <v>5343</v>
      </c>
      <c r="F207" s="43">
        <v>50</v>
      </c>
      <c r="G207" s="43" t="s">
        <v>745</v>
      </c>
      <c r="H207" s="43" t="s">
        <v>1420</v>
      </c>
      <c r="I207" s="43">
        <v>980859055</v>
      </c>
      <c r="J207" s="43" t="s">
        <v>746</v>
      </c>
      <c r="K207" s="44">
        <v>46133</v>
      </c>
      <c r="L207" s="43" t="s">
        <v>5344</v>
      </c>
      <c r="M207" s="43" t="s">
        <v>230</v>
      </c>
      <c r="N207" s="43" t="s">
        <v>241</v>
      </c>
      <c r="O207" s="463">
        <v>46142</v>
      </c>
      <c r="P207" s="43"/>
      <c r="Q207" s="43" t="s">
        <v>5345</v>
      </c>
      <c r="R207" s="43"/>
      <c r="S207" s="43"/>
      <c r="T207" s="43"/>
      <c r="U207" s="43"/>
      <c r="V207" s="43"/>
      <c r="W207" s="43"/>
      <c r="X207" s="43"/>
    </row>
    <row r="208" spans="1:24" ht="15" customHeight="1">
      <c r="A208" s="43"/>
      <c r="B208" s="320">
        <v>206</v>
      </c>
      <c r="C208" s="43">
        <v>525139</v>
      </c>
      <c r="D208" s="43">
        <v>15980011</v>
      </c>
      <c r="E208" s="648" t="s">
        <v>5346</v>
      </c>
      <c r="F208" s="43">
        <v>66</v>
      </c>
      <c r="G208" s="43" t="s">
        <v>5347</v>
      </c>
      <c r="H208" s="43" t="s">
        <v>271</v>
      </c>
      <c r="I208" s="43" t="s">
        <v>5348</v>
      </c>
      <c r="J208" s="43" t="s">
        <v>1804</v>
      </c>
      <c r="K208" s="44">
        <v>46133</v>
      </c>
      <c r="L208" s="43" t="s">
        <v>5349</v>
      </c>
      <c r="M208" s="43" t="s">
        <v>260</v>
      </c>
      <c r="N208" s="43" t="s">
        <v>241</v>
      </c>
      <c r="O208" s="954">
        <v>46134</v>
      </c>
      <c r="P208" s="43"/>
      <c r="Q208" s="43" t="s">
        <v>4131</v>
      </c>
      <c r="R208" s="43"/>
      <c r="S208" s="43"/>
      <c r="T208" s="43"/>
      <c r="U208" s="43"/>
      <c r="V208" s="43"/>
      <c r="W208" s="43"/>
      <c r="X208" s="43"/>
    </row>
    <row r="209" spans="1:24" ht="15" customHeight="1">
      <c r="A209" s="206"/>
      <c r="B209" s="320">
        <v>207</v>
      </c>
      <c r="C209" s="43">
        <v>306100</v>
      </c>
      <c r="D209" s="43">
        <v>43463749</v>
      </c>
      <c r="E209" s="648" t="s">
        <v>5350</v>
      </c>
      <c r="F209" s="43">
        <v>40</v>
      </c>
      <c r="G209" s="43" t="s">
        <v>5351</v>
      </c>
      <c r="H209" s="43" t="s">
        <v>222</v>
      </c>
      <c r="I209" s="43">
        <v>936706427</v>
      </c>
      <c r="J209" s="43" t="s">
        <v>283</v>
      </c>
      <c r="K209" s="44">
        <v>46133</v>
      </c>
      <c r="L209" s="955" t="s">
        <v>5352</v>
      </c>
      <c r="M209" s="43" t="s">
        <v>260</v>
      </c>
      <c r="N209" s="43" t="s">
        <v>241</v>
      </c>
      <c r="O209" s="762">
        <v>46142</v>
      </c>
      <c r="P209" s="244"/>
      <c r="Q209" s="242" t="s">
        <v>4131</v>
      </c>
      <c r="R209" s="43"/>
      <c r="S209" s="43"/>
      <c r="T209" s="43"/>
      <c r="U209" s="43"/>
      <c r="V209" s="43"/>
      <c r="W209" s="43"/>
      <c r="X209" s="43"/>
    </row>
    <row r="210" spans="1:24" ht="15" customHeight="1">
      <c r="A210" s="43"/>
      <c r="B210" s="320">
        <v>208</v>
      </c>
      <c r="C210" s="43">
        <v>106323</v>
      </c>
      <c r="D210" s="43">
        <v>80645726</v>
      </c>
      <c r="E210" s="648" t="s">
        <v>5353</v>
      </c>
      <c r="F210" s="43">
        <v>50</v>
      </c>
      <c r="G210" s="43" t="s">
        <v>5354</v>
      </c>
      <c r="H210" s="43" t="s">
        <v>237</v>
      </c>
      <c r="I210" s="43">
        <v>943349200</v>
      </c>
      <c r="J210" s="43" t="s">
        <v>289</v>
      </c>
      <c r="K210" s="44">
        <v>46133</v>
      </c>
      <c r="L210" s="43" t="s">
        <v>5355</v>
      </c>
      <c r="M210" s="43" t="s">
        <v>312</v>
      </c>
      <c r="N210" s="43" t="s">
        <v>241</v>
      </c>
      <c r="O210" s="1055" t="s">
        <v>4196</v>
      </c>
      <c r="P210" s="43"/>
      <c r="Q210" s="266" t="s">
        <v>2708</v>
      </c>
      <c r="R210" s="43"/>
      <c r="S210" s="43"/>
      <c r="T210" s="43"/>
      <c r="U210" s="43"/>
      <c r="V210" s="43"/>
      <c r="W210" s="43"/>
      <c r="X210" s="43"/>
    </row>
    <row r="211" spans="1:24" ht="15" customHeight="1">
      <c r="A211" s="206"/>
      <c r="B211" s="320">
        <v>209</v>
      </c>
      <c r="C211" s="43">
        <v>525142</v>
      </c>
      <c r="D211" s="43">
        <v>16003933</v>
      </c>
      <c r="E211" s="648" t="s">
        <v>5356</v>
      </c>
      <c r="F211" s="43">
        <v>56</v>
      </c>
      <c r="G211" s="43" t="s">
        <v>5357</v>
      </c>
      <c r="H211" s="43" t="s">
        <v>461</v>
      </c>
      <c r="I211" s="43">
        <v>950084704</v>
      </c>
      <c r="J211" s="43" t="s">
        <v>162</v>
      </c>
      <c r="K211" s="44">
        <v>46133</v>
      </c>
      <c r="L211" s="955" t="s">
        <v>458</v>
      </c>
      <c r="M211" s="43" t="s">
        <v>260</v>
      </c>
      <c r="N211" s="43" t="s">
        <v>241</v>
      </c>
      <c r="O211" s="954">
        <v>46134</v>
      </c>
      <c r="P211" s="244"/>
      <c r="Q211" s="242" t="s">
        <v>5327</v>
      </c>
      <c r="R211" s="43"/>
      <c r="S211" s="43"/>
      <c r="T211" s="43"/>
      <c r="U211" s="43"/>
      <c r="V211" s="43"/>
      <c r="W211" s="43"/>
      <c r="X211" s="43"/>
    </row>
    <row r="212" spans="1:24" ht="15" customHeight="1">
      <c r="A212" s="206"/>
      <c r="B212" s="320">
        <v>210</v>
      </c>
      <c r="C212" s="43">
        <v>66530</v>
      </c>
      <c r="D212" s="43">
        <v>15598719</v>
      </c>
      <c r="E212" s="648" t="s">
        <v>5358</v>
      </c>
      <c r="F212" s="43">
        <v>68</v>
      </c>
      <c r="G212" s="43" t="s">
        <v>5359</v>
      </c>
      <c r="H212" s="43" t="s">
        <v>278</v>
      </c>
      <c r="I212" s="43">
        <v>970221595</v>
      </c>
      <c r="J212" s="43" t="s">
        <v>238</v>
      </c>
      <c r="K212" s="44">
        <v>46133</v>
      </c>
      <c r="L212" s="955" t="s">
        <v>5360</v>
      </c>
      <c r="M212" s="43" t="s">
        <v>230</v>
      </c>
      <c r="N212" s="43" t="s">
        <v>241</v>
      </c>
      <c r="O212" s="954">
        <v>46140</v>
      </c>
      <c r="P212" s="244"/>
      <c r="Q212" s="242" t="s">
        <v>5361</v>
      </c>
      <c r="R212" s="43"/>
      <c r="S212" s="43"/>
      <c r="T212" s="43"/>
      <c r="U212" s="43"/>
      <c r="V212" s="43"/>
      <c r="W212" s="43"/>
      <c r="X212" s="43"/>
    </row>
    <row r="213" spans="1:24" ht="15" customHeight="1">
      <c r="A213" s="206"/>
      <c r="B213" s="320">
        <v>211</v>
      </c>
      <c r="C213" s="43">
        <v>100208</v>
      </c>
      <c r="D213" s="43">
        <v>15738931</v>
      </c>
      <c r="E213" s="648" t="s">
        <v>5362</v>
      </c>
      <c r="F213" s="43">
        <v>50</v>
      </c>
      <c r="G213" s="43" t="s">
        <v>5363</v>
      </c>
      <c r="H213" s="43" t="s">
        <v>5364</v>
      </c>
      <c r="I213" s="43">
        <v>979327128</v>
      </c>
      <c r="J213" s="43" t="s">
        <v>238</v>
      </c>
      <c r="K213" s="44">
        <v>46133</v>
      </c>
      <c r="L213" s="955" t="s">
        <v>458</v>
      </c>
      <c r="M213" s="43" t="s">
        <v>260</v>
      </c>
      <c r="N213" s="43" t="s">
        <v>241</v>
      </c>
      <c r="O213" s="954">
        <v>46134</v>
      </c>
      <c r="P213" s="244"/>
      <c r="Q213" s="242" t="s">
        <v>5365</v>
      </c>
      <c r="R213" s="43"/>
      <c r="S213" s="43"/>
      <c r="T213" s="43"/>
      <c r="U213" s="43"/>
      <c r="V213" s="43"/>
      <c r="W213" s="43"/>
      <c r="X213" s="43"/>
    </row>
    <row r="214" spans="1:24" ht="15" customHeight="1">
      <c r="A214" s="206"/>
      <c r="B214" s="320">
        <v>212</v>
      </c>
      <c r="C214" s="43">
        <v>516675</v>
      </c>
      <c r="D214" s="43">
        <v>40989335</v>
      </c>
      <c r="E214" s="648" t="s">
        <v>5366</v>
      </c>
      <c r="F214" s="43">
        <v>44</v>
      </c>
      <c r="G214" s="43" t="s">
        <v>5367</v>
      </c>
      <c r="H214" s="43" t="s">
        <v>278</v>
      </c>
      <c r="I214" s="43">
        <v>970276052</v>
      </c>
      <c r="J214" s="43" t="s">
        <v>238</v>
      </c>
      <c r="K214" s="44">
        <v>46133</v>
      </c>
      <c r="L214" s="955" t="s">
        <v>458</v>
      </c>
      <c r="M214" s="43" t="s">
        <v>260</v>
      </c>
      <c r="N214" s="43" t="s">
        <v>241</v>
      </c>
      <c r="O214" s="954">
        <v>46134</v>
      </c>
      <c r="P214" s="244"/>
      <c r="Q214" s="242" t="s">
        <v>5368</v>
      </c>
      <c r="R214" s="43"/>
      <c r="S214" s="43"/>
      <c r="T214" s="43"/>
      <c r="U214" s="43"/>
      <c r="V214" s="43"/>
      <c r="W214" s="43"/>
      <c r="X214" s="43"/>
    </row>
    <row r="215" spans="1:24" ht="15" customHeight="1">
      <c r="A215" s="206"/>
      <c r="B215" s="320">
        <v>213</v>
      </c>
      <c r="C215" s="43">
        <v>157606</v>
      </c>
      <c r="D215" s="43">
        <v>80258250</v>
      </c>
      <c r="E215" s="648" t="s">
        <v>5369</v>
      </c>
      <c r="F215" s="43">
        <v>54</v>
      </c>
      <c r="G215" s="43" t="s">
        <v>5370</v>
      </c>
      <c r="H215" s="43" t="s">
        <v>301</v>
      </c>
      <c r="I215" s="43">
        <v>923347885</v>
      </c>
      <c r="J215" s="43" t="s">
        <v>380</v>
      </c>
      <c r="K215" s="114">
        <v>46133</v>
      </c>
      <c r="L215" s="1057" t="s">
        <v>5371</v>
      </c>
      <c r="M215" s="112" t="s">
        <v>230</v>
      </c>
      <c r="N215" s="112" t="s">
        <v>241</v>
      </c>
      <c r="O215" s="1058">
        <v>46142</v>
      </c>
      <c r="P215" s="876"/>
      <c r="Q215" s="405" t="s">
        <v>5372</v>
      </c>
      <c r="R215" s="43"/>
      <c r="S215" s="43"/>
      <c r="T215" s="43"/>
      <c r="U215" s="43"/>
      <c r="V215" s="43"/>
      <c r="W215" s="43"/>
      <c r="X215" s="43"/>
    </row>
    <row r="216" spans="1:24" ht="15" customHeight="1">
      <c r="A216" s="262" t="s">
        <v>513</v>
      </c>
      <c r="B216" s="320">
        <v>214</v>
      </c>
      <c r="C216" s="43">
        <v>392544</v>
      </c>
      <c r="D216" s="43">
        <v>43472899</v>
      </c>
      <c r="E216" s="648" t="s">
        <v>5373</v>
      </c>
      <c r="F216" s="43">
        <v>40</v>
      </c>
      <c r="G216" s="43" t="s">
        <v>5374</v>
      </c>
      <c r="H216" s="43" t="s">
        <v>301</v>
      </c>
      <c r="I216" s="43" t="s">
        <v>5375</v>
      </c>
      <c r="J216" s="43" t="s">
        <v>238</v>
      </c>
      <c r="K216" s="44">
        <v>46133</v>
      </c>
      <c r="L216" s="955" t="s">
        <v>5376</v>
      </c>
      <c r="M216" s="43" t="s">
        <v>230</v>
      </c>
      <c r="N216" s="43" t="s">
        <v>241</v>
      </c>
      <c r="O216" s="954">
        <v>46134</v>
      </c>
      <c r="P216" s="244"/>
      <c r="Q216" s="242"/>
      <c r="R216" s="267"/>
      <c r="S216" s="267"/>
      <c r="T216" s="267"/>
      <c r="U216" s="267"/>
      <c r="V216" s="299">
        <v>46134</v>
      </c>
      <c r="W216" s="267" t="s">
        <v>5377</v>
      </c>
      <c r="X216" s="267" t="s">
        <v>312</v>
      </c>
    </row>
    <row r="217" spans="1:24" ht="15" customHeight="1">
      <c r="A217" s="43"/>
      <c r="B217" s="320">
        <v>215</v>
      </c>
      <c r="C217" s="43">
        <v>137626</v>
      </c>
      <c r="D217" s="43">
        <v>43542044</v>
      </c>
      <c r="E217" s="648" t="s">
        <v>5378</v>
      </c>
      <c r="F217" s="43">
        <v>40</v>
      </c>
      <c r="G217" s="43" t="s">
        <v>5379</v>
      </c>
      <c r="H217" s="43" t="s">
        <v>222</v>
      </c>
      <c r="I217" s="43">
        <v>963719450</v>
      </c>
      <c r="J217" s="43" t="s">
        <v>283</v>
      </c>
      <c r="K217" s="44">
        <v>46133</v>
      </c>
      <c r="L217" s="43" t="s">
        <v>4101</v>
      </c>
      <c r="M217" s="43" t="s">
        <v>260</v>
      </c>
      <c r="N217" s="43" t="s">
        <v>241</v>
      </c>
      <c r="O217" s="762">
        <v>46142</v>
      </c>
      <c r="P217" s="269"/>
      <c r="Q217" s="1059" t="s">
        <v>4131</v>
      </c>
      <c r="R217" s="43"/>
      <c r="S217" s="43"/>
      <c r="T217" s="43"/>
      <c r="U217" s="43"/>
      <c r="V217" s="43"/>
      <c r="W217" s="43"/>
      <c r="X217" s="43"/>
    </row>
    <row r="218" spans="1:24" ht="15" customHeight="1">
      <c r="A218" s="261">
        <v>46134</v>
      </c>
      <c r="B218" s="319">
        <v>216</v>
      </c>
      <c r="C218" s="43">
        <v>173566</v>
      </c>
      <c r="D218" s="1054">
        <v>15844726</v>
      </c>
      <c r="E218" s="648" t="s">
        <v>5380</v>
      </c>
      <c r="F218" s="43">
        <v>53</v>
      </c>
      <c r="G218" s="43" t="s">
        <v>5381</v>
      </c>
      <c r="H218" s="43" t="s">
        <v>5382</v>
      </c>
      <c r="I218" s="43" t="s">
        <v>5383</v>
      </c>
      <c r="J218" s="213" t="s">
        <v>175</v>
      </c>
      <c r="K218" s="44">
        <v>46134</v>
      </c>
      <c r="L218" s="43" t="s">
        <v>584</v>
      </c>
      <c r="M218" s="43" t="s">
        <v>230</v>
      </c>
      <c r="N218" s="43" t="s">
        <v>241</v>
      </c>
      <c r="O218" s="451">
        <v>46141</v>
      </c>
      <c r="P218" s="43"/>
      <c r="Q218" s="43" t="s">
        <v>5384</v>
      </c>
      <c r="R218" s="43"/>
      <c r="S218" s="43"/>
      <c r="T218" s="43"/>
      <c r="U218" s="43"/>
      <c r="V218" s="43"/>
      <c r="W218" s="43"/>
      <c r="X218" s="43"/>
    </row>
    <row r="219" spans="1:24" ht="15" customHeight="1">
      <c r="A219" s="206"/>
      <c r="B219" s="319">
        <v>217</v>
      </c>
      <c r="C219" s="43">
        <v>69048</v>
      </c>
      <c r="D219" s="1054">
        <v>15858789</v>
      </c>
      <c r="E219" s="648" t="s">
        <v>5385</v>
      </c>
      <c r="F219" s="43">
        <v>55</v>
      </c>
      <c r="G219" s="43" t="s">
        <v>5386</v>
      </c>
      <c r="H219" s="43" t="s">
        <v>5382</v>
      </c>
      <c r="I219" s="43">
        <v>916246510</v>
      </c>
      <c r="J219" s="213" t="s">
        <v>175</v>
      </c>
      <c r="K219" s="44">
        <v>46134</v>
      </c>
      <c r="L219" s="43" t="s">
        <v>5387</v>
      </c>
      <c r="M219" s="43" t="s">
        <v>312</v>
      </c>
      <c r="N219" s="43" t="s">
        <v>317</v>
      </c>
      <c r="O219" s="451">
        <v>46141</v>
      </c>
      <c r="P219" s="43"/>
      <c r="Q219" s="43" t="s">
        <v>5384</v>
      </c>
      <c r="R219" s="43"/>
      <c r="S219" s="43"/>
      <c r="T219" s="43"/>
      <c r="U219" s="43"/>
      <c r="V219" s="43"/>
      <c r="W219" s="43"/>
      <c r="X219" s="43"/>
    </row>
    <row r="220" spans="1:24" ht="15" customHeight="1">
      <c r="A220" s="206"/>
      <c r="B220" s="319">
        <v>218</v>
      </c>
      <c r="C220" s="43">
        <v>491049</v>
      </c>
      <c r="D220" s="1054">
        <v>40247323</v>
      </c>
      <c r="E220" s="648" t="s">
        <v>5388</v>
      </c>
      <c r="F220" s="43">
        <v>48</v>
      </c>
      <c r="G220" s="43" t="s">
        <v>5389</v>
      </c>
      <c r="H220" s="43" t="s">
        <v>5382</v>
      </c>
      <c r="I220" s="43">
        <v>930776513</v>
      </c>
      <c r="J220" s="213" t="s">
        <v>175</v>
      </c>
      <c r="K220" s="44">
        <v>46134</v>
      </c>
      <c r="L220" s="43" t="s">
        <v>584</v>
      </c>
      <c r="M220" s="43" t="s">
        <v>260</v>
      </c>
      <c r="N220" s="43" t="s">
        <v>241</v>
      </c>
      <c r="O220" s="451">
        <v>46141</v>
      </c>
      <c r="P220" s="43"/>
      <c r="Q220" s="43" t="s">
        <v>5384</v>
      </c>
      <c r="R220" s="43"/>
      <c r="S220" s="43"/>
      <c r="T220" s="43"/>
      <c r="U220" s="43"/>
      <c r="V220" s="43"/>
      <c r="W220" s="43"/>
      <c r="X220" s="43"/>
    </row>
    <row r="221" spans="1:24" ht="15" customHeight="1">
      <c r="A221" s="206"/>
      <c r="B221" s="319">
        <v>219</v>
      </c>
      <c r="C221" s="43">
        <v>474398</v>
      </c>
      <c r="D221" s="1054">
        <v>2440385</v>
      </c>
      <c r="E221" s="648" t="s">
        <v>5390</v>
      </c>
      <c r="F221" s="43">
        <v>48</v>
      </c>
      <c r="G221" s="43" t="s">
        <v>5391</v>
      </c>
      <c r="H221" s="43" t="s">
        <v>278</v>
      </c>
      <c r="I221" s="43">
        <v>918368061</v>
      </c>
      <c r="J221" s="43" t="s">
        <v>238</v>
      </c>
      <c r="K221" s="44">
        <v>46134</v>
      </c>
      <c r="L221" s="43" t="s">
        <v>5392</v>
      </c>
      <c r="M221" s="43" t="s">
        <v>260</v>
      </c>
      <c r="N221" s="43" t="s">
        <v>241</v>
      </c>
      <c r="O221" s="451">
        <v>46141</v>
      </c>
      <c r="P221" s="43"/>
      <c r="Q221" s="43"/>
      <c r="R221" s="43"/>
      <c r="S221" s="43"/>
      <c r="T221" s="43"/>
      <c r="U221" s="43"/>
      <c r="V221" s="43"/>
      <c r="W221" s="43"/>
      <c r="X221" s="43"/>
    </row>
    <row r="222" spans="1:24" ht="15" customHeight="1">
      <c r="A222" s="206"/>
      <c r="B222" s="320">
        <v>220</v>
      </c>
      <c r="C222" s="43">
        <v>78892</v>
      </c>
      <c r="D222" s="1054">
        <v>15723302</v>
      </c>
      <c r="E222" s="648" t="s">
        <v>5393</v>
      </c>
      <c r="F222" s="43">
        <v>56</v>
      </c>
      <c r="G222" s="43" t="s">
        <v>5394</v>
      </c>
      <c r="H222" s="43" t="s">
        <v>222</v>
      </c>
      <c r="I222" s="43">
        <v>991760634</v>
      </c>
      <c r="J222" s="43" t="s">
        <v>223</v>
      </c>
      <c r="K222" s="44">
        <v>46134</v>
      </c>
      <c r="L222" s="955" t="s">
        <v>5395</v>
      </c>
      <c r="M222" s="43" t="s">
        <v>260</v>
      </c>
      <c r="N222" s="43" t="s">
        <v>241</v>
      </c>
      <c r="O222" s="448">
        <v>46141</v>
      </c>
      <c r="P222" s="244"/>
      <c r="Q222" s="242" t="s">
        <v>5396</v>
      </c>
      <c r="R222" s="43"/>
      <c r="S222" s="43"/>
      <c r="T222" s="43"/>
      <c r="U222" s="43"/>
      <c r="V222" s="43"/>
      <c r="W222" s="43"/>
      <c r="X222" s="43"/>
    </row>
    <row r="223" spans="1:24" ht="15" customHeight="1">
      <c r="A223" s="206"/>
      <c r="B223" s="320">
        <v>221</v>
      </c>
      <c r="C223" s="43">
        <v>525177</v>
      </c>
      <c r="D223" s="1054">
        <v>15752646</v>
      </c>
      <c r="E223" s="648" t="s">
        <v>5397</v>
      </c>
      <c r="F223" s="43">
        <v>52</v>
      </c>
      <c r="G223" s="43" t="s">
        <v>5398</v>
      </c>
      <c r="H223" s="43" t="s">
        <v>461</v>
      </c>
      <c r="I223" s="43">
        <v>966995154</v>
      </c>
      <c r="J223" s="43" t="s">
        <v>162</v>
      </c>
      <c r="K223" s="44">
        <v>46134</v>
      </c>
      <c r="L223" s="1060" t="s">
        <v>679</v>
      </c>
      <c r="M223" s="1061" t="s">
        <v>230</v>
      </c>
      <c r="N223" s="43" t="s">
        <v>317</v>
      </c>
      <c r="O223" s="954">
        <v>46142</v>
      </c>
      <c r="P223" s="244"/>
      <c r="Q223" s="242" t="s">
        <v>4131</v>
      </c>
      <c r="R223" s="43"/>
      <c r="S223" s="43"/>
      <c r="T223" s="43"/>
      <c r="U223" s="43"/>
      <c r="V223" s="43"/>
      <c r="W223" s="43"/>
      <c r="X223" s="43"/>
    </row>
    <row r="224" spans="1:24" ht="15" customHeight="1">
      <c r="A224" s="206"/>
      <c r="B224" s="319">
        <v>222</v>
      </c>
      <c r="C224" s="43">
        <v>525169</v>
      </c>
      <c r="D224" s="1054">
        <v>10834230</v>
      </c>
      <c r="E224" s="648" t="s">
        <v>5399</v>
      </c>
      <c r="F224" s="43">
        <v>56</v>
      </c>
      <c r="G224" s="43" t="s">
        <v>5400</v>
      </c>
      <c r="H224" s="43" t="s">
        <v>2724</v>
      </c>
      <c r="I224" s="43">
        <v>936381920</v>
      </c>
      <c r="J224" s="213" t="s">
        <v>175</v>
      </c>
      <c r="K224" s="44">
        <v>46134</v>
      </c>
      <c r="L224" s="43" t="s">
        <v>584</v>
      </c>
      <c r="M224" s="43" t="s">
        <v>260</v>
      </c>
      <c r="N224" s="43" t="s">
        <v>241</v>
      </c>
      <c r="O224" s="451">
        <v>46141</v>
      </c>
      <c r="P224" s="43"/>
      <c r="Q224" s="43" t="s">
        <v>5384</v>
      </c>
      <c r="R224" s="43"/>
      <c r="S224" s="43"/>
      <c r="T224" s="43"/>
      <c r="U224" s="43"/>
      <c r="V224" s="43"/>
      <c r="W224" s="43"/>
      <c r="X224" s="43"/>
    </row>
    <row r="225" spans="1:27" ht="15" customHeight="1">
      <c r="A225" s="206"/>
      <c r="B225" s="319">
        <v>223</v>
      </c>
      <c r="C225" s="43">
        <v>525170</v>
      </c>
      <c r="D225" s="1054">
        <v>42351810</v>
      </c>
      <c r="E225" s="648" t="s">
        <v>5401</v>
      </c>
      <c r="F225" s="43">
        <v>42</v>
      </c>
      <c r="G225" s="43" t="s">
        <v>5402</v>
      </c>
      <c r="H225" s="43" t="s">
        <v>2724</v>
      </c>
      <c r="I225" s="43">
        <v>975315215</v>
      </c>
      <c r="J225" s="213" t="s">
        <v>175</v>
      </c>
      <c r="K225" s="44">
        <v>46134</v>
      </c>
      <c r="L225" s="43" t="s">
        <v>5403</v>
      </c>
      <c r="M225" s="112" t="s">
        <v>260</v>
      </c>
      <c r="N225" s="112" t="s">
        <v>241</v>
      </c>
      <c r="O225" s="451">
        <v>46141</v>
      </c>
      <c r="P225" s="43"/>
      <c r="Q225" s="43" t="s">
        <v>5384</v>
      </c>
      <c r="R225" s="43"/>
      <c r="S225" s="43"/>
      <c r="T225" s="43"/>
      <c r="U225" s="43"/>
      <c r="V225" s="43"/>
      <c r="W225" s="43"/>
      <c r="X225" s="43"/>
    </row>
    <row r="226" spans="1:27" ht="15" customHeight="1">
      <c r="A226" s="206"/>
      <c r="B226" s="320">
        <v>224</v>
      </c>
      <c r="C226" s="43">
        <v>61448</v>
      </c>
      <c r="D226" s="1054">
        <v>15762668</v>
      </c>
      <c r="E226" s="648" t="s">
        <v>5404</v>
      </c>
      <c r="F226" s="43">
        <v>50</v>
      </c>
      <c r="G226" s="43" t="s">
        <v>5405</v>
      </c>
      <c r="H226" s="43" t="s">
        <v>301</v>
      </c>
      <c r="I226" s="43">
        <v>969399666</v>
      </c>
      <c r="J226" s="43" t="s">
        <v>223</v>
      </c>
      <c r="K226" s="44">
        <v>46134</v>
      </c>
      <c r="L226" s="955" t="s">
        <v>576</v>
      </c>
      <c r="M226" s="43" t="s">
        <v>312</v>
      </c>
      <c r="N226" s="43" t="s">
        <v>241</v>
      </c>
      <c r="O226" s="448">
        <v>46141</v>
      </c>
      <c r="P226" s="244"/>
      <c r="Q226" s="242" t="s">
        <v>5396</v>
      </c>
      <c r="R226" s="43"/>
      <c r="S226" s="43"/>
      <c r="T226" s="43"/>
      <c r="U226" s="43"/>
      <c r="V226" s="43"/>
      <c r="W226" s="43"/>
      <c r="X226" s="43"/>
    </row>
    <row r="227" spans="1:27" ht="15" customHeight="1">
      <c r="A227" s="206"/>
      <c r="B227" s="319">
        <v>225</v>
      </c>
      <c r="C227" s="43">
        <v>525171</v>
      </c>
      <c r="D227" s="1054">
        <v>15851924</v>
      </c>
      <c r="E227" s="648" t="s">
        <v>5406</v>
      </c>
      <c r="F227" s="43">
        <v>54</v>
      </c>
      <c r="G227" s="43" t="s">
        <v>5407</v>
      </c>
      <c r="H227" s="43" t="s">
        <v>2724</v>
      </c>
      <c r="I227" s="43" t="s">
        <v>5408</v>
      </c>
      <c r="J227" s="213" t="s">
        <v>175</v>
      </c>
      <c r="K227" s="44">
        <v>46134</v>
      </c>
      <c r="L227" s="43" t="s">
        <v>584</v>
      </c>
      <c r="M227" s="43" t="s">
        <v>230</v>
      </c>
      <c r="N227" s="43" t="s">
        <v>241</v>
      </c>
      <c r="O227" s="451">
        <v>46141</v>
      </c>
      <c r="P227" s="43"/>
      <c r="Q227" s="43" t="s">
        <v>5384</v>
      </c>
      <c r="R227" s="43"/>
      <c r="S227" s="43"/>
      <c r="T227" s="43"/>
      <c r="U227" s="43"/>
      <c r="V227" s="43"/>
      <c r="W227" s="43"/>
      <c r="X227" s="43"/>
    </row>
    <row r="228" spans="1:27" ht="15" customHeight="1">
      <c r="A228" s="206"/>
      <c r="B228" s="319">
        <v>226</v>
      </c>
      <c r="C228" s="43">
        <v>525172</v>
      </c>
      <c r="D228" s="1054">
        <v>41019793</v>
      </c>
      <c r="E228" s="648" t="s">
        <v>5409</v>
      </c>
      <c r="F228" s="43">
        <v>44</v>
      </c>
      <c r="G228" s="43" t="s">
        <v>5410</v>
      </c>
      <c r="H228" s="43" t="s">
        <v>2724</v>
      </c>
      <c r="I228" s="43">
        <v>952105029</v>
      </c>
      <c r="J228" s="213" t="s">
        <v>175</v>
      </c>
      <c r="K228" s="44">
        <v>46134</v>
      </c>
      <c r="L228" s="43" t="s">
        <v>1663</v>
      </c>
      <c r="M228" s="112" t="s">
        <v>260</v>
      </c>
      <c r="N228" s="112" t="s">
        <v>241</v>
      </c>
      <c r="O228" s="451">
        <v>46141</v>
      </c>
      <c r="P228" s="43"/>
      <c r="Q228" s="43" t="s">
        <v>5384</v>
      </c>
      <c r="R228" s="43"/>
      <c r="S228" s="43"/>
      <c r="T228" s="43"/>
      <c r="U228" s="43"/>
      <c r="V228" s="43"/>
      <c r="W228" s="43"/>
      <c r="X228" s="43"/>
    </row>
    <row r="229" spans="1:27" ht="15" customHeight="1">
      <c r="A229" s="206"/>
      <c r="B229" s="319">
        <v>227</v>
      </c>
      <c r="C229" s="43">
        <v>508816</v>
      </c>
      <c r="D229" s="1054">
        <v>15628465</v>
      </c>
      <c r="E229" s="648" t="s">
        <v>5411</v>
      </c>
      <c r="F229" s="43">
        <v>62</v>
      </c>
      <c r="G229" s="43" t="s">
        <v>5412</v>
      </c>
      <c r="H229" s="43" t="s">
        <v>2724</v>
      </c>
      <c r="I229" s="43" t="s">
        <v>5413</v>
      </c>
      <c r="J229" s="213" t="s">
        <v>175</v>
      </c>
      <c r="K229" s="44">
        <v>46134</v>
      </c>
      <c r="L229" s="43" t="s">
        <v>1947</v>
      </c>
      <c r="M229" s="43" t="s">
        <v>230</v>
      </c>
      <c r="N229" s="43" t="s">
        <v>317</v>
      </c>
      <c r="O229" s="451">
        <v>46141</v>
      </c>
      <c r="P229" s="43"/>
      <c r="Q229" s="43" t="s">
        <v>5384</v>
      </c>
      <c r="R229" s="43"/>
      <c r="S229" s="43"/>
      <c r="T229" s="43"/>
      <c r="U229" s="43"/>
      <c r="V229" s="43"/>
      <c r="W229" s="43"/>
      <c r="X229" s="43"/>
    </row>
    <row r="230" spans="1:27" ht="15" customHeight="1">
      <c r="A230" s="206"/>
      <c r="B230" s="319">
        <v>228</v>
      </c>
      <c r="C230" s="43">
        <v>73065</v>
      </c>
      <c r="D230" s="1054">
        <v>15725164</v>
      </c>
      <c r="E230" s="648" t="s">
        <v>5414</v>
      </c>
      <c r="F230" s="43">
        <v>56</v>
      </c>
      <c r="G230" s="43" t="s">
        <v>5415</v>
      </c>
      <c r="H230" s="43" t="s">
        <v>5416</v>
      </c>
      <c r="I230" s="43">
        <v>988306343</v>
      </c>
      <c r="J230" s="43" t="s">
        <v>238</v>
      </c>
      <c r="K230" s="44">
        <v>46134</v>
      </c>
      <c r="L230" s="43" t="s">
        <v>584</v>
      </c>
      <c r="M230" s="43" t="s">
        <v>230</v>
      </c>
      <c r="N230" s="43" t="s">
        <v>241</v>
      </c>
      <c r="O230" s="451">
        <v>46141</v>
      </c>
      <c r="P230" s="43"/>
      <c r="Q230" s="43"/>
      <c r="R230" s="43"/>
      <c r="S230" s="43"/>
      <c r="T230" s="43"/>
      <c r="U230" s="43"/>
      <c r="V230" s="43"/>
      <c r="W230" s="43"/>
      <c r="X230" s="43"/>
    </row>
    <row r="231" spans="1:27" ht="15" customHeight="1">
      <c r="A231" s="206"/>
      <c r="B231" s="319">
        <v>229</v>
      </c>
      <c r="C231" s="43">
        <v>161291</v>
      </c>
      <c r="D231" s="1054">
        <v>43217811</v>
      </c>
      <c r="E231" s="648" t="s">
        <v>5417</v>
      </c>
      <c r="F231" s="43">
        <v>40</v>
      </c>
      <c r="G231" s="43" t="s">
        <v>5418</v>
      </c>
      <c r="H231" s="43" t="s">
        <v>278</v>
      </c>
      <c r="I231" s="43">
        <v>967757159</v>
      </c>
      <c r="J231" s="43" t="s">
        <v>384</v>
      </c>
      <c r="K231" s="44">
        <v>46134</v>
      </c>
      <c r="L231" s="43" t="s">
        <v>584</v>
      </c>
      <c r="M231" s="43" t="s">
        <v>230</v>
      </c>
      <c r="N231" s="43" t="s">
        <v>241</v>
      </c>
      <c r="O231" s="956">
        <v>46142</v>
      </c>
      <c r="P231" s="266"/>
      <c r="Q231" s="43" t="s">
        <v>5342</v>
      </c>
      <c r="R231" s="43"/>
      <c r="S231" s="43"/>
      <c r="T231" s="43"/>
      <c r="U231" s="43"/>
      <c r="V231" s="43"/>
      <c r="W231" s="43"/>
      <c r="X231" s="43"/>
    </row>
    <row r="232" spans="1:27" ht="15" customHeight="1">
      <c r="A232" s="206"/>
      <c r="B232" s="319">
        <v>230</v>
      </c>
      <c r="C232" s="43">
        <v>525176</v>
      </c>
      <c r="D232" s="1062">
        <v>16022477</v>
      </c>
      <c r="E232" s="726" t="s">
        <v>5419</v>
      </c>
      <c r="F232" s="711">
        <v>49</v>
      </c>
      <c r="G232" s="711" t="s">
        <v>5420</v>
      </c>
      <c r="H232" s="711" t="s">
        <v>1885</v>
      </c>
      <c r="I232" s="665">
        <v>922646875</v>
      </c>
      <c r="J232" s="43" t="s">
        <v>164</v>
      </c>
      <c r="K232" s="44">
        <v>46134</v>
      </c>
      <c r="L232" s="1063" t="s">
        <v>5421</v>
      </c>
      <c r="M232" s="112" t="s">
        <v>260</v>
      </c>
      <c r="N232" s="112" t="s">
        <v>241</v>
      </c>
      <c r="O232" s="451">
        <v>46141</v>
      </c>
      <c r="P232" s="711"/>
      <c r="Q232" s="242" t="s">
        <v>5327</v>
      </c>
      <c r="R232" s="43"/>
      <c r="S232" s="43"/>
      <c r="T232" s="43"/>
      <c r="U232" s="43"/>
      <c r="V232" s="43"/>
      <c r="W232" s="43"/>
      <c r="X232" s="43"/>
    </row>
    <row r="233" spans="1:27" ht="15" customHeight="1">
      <c r="A233" s="206"/>
      <c r="B233" s="320">
        <v>231</v>
      </c>
      <c r="C233" s="43">
        <v>247057</v>
      </c>
      <c r="D233" s="1054">
        <v>42569661</v>
      </c>
      <c r="E233" s="648" t="s">
        <v>5422</v>
      </c>
      <c r="F233" s="43">
        <v>44</v>
      </c>
      <c r="G233" s="43" t="s">
        <v>5423</v>
      </c>
      <c r="H233" s="43" t="s">
        <v>301</v>
      </c>
      <c r="I233" s="43">
        <v>934810125</v>
      </c>
      <c r="J233" s="43" t="s">
        <v>302</v>
      </c>
      <c r="K233" s="44">
        <v>46134</v>
      </c>
      <c r="L233" s="955" t="s">
        <v>1156</v>
      </c>
      <c r="M233" s="43" t="s">
        <v>230</v>
      </c>
      <c r="N233" s="43" t="s">
        <v>241</v>
      </c>
      <c r="O233" s="448">
        <v>46142</v>
      </c>
      <c r="P233" s="244"/>
      <c r="Q233" s="242" t="s">
        <v>5424</v>
      </c>
      <c r="R233" s="43"/>
      <c r="S233" s="43"/>
      <c r="T233" s="43"/>
      <c r="U233" s="43"/>
      <c r="V233" s="43"/>
      <c r="W233" s="43"/>
      <c r="X233" s="43"/>
    </row>
    <row r="234" spans="1:27" ht="15" customHeight="1">
      <c r="A234" s="206"/>
      <c r="B234" s="319">
        <v>232</v>
      </c>
      <c r="C234" s="43">
        <v>69491</v>
      </c>
      <c r="D234" s="1054">
        <v>15650827</v>
      </c>
      <c r="E234" s="648" t="s">
        <v>5425</v>
      </c>
      <c r="F234" s="43">
        <v>67</v>
      </c>
      <c r="G234" s="43" t="s">
        <v>5426</v>
      </c>
      <c r="H234" s="43" t="s">
        <v>301</v>
      </c>
      <c r="I234" s="43">
        <v>943811040</v>
      </c>
      <c r="J234" s="43" t="s">
        <v>302</v>
      </c>
      <c r="K234" s="44">
        <v>46134</v>
      </c>
      <c r="L234" s="955" t="s">
        <v>2164</v>
      </c>
      <c r="M234" s="43" t="s">
        <v>312</v>
      </c>
      <c r="N234" s="43" t="s">
        <v>241</v>
      </c>
      <c r="O234" s="762">
        <v>46142</v>
      </c>
      <c r="P234" s="244"/>
      <c r="Q234" s="242" t="s">
        <v>5424</v>
      </c>
      <c r="R234" s="43"/>
      <c r="S234" s="43"/>
      <c r="T234" s="43"/>
      <c r="U234" s="43"/>
      <c r="V234" s="43"/>
      <c r="W234" s="43"/>
      <c r="X234" s="43"/>
    </row>
    <row r="235" spans="1:27" ht="15" customHeight="1">
      <c r="A235" s="1064" t="s">
        <v>219</v>
      </c>
      <c r="B235" s="319">
        <v>233</v>
      </c>
      <c r="C235" s="267">
        <v>525034</v>
      </c>
      <c r="D235" s="1065">
        <v>40700584</v>
      </c>
      <c r="E235" s="267" t="s">
        <v>5285</v>
      </c>
      <c r="F235" s="267">
        <v>48</v>
      </c>
      <c r="G235" s="267" t="s">
        <v>5286</v>
      </c>
      <c r="H235" s="267" t="s">
        <v>461</v>
      </c>
      <c r="I235" s="267" t="s">
        <v>5287</v>
      </c>
      <c r="J235" s="267" t="s">
        <v>5288</v>
      </c>
      <c r="K235" s="267" t="s">
        <v>5289</v>
      </c>
      <c r="L235" s="267" t="s">
        <v>5290</v>
      </c>
      <c r="M235" s="132" t="s">
        <v>260</v>
      </c>
      <c r="N235" s="1066" t="s">
        <v>5291</v>
      </c>
      <c r="O235" s="998">
        <v>46133</v>
      </c>
      <c r="P235" s="266"/>
      <c r="Q235" s="266" t="s">
        <v>5292</v>
      </c>
      <c r="R235" s="43"/>
      <c r="S235" s="43"/>
      <c r="T235" s="43"/>
      <c r="U235" s="43"/>
      <c r="V235" s="43"/>
      <c r="W235" s="299">
        <v>46134</v>
      </c>
      <c r="X235" s="267" t="s">
        <v>5377</v>
      </c>
      <c r="Y235" s="267" t="s">
        <v>312</v>
      </c>
      <c r="AA235" s="1110">
        <v>46142</v>
      </c>
    </row>
    <row r="236" spans="1:27" ht="15" customHeight="1">
      <c r="A236" s="206"/>
      <c r="B236" s="319">
        <v>234</v>
      </c>
      <c r="C236" s="43">
        <v>334517</v>
      </c>
      <c r="D236" s="1054">
        <v>42514026</v>
      </c>
      <c r="E236" s="648" t="s">
        <v>5427</v>
      </c>
      <c r="F236" s="43">
        <v>41</v>
      </c>
      <c r="G236" s="43" t="s">
        <v>5428</v>
      </c>
      <c r="H236" s="43" t="s">
        <v>1420</v>
      </c>
      <c r="I236" s="43">
        <v>989665425</v>
      </c>
      <c r="J236" s="43" t="s">
        <v>746</v>
      </c>
      <c r="K236" s="44">
        <v>46134</v>
      </c>
      <c r="L236" s="43" t="s">
        <v>576</v>
      </c>
      <c r="M236" s="43" t="s">
        <v>312</v>
      </c>
      <c r="N236" s="43" t="s">
        <v>241</v>
      </c>
      <c r="O236" s="956">
        <v>46142</v>
      </c>
      <c r="P236" s="43"/>
      <c r="Q236" s="43" t="s">
        <v>5345</v>
      </c>
      <c r="R236" s="43"/>
      <c r="S236" s="43"/>
      <c r="T236" s="43"/>
      <c r="U236" s="43"/>
      <c r="V236" s="43"/>
      <c r="W236" s="43"/>
      <c r="X236" s="43"/>
    </row>
    <row r="237" spans="1:27" ht="15" customHeight="1">
      <c r="A237" s="206"/>
      <c r="B237" s="320">
        <v>235</v>
      </c>
      <c r="C237" s="43">
        <v>204585</v>
      </c>
      <c r="D237" s="1054">
        <v>15735527</v>
      </c>
      <c r="E237" s="648" t="s">
        <v>5429</v>
      </c>
      <c r="F237" s="43">
        <v>54</v>
      </c>
      <c r="G237" s="43" t="s">
        <v>5430</v>
      </c>
      <c r="H237" s="43" t="s">
        <v>301</v>
      </c>
      <c r="I237" s="43">
        <v>9888111769</v>
      </c>
      <c r="J237" s="43" t="s">
        <v>238</v>
      </c>
      <c r="K237" s="44">
        <v>46134</v>
      </c>
      <c r="L237" s="955" t="s">
        <v>5431</v>
      </c>
      <c r="M237" s="43" t="s">
        <v>312</v>
      </c>
      <c r="N237" s="43" t="s">
        <v>241</v>
      </c>
      <c r="O237" s="954">
        <v>46140</v>
      </c>
      <c r="P237" s="244"/>
      <c r="Q237" s="242" t="s">
        <v>5361</v>
      </c>
      <c r="R237" s="43"/>
      <c r="S237" s="43"/>
      <c r="T237" s="43"/>
      <c r="U237" s="43"/>
      <c r="V237" s="43"/>
      <c r="W237" s="43"/>
      <c r="X237" s="43"/>
    </row>
    <row r="238" spans="1:27" ht="15" customHeight="1">
      <c r="A238" s="206"/>
      <c r="B238" s="320">
        <v>236</v>
      </c>
      <c r="C238" s="43">
        <v>101872</v>
      </c>
      <c r="D238" s="1054">
        <v>40987318</v>
      </c>
      <c r="E238" s="648" t="s">
        <v>5432</v>
      </c>
      <c r="F238" s="43">
        <v>44</v>
      </c>
      <c r="G238" s="43" t="s">
        <v>5433</v>
      </c>
      <c r="H238" s="43" t="s">
        <v>278</v>
      </c>
      <c r="I238" s="43">
        <v>902934751</v>
      </c>
      <c r="J238" s="43" t="s">
        <v>238</v>
      </c>
      <c r="K238" s="44">
        <v>46134</v>
      </c>
      <c r="L238" s="955" t="s">
        <v>584</v>
      </c>
      <c r="M238" s="43" t="s">
        <v>230</v>
      </c>
      <c r="N238" s="43" t="s">
        <v>241</v>
      </c>
      <c r="O238" s="451">
        <v>46141</v>
      </c>
      <c r="P238" s="244"/>
      <c r="Q238" s="242" t="s">
        <v>5368</v>
      </c>
      <c r="R238" s="43"/>
      <c r="S238" s="43"/>
      <c r="T238" s="43"/>
      <c r="U238" s="43"/>
      <c r="V238" s="43"/>
      <c r="W238" s="43"/>
      <c r="X238" s="43"/>
    </row>
    <row r="239" spans="1:27" ht="15" customHeight="1">
      <c r="A239" s="206"/>
      <c r="B239" s="319">
        <v>237</v>
      </c>
      <c r="C239" s="43">
        <v>525196</v>
      </c>
      <c r="D239" s="1062">
        <v>16020768</v>
      </c>
      <c r="E239" s="726" t="s">
        <v>5434</v>
      </c>
      <c r="F239" s="711">
        <v>49</v>
      </c>
      <c r="G239" s="711" t="s">
        <v>5435</v>
      </c>
      <c r="H239" s="711" t="s">
        <v>271</v>
      </c>
      <c r="I239" s="665">
        <v>969833283</v>
      </c>
      <c r="J239" s="43" t="s">
        <v>164</v>
      </c>
      <c r="K239" s="44">
        <v>46134</v>
      </c>
      <c r="L239" s="1063" t="s">
        <v>3659</v>
      </c>
      <c r="M239" s="112" t="s">
        <v>260</v>
      </c>
      <c r="N239" s="112" t="s">
        <v>241</v>
      </c>
      <c r="O239" s="451">
        <v>46141</v>
      </c>
      <c r="P239" s="711"/>
      <c r="Q239" s="242" t="s">
        <v>5327</v>
      </c>
      <c r="R239" s="43"/>
      <c r="S239" s="43"/>
      <c r="T239" s="43"/>
      <c r="U239" s="43"/>
      <c r="V239" s="43"/>
      <c r="W239" s="43"/>
      <c r="X239" s="43"/>
    </row>
    <row r="240" spans="1:27" ht="15" customHeight="1">
      <c r="A240" s="262" t="s">
        <v>513</v>
      </c>
      <c r="B240" s="320">
        <v>238</v>
      </c>
      <c r="C240" s="43">
        <v>72269</v>
      </c>
      <c r="D240" s="1054">
        <v>16011281</v>
      </c>
      <c r="E240" s="648" t="s">
        <v>5436</v>
      </c>
      <c r="F240" s="43">
        <v>50</v>
      </c>
      <c r="G240" s="43" t="s">
        <v>5437</v>
      </c>
      <c r="H240" s="43" t="s">
        <v>1885</v>
      </c>
      <c r="I240" s="43" t="s">
        <v>5438</v>
      </c>
      <c r="J240" s="43" t="s">
        <v>164</v>
      </c>
      <c r="K240" s="44">
        <v>46134</v>
      </c>
      <c r="L240" s="955" t="s">
        <v>5439</v>
      </c>
      <c r="M240" s="112" t="s">
        <v>260</v>
      </c>
      <c r="N240" s="112" t="s">
        <v>241</v>
      </c>
      <c r="O240" s="451">
        <v>46141</v>
      </c>
      <c r="P240" s="244"/>
      <c r="Q240" s="242" t="s">
        <v>5327</v>
      </c>
      <c r="R240" s="43"/>
      <c r="S240" s="43"/>
      <c r="T240" s="43"/>
      <c r="U240" s="43"/>
      <c r="V240" s="43"/>
      <c r="W240" s="43"/>
      <c r="X240" s="43"/>
    </row>
    <row r="241" spans="1:24" ht="15" customHeight="1">
      <c r="A241" s="206"/>
      <c r="B241" s="320">
        <v>239</v>
      </c>
      <c r="C241" s="43">
        <v>67557</v>
      </c>
      <c r="D241" s="1054">
        <v>10261690</v>
      </c>
      <c r="E241" s="648" t="s">
        <v>5440</v>
      </c>
      <c r="F241" s="43">
        <v>49</v>
      </c>
      <c r="G241" s="43" t="s">
        <v>5441</v>
      </c>
      <c r="H241" s="43" t="s">
        <v>278</v>
      </c>
      <c r="I241" s="43">
        <v>953829393</v>
      </c>
      <c r="J241" s="43" t="s">
        <v>384</v>
      </c>
      <c r="K241" s="44">
        <v>46134</v>
      </c>
      <c r="L241" s="955" t="s">
        <v>576</v>
      </c>
      <c r="M241" s="112" t="s">
        <v>312</v>
      </c>
      <c r="N241" s="112" t="s">
        <v>241</v>
      </c>
      <c r="O241" s="956">
        <v>46142</v>
      </c>
      <c r="P241" s="266"/>
      <c r="Q241" s="266" t="s">
        <v>5342</v>
      </c>
      <c r="R241" s="43"/>
      <c r="S241" s="43"/>
      <c r="T241" s="43"/>
      <c r="U241" s="43"/>
      <c r="V241" s="43"/>
      <c r="W241" s="43"/>
      <c r="X241" s="43"/>
    </row>
    <row r="242" spans="1:24" ht="15" customHeight="1">
      <c r="A242" s="206"/>
      <c r="B242" s="319">
        <v>240</v>
      </c>
      <c r="C242" s="43">
        <v>208048</v>
      </c>
      <c r="D242" s="1054">
        <v>15764086</v>
      </c>
      <c r="E242" s="648" t="s">
        <v>5442</v>
      </c>
      <c r="F242" s="43">
        <v>49</v>
      </c>
      <c r="G242" s="43" t="s">
        <v>5443</v>
      </c>
      <c r="H242" s="43" t="s">
        <v>278</v>
      </c>
      <c r="I242" s="43" t="s">
        <v>5444</v>
      </c>
      <c r="J242" s="43" t="s">
        <v>1105</v>
      </c>
      <c r="K242" s="44">
        <v>46134</v>
      </c>
      <c r="L242" s="955" t="s">
        <v>5445</v>
      </c>
      <c r="M242" s="112" t="s">
        <v>312</v>
      </c>
      <c r="N242" s="112" t="s">
        <v>241</v>
      </c>
      <c r="O242" s="762">
        <v>46142</v>
      </c>
      <c r="P242" s="244"/>
      <c r="Q242" s="242" t="s">
        <v>4503</v>
      </c>
      <c r="R242" s="43"/>
      <c r="S242" s="43"/>
      <c r="T242" s="43"/>
      <c r="U242" s="43"/>
      <c r="V242" s="43"/>
      <c r="W242" s="43"/>
      <c r="X242" s="43"/>
    </row>
    <row r="243" spans="1:24" ht="15" customHeight="1">
      <c r="A243" s="206"/>
      <c r="B243" s="320">
        <v>241</v>
      </c>
      <c r="C243" s="43">
        <v>2334444</v>
      </c>
      <c r="D243" s="1054">
        <v>41721389</v>
      </c>
      <c r="E243" s="648" t="s">
        <v>5446</v>
      </c>
      <c r="F243" s="43">
        <v>43</v>
      </c>
      <c r="G243" s="43" t="s">
        <v>5447</v>
      </c>
      <c r="H243" s="43" t="s">
        <v>237</v>
      </c>
      <c r="I243" s="43">
        <v>958280219</v>
      </c>
      <c r="J243" s="43" t="s">
        <v>289</v>
      </c>
      <c r="K243" s="44">
        <v>46134</v>
      </c>
      <c r="L243" s="955" t="s">
        <v>584</v>
      </c>
      <c r="M243" s="43" t="s">
        <v>230</v>
      </c>
      <c r="N243" s="43" t="s">
        <v>241</v>
      </c>
      <c r="O243" s="1055" t="s">
        <v>4196</v>
      </c>
      <c r="P243" s="244"/>
      <c r="Q243" s="266" t="s">
        <v>2708</v>
      </c>
      <c r="R243" s="43"/>
      <c r="S243" s="43"/>
      <c r="T243" s="43"/>
      <c r="U243" s="43"/>
      <c r="V243" s="43"/>
      <c r="W243" s="43"/>
      <c r="X243" s="43"/>
    </row>
    <row r="244" spans="1:24" ht="15" customHeight="1">
      <c r="A244" s="261">
        <v>46135</v>
      </c>
      <c r="B244" s="320">
        <v>242</v>
      </c>
      <c r="C244" s="43">
        <v>177584</v>
      </c>
      <c r="D244" s="1054">
        <v>15744544</v>
      </c>
      <c r="E244" s="648" t="s">
        <v>5448</v>
      </c>
      <c r="F244" s="43">
        <v>51</v>
      </c>
      <c r="G244" s="43" t="s">
        <v>5449</v>
      </c>
      <c r="H244" s="43" t="s">
        <v>301</v>
      </c>
      <c r="I244" s="43">
        <v>967494325</v>
      </c>
      <c r="J244" s="43" t="s">
        <v>302</v>
      </c>
      <c r="K244" s="44">
        <v>46135</v>
      </c>
      <c r="L244" s="955" t="s">
        <v>2164</v>
      </c>
      <c r="M244" s="112" t="s">
        <v>312</v>
      </c>
      <c r="N244" s="112" t="s">
        <v>241</v>
      </c>
      <c r="O244" s="762">
        <v>46142</v>
      </c>
      <c r="P244" s="244"/>
      <c r="Q244" s="242" t="s">
        <v>5424</v>
      </c>
      <c r="R244" s="43"/>
      <c r="S244" s="43"/>
      <c r="T244" s="43"/>
      <c r="U244" s="43"/>
      <c r="V244" s="43"/>
      <c r="W244" s="43"/>
      <c r="X244" s="43"/>
    </row>
    <row r="245" spans="1:24" ht="15" customHeight="1">
      <c r="A245" s="206"/>
      <c r="B245" s="319">
        <v>243</v>
      </c>
      <c r="C245" s="43">
        <v>525214</v>
      </c>
      <c r="D245" s="1067">
        <v>15710905</v>
      </c>
      <c r="E245" s="726" t="s">
        <v>5450</v>
      </c>
      <c r="F245" s="664">
        <v>59</v>
      </c>
      <c r="G245" s="664" t="s">
        <v>5451</v>
      </c>
      <c r="H245" s="664" t="s">
        <v>3997</v>
      </c>
      <c r="I245" s="682">
        <v>968884588</v>
      </c>
      <c r="J245" s="664" t="s">
        <v>5452</v>
      </c>
      <c r="K245" s="44">
        <v>46135</v>
      </c>
      <c r="L245" s="43" t="s">
        <v>5453</v>
      </c>
      <c r="M245" s="112" t="s">
        <v>312</v>
      </c>
      <c r="N245" s="112" t="s">
        <v>241</v>
      </c>
      <c r="O245" s="451">
        <v>46141</v>
      </c>
      <c r="P245" s="43"/>
      <c r="Q245" s="43"/>
      <c r="R245" s="43"/>
      <c r="S245" s="43"/>
      <c r="T245" s="43"/>
      <c r="U245" s="43"/>
      <c r="V245" s="43"/>
      <c r="W245" s="43"/>
      <c r="X245" s="43"/>
    </row>
    <row r="246" spans="1:24" ht="15" customHeight="1">
      <c r="A246" s="206"/>
      <c r="B246" s="320">
        <v>244</v>
      </c>
      <c r="C246" s="43">
        <v>525111</v>
      </c>
      <c r="D246" s="1054">
        <v>33586150</v>
      </c>
      <c r="E246" s="648" t="s">
        <v>5454</v>
      </c>
      <c r="F246" s="43">
        <v>54</v>
      </c>
      <c r="G246" s="43" t="s">
        <v>5455</v>
      </c>
      <c r="H246" s="43" t="s">
        <v>301</v>
      </c>
      <c r="I246" s="43">
        <v>926772129</v>
      </c>
      <c r="J246" s="43" t="s">
        <v>302</v>
      </c>
      <c r="K246" s="44">
        <v>46135</v>
      </c>
      <c r="L246" s="955" t="s">
        <v>5456</v>
      </c>
      <c r="M246" s="112" t="s">
        <v>260</v>
      </c>
      <c r="N246" s="112" t="s">
        <v>241</v>
      </c>
      <c r="O246" s="762">
        <v>46142</v>
      </c>
      <c r="P246" s="244"/>
      <c r="Q246" s="242" t="s">
        <v>5424</v>
      </c>
      <c r="R246" s="43"/>
      <c r="S246" s="43"/>
      <c r="T246" s="43"/>
      <c r="U246" s="43"/>
      <c r="V246" s="43"/>
      <c r="W246" s="43"/>
      <c r="X246" s="43"/>
    </row>
    <row r="247" spans="1:24" ht="15" customHeight="1">
      <c r="A247" s="206"/>
      <c r="B247" s="320">
        <v>245</v>
      </c>
      <c r="C247" s="43">
        <v>525213</v>
      </c>
      <c r="D247" s="1067">
        <v>15852851</v>
      </c>
      <c r="E247" s="726" t="s">
        <v>5457</v>
      </c>
      <c r="F247" s="664">
        <v>53</v>
      </c>
      <c r="G247" s="664" t="s">
        <v>5458</v>
      </c>
      <c r="H247" s="664" t="s">
        <v>3997</v>
      </c>
      <c r="I247" s="682">
        <v>925240206</v>
      </c>
      <c r="J247" s="664" t="s">
        <v>5452</v>
      </c>
      <c r="K247" s="44">
        <v>46135</v>
      </c>
      <c r="L247" s="43" t="s">
        <v>2865</v>
      </c>
      <c r="M247" s="43" t="s">
        <v>230</v>
      </c>
      <c r="N247" s="43" t="s">
        <v>241</v>
      </c>
      <c r="O247" s="451">
        <v>46141</v>
      </c>
      <c r="P247" s="43"/>
      <c r="Q247" s="43"/>
      <c r="R247" s="43"/>
      <c r="S247" s="43"/>
      <c r="T247" s="43"/>
      <c r="U247" s="43"/>
      <c r="V247" s="43"/>
      <c r="W247" s="43"/>
      <c r="X247" s="43"/>
    </row>
    <row r="248" spans="1:24" ht="15" customHeight="1">
      <c r="A248" s="206"/>
      <c r="B248" s="319">
        <v>246</v>
      </c>
      <c r="C248" s="43">
        <v>525215</v>
      </c>
      <c r="D248" s="1062">
        <v>10295766</v>
      </c>
      <c r="E248" s="726" t="s">
        <v>5459</v>
      </c>
      <c r="F248" s="711">
        <v>53</v>
      </c>
      <c r="G248" s="711" t="s">
        <v>5460</v>
      </c>
      <c r="H248" s="711" t="s">
        <v>3997</v>
      </c>
      <c r="I248" s="665">
        <v>928379598</v>
      </c>
      <c r="J248" s="711" t="s">
        <v>5452</v>
      </c>
      <c r="K248" s="44">
        <v>46135</v>
      </c>
      <c r="L248" s="43" t="s">
        <v>5461</v>
      </c>
      <c r="M248" s="112" t="s">
        <v>312</v>
      </c>
      <c r="N248" s="112" t="s">
        <v>241</v>
      </c>
      <c r="O248" s="451">
        <v>46141</v>
      </c>
      <c r="P248" s="43"/>
      <c r="Q248" s="43"/>
      <c r="R248" s="43"/>
      <c r="S248" s="43"/>
      <c r="T248" s="43"/>
      <c r="U248" s="43"/>
      <c r="V248" s="43"/>
      <c r="W248" s="43"/>
      <c r="X248" s="43"/>
    </row>
    <row r="249" spans="1:24" ht="15" customHeight="1">
      <c r="A249" s="265"/>
      <c r="B249" s="320">
        <v>247</v>
      </c>
      <c r="C249" s="325">
        <v>191514</v>
      </c>
      <c r="D249" s="1068">
        <v>15743297</v>
      </c>
      <c r="E249" s="1069" t="s">
        <v>5462</v>
      </c>
      <c r="F249" s="325">
        <v>52</v>
      </c>
      <c r="G249" s="325" t="s">
        <v>5463</v>
      </c>
      <c r="H249" s="325" t="s">
        <v>301</v>
      </c>
      <c r="I249" s="325">
        <v>907772511</v>
      </c>
      <c r="J249" s="43" t="s">
        <v>380</v>
      </c>
      <c r="K249" s="44">
        <v>46135</v>
      </c>
      <c r="L249" s="43" t="s">
        <v>5464</v>
      </c>
      <c r="M249" s="112" t="s">
        <v>312</v>
      </c>
      <c r="N249" s="112" t="s">
        <v>241</v>
      </c>
      <c r="O249" s="1070">
        <v>46142</v>
      </c>
      <c r="P249" s="1071"/>
      <c r="Q249" s="1072" t="s">
        <v>5372</v>
      </c>
      <c r="R249" s="43"/>
      <c r="S249" s="43"/>
      <c r="T249" s="43"/>
      <c r="U249" s="43"/>
      <c r="V249" s="43"/>
      <c r="W249" s="43"/>
      <c r="X249" s="43"/>
    </row>
    <row r="250" spans="1:24" ht="15" customHeight="1">
      <c r="A250" s="206" t="s">
        <v>5465</v>
      </c>
      <c r="B250" s="320">
        <v>248</v>
      </c>
      <c r="C250" s="43">
        <v>525212</v>
      </c>
      <c r="D250" s="1062">
        <v>32401456</v>
      </c>
      <c r="E250" s="726" t="s">
        <v>5466</v>
      </c>
      <c r="F250" s="711">
        <v>51</v>
      </c>
      <c r="G250" s="711" t="s">
        <v>5467</v>
      </c>
      <c r="H250" s="711" t="s">
        <v>5468</v>
      </c>
      <c r="I250" s="665">
        <v>944243791</v>
      </c>
      <c r="J250" s="45" t="s">
        <v>164</v>
      </c>
      <c r="K250" s="44">
        <v>46135</v>
      </c>
      <c r="L250" s="43" t="s">
        <v>5469</v>
      </c>
      <c r="M250" s="43" t="s">
        <v>5470</v>
      </c>
      <c r="N250" s="43" t="s">
        <v>5471</v>
      </c>
      <c r="O250" s="451">
        <v>46142</v>
      </c>
      <c r="P250" s="43"/>
      <c r="Q250" s="43" t="s">
        <v>5472</v>
      </c>
      <c r="R250" s="43"/>
      <c r="S250" s="43"/>
      <c r="T250" s="43"/>
      <c r="U250" s="43"/>
      <c r="V250" s="43"/>
      <c r="W250" s="43"/>
      <c r="X250" s="43"/>
    </row>
    <row r="251" spans="1:24" ht="15" customHeight="1">
      <c r="A251" s="206"/>
      <c r="B251" s="319">
        <v>249</v>
      </c>
      <c r="C251" s="43">
        <v>259951</v>
      </c>
      <c r="D251" s="1067">
        <v>15852652</v>
      </c>
      <c r="E251" s="726" t="s">
        <v>5473</v>
      </c>
      <c r="F251" s="664">
        <v>54</v>
      </c>
      <c r="G251" s="664" t="s">
        <v>5474</v>
      </c>
      <c r="H251" s="664" t="s">
        <v>3997</v>
      </c>
      <c r="I251" s="682">
        <v>961415225</v>
      </c>
      <c r="J251" s="664" t="s">
        <v>5452</v>
      </c>
      <c r="K251" s="44">
        <v>46135</v>
      </c>
      <c r="L251" s="43" t="s">
        <v>5475</v>
      </c>
      <c r="M251" s="112" t="s">
        <v>312</v>
      </c>
      <c r="N251" s="112" t="s">
        <v>241</v>
      </c>
      <c r="O251" s="451">
        <v>46141</v>
      </c>
      <c r="P251" s="43"/>
      <c r="Q251" s="43"/>
      <c r="R251" s="43"/>
      <c r="S251" s="43"/>
      <c r="T251" s="43"/>
      <c r="U251" s="43"/>
      <c r="V251" s="43"/>
      <c r="W251" s="43"/>
      <c r="X251" s="43"/>
    </row>
    <row r="252" spans="1:24" ht="15" customHeight="1">
      <c r="A252" s="206"/>
      <c r="B252" s="320">
        <v>250</v>
      </c>
      <c r="C252" s="43">
        <v>62175</v>
      </c>
      <c r="D252" s="1054">
        <v>15736177</v>
      </c>
      <c r="E252" s="648" t="s">
        <v>5476</v>
      </c>
      <c r="F252" s="43">
        <v>52</v>
      </c>
      <c r="G252" s="43" t="s">
        <v>5477</v>
      </c>
      <c r="H252" s="43" t="s">
        <v>278</v>
      </c>
      <c r="I252" s="43">
        <v>992849410</v>
      </c>
      <c r="J252" s="43" t="s">
        <v>238</v>
      </c>
      <c r="K252" s="44">
        <v>46135</v>
      </c>
      <c r="L252" s="955" t="s">
        <v>2854</v>
      </c>
      <c r="M252" s="112" t="s">
        <v>260</v>
      </c>
      <c r="N252" s="112" t="s">
        <v>241</v>
      </c>
      <c r="O252" s="451">
        <v>46141</v>
      </c>
      <c r="P252" s="244"/>
      <c r="Q252" s="242"/>
      <c r="R252" s="43"/>
      <c r="S252" s="43"/>
      <c r="T252" s="43"/>
      <c r="U252" s="43"/>
      <c r="V252" s="43"/>
      <c r="W252" s="43"/>
      <c r="X252" s="43"/>
    </row>
    <row r="253" spans="1:24" ht="15" customHeight="1">
      <c r="A253" s="206"/>
      <c r="B253" s="320">
        <v>251</v>
      </c>
      <c r="C253" s="43">
        <v>522054</v>
      </c>
      <c r="D253" s="1054">
        <v>40095473</v>
      </c>
      <c r="E253" s="648" t="s">
        <v>5478</v>
      </c>
      <c r="F253" s="43">
        <v>47</v>
      </c>
      <c r="G253" s="43" t="s">
        <v>5479</v>
      </c>
      <c r="H253" s="43" t="s">
        <v>301</v>
      </c>
      <c r="I253" s="43">
        <v>923626659</v>
      </c>
      <c r="J253" s="43" t="s">
        <v>302</v>
      </c>
      <c r="K253" s="44">
        <v>46135</v>
      </c>
      <c r="L253" s="955" t="s">
        <v>5480</v>
      </c>
      <c r="M253" s="112" t="s">
        <v>312</v>
      </c>
      <c r="N253" s="112" t="s">
        <v>241</v>
      </c>
      <c r="O253" s="762">
        <v>46142</v>
      </c>
      <c r="P253" s="244"/>
      <c r="Q253" s="242" t="s">
        <v>5424</v>
      </c>
      <c r="R253" s="43"/>
      <c r="S253" s="43"/>
      <c r="T253" s="43"/>
      <c r="U253" s="43"/>
      <c r="V253" s="43"/>
      <c r="W253" s="43"/>
      <c r="X253" s="43"/>
    </row>
    <row r="254" spans="1:24" ht="15" customHeight="1">
      <c r="A254" s="206"/>
      <c r="B254" s="319">
        <v>252</v>
      </c>
      <c r="C254" s="43">
        <v>262809</v>
      </c>
      <c r="D254" s="1054">
        <v>15652853</v>
      </c>
      <c r="E254" s="648" t="s">
        <v>5481</v>
      </c>
      <c r="F254" s="43">
        <v>62</v>
      </c>
      <c r="G254" s="43" t="s">
        <v>5482</v>
      </c>
      <c r="H254" s="43" t="s">
        <v>1546</v>
      </c>
      <c r="I254" s="43">
        <v>947704403</v>
      </c>
      <c r="J254" s="43" t="s">
        <v>302</v>
      </c>
      <c r="K254" s="44">
        <v>46135</v>
      </c>
      <c r="L254" s="955" t="s">
        <v>5483</v>
      </c>
      <c r="M254" s="112" t="s">
        <v>260</v>
      </c>
      <c r="N254" s="112" t="s">
        <v>241</v>
      </c>
      <c r="O254" s="762">
        <v>46142</v>
      </c>
      <c r="P254" s="244"/>
      <c r="Q254" s="242" t="s">
        <v>5424</v>
      </c>
      <c r="R254" s="43"/>
      <c r="S254" s="43"/>
      <c r="T254" s="43"/>
      <c r="U254" s="43"/>
      <c r="V254" s="43"/>
      <c r="W254" s="43"/>
      <c r="X254" s="43"/>
    </row>
    <row r="255" spans="1:24" ht="15" customHeight="1">
      <c r="A255" s="206"/>
      <c r="B255" s="320">
        <v>253</v>
      </c>
      <c r="C255" s="43">
        <v>433415</v>
      </c>
      <c r="D255" s="1054">
        <v>15760342</v>
      </c>
      <c r="E255" s="648" t="s">
        <v>5484</v>
      </c>
      <c r="F255" s="43">
        <v>49</v>
      </c>
      <c r="G255" s="43" t="s">
        <v>5485</v>
      </c>
      <c r="H255" s="43" t="s">
        <v>278</v>
      </c>
      <c r="I255" s="43">
        <v>969341217</v>
      </c>
      <c r="J255" s="43" t="s">
        <v>238</v>
      </c>
      <c r="K255" s="44">
        <v>46135</v>
      </c>
      <c r="L255" s="955" t="s">
        <v>1156</v>
      </c>
      <c r="M255" s="112" t="s">
        <v>260</v>
      </c>
      <c r="N255" s="112" t="s">
        <v>241</v>
      </c>
      <c r="O255" s="451">
        <v>46141</v>
      </c>
      <c r="P255" s="244"/>
      <c r="Q255" s="242"/>
      <c r="R255" s="43"/>
      <c r="S255" s="43"/>
      <c r="T255" s="43"/>
      <c r="U255" s="43"/>
      <c r="V255" s="43"/>
      <c r="W255" s="43"/>
      <c r="X255" s="43"/>
    </row>
    <row r="256" spans="1:24" ht="15" customHeight="1">
      <c r="A256" s="206"/>
      <c r="B256" s="320">
        <v>254</v>
      </c>
      <c r="C256" s="43">
        <v>353990</v>
      </c>
      <c r="D256" s="1067">
        <v>40499791</v>
      </c>
      <c r="E256" s="726" t="s">
        <v>5486</v>
      </c>
      <c r="F256" s="664">
        <v>48</v>
      </c>
      <c r="G256" s="664" t="s">
        <v>5487</v>
      </c>
      <c r="H256" s="664" t="s">
        <v>3997</v>
      </c>
      <c r="I256" s="682">
        <v>933824312</v>
      </c>
      <c r="J256" s="664" t="s">
        <v>5452</v>
      </c>
      <c r="K256" s="44">
        <v>46135</v>
      </c>
      <c r="L256" s="43" t="s">
        <v>5488</v>
      </c>
      <c r="M256" s="112" t="s">
        <v>312</v>
      </c>
      <c r="N256" s="112" t="s">
        <v>241</v>
      </c>
      <c r="O256" s="451">
        <v>46141</v>
      </c>
      <c r="P256" s="43"/>
      <c r="Q256" s="43"/>
      <c r="R256" s="43"/>
      <c r="S256" s="43"/>
      <c r="T256" s="43"/>
      <c r="U256" s="43"/>
      <c r="V256" s="43"/>
      <c r="W256" s="43"/>
      <c r="X256" s="43"/>
    </row>
    <row r="257" spans="1:24" ht="15" customHeight="1">
      <c r="A257" s="206"/>
      <c r="B257" s="319">
        <v>255</v>
      </c>
      <c r="C257" s="43">
        <v>525220</v>
      </c>
      <c r="D257" s="1062">
        <v>16023493</v>
      </c>
      <c r="E257" s="726" t="s">
        <v>5489</v>
      </c>
      <c r="F257" s="711">
        <v>48</v>
      </c>
      <c r="G257" s="711" t="s">
        <v>5490</v>
      </c>
      <c r="H257" s="711" t="s">
        <v>271</v>
      </c>
      <c r="I257" s="665">
        <v>946527187</v>
      </c>
      <c r="J257" s="45" t="s">
        <v>164</v>
      </c>
      <c r="K257" s="44">
        <v>46135</v>
      </c>
      <c r="L257" s="43" t="s">
        <v>584</v>
      </c>
      <c r="M257" s="112" t="s">
        <v>230</v>
      </c>
      <c r="N257" s="112" t="s">
        <v>241</v>
      </c>
      <c r="O257" s="451">
        <v>46141</v>
      </c>
      <c r="P257" s="43"/>
      <c r="Q257" s="242" t="s">
        <v>5327</v>
      </c>
      <c r="R257" s="43"/>
      <c r="S257" s="43"/>
      <c r="T257" s="43"/>
      <c r="U257" s="43"/>
      <c r="V257" s="43"/>
      <c r="W257" s="43"/>
      <c r="X257" s="43"/>
    </row>
    <row r="258" spans="1:24" ht="15" customHeight="1">
      <c r="A258" s="206"/>
      <c r="B258" s="320">
        <v>256</v>
      </c>
      <c r="C258" s="43">
        <v>107416</v>
      </c>
      <c r="D258" s="1054">
        <v>41942182</v>
      </c>
      <c r="E258" s="648" t="s">
        <v>5491</v>
      </c>
      <c r="F258" s="43">
        <v>44</v>
      </c>
      <c r="G258" s="45" t="s">
        <v>5492</v>
      </c>
      <c r="H258" s="43" t="s">
        <v>222</v>
      </c>
      <c r="I258" s="43">
        <v>932165741</v>
      </c>
      <c r="J258" s="43" t="s">
        <v>238</v>
      </c>
      <c r="K258" s="44">
        <v>46135</v>
      </c>
      <c r="L258" s="955" t="s">
        <v>2865</v>
      </c>
      <c r="M258" s="112" t="s">
        <v>260</v>
      </c>
      <c r="N258" s="112" t="s">
        <v>241</v>
      </c>
      <c r="O258" s="451">
        <v>46141</v>
      </c>
      <c r="P258" s="244"/>
      <c r="Q258" s="242"/>
      <c r="R258" s="43"/>
      <c r="S258" s="43"/>
      <c r="T258" s="43"/>
      <c r="U258" s="43"/>
      <c r="V258" s="43"/>
      <c r="W258" s="43"/>
      <c r="X258" s="43"/>
    </row>
    <row r="259" spans="1:24" ht="15" customHeight="1">
      <c r="A259" s="206"/>
      <c r="B259" s="320">
        <v>257</v>
      </c>
      <c r="C259" s="43">
        <v>98390</v>
      </c>
      <c r="D259" s="1054">
        <v>15719065</v>
      </c>
      <c r="E259" s="648" t="s">
        <v>5493</v>
      </c>
      <c r="F259" s="43">
        <v>57</v>
      </c>
      <c r="G259" s="43" t="s">
        <v>5494</v>
      </c>
      <c r="H259" s="43" t="s">
        <v>301</v>
      </c>
      <c r="I259" s="43">
        <v>941361738</v>
      </c>
      <c r="J259" s="43" t="s">
        <v>302</v>
      </c>
      <c r="K259" s="44">
        <v>46135</v>
      </c>
      <c r="L259" s="955" t="s">
        <v>584</v>
      </c>
      <c r="M259" s="112" t="s">
        <v>230</v>
      </c>
      <c r="N259" s="112" t="s">
        <v>241</v>
      </c>
      <c r="O259" s="762">
        <v>46142</v>
      </c>
      <c r="P259" s="244"/>
      <c r="Q259" s="242" t="s">
        <v>5424</v>
      </c>
      <c r="R259" s="43"/>
      <c r="S259" s="43"/>
      <c r="T259" s="43"/>
      <c r="U259" s="43"/>
      <c r="V259" s="43"/>
      <c r="W259" s="43"/>
      <c r="X259" s="43"/>
    </row>
    <row r="260" spans="1:24" ht="15" customHeight="1">
      <c r="A260" s="206"/>
      <c r="B260" s="319">
        <v>258</v>
      </c>
      <c r="C260" s="43">
        <v>321017</v>
      </c>
      <c r="D260" s="1062">
        <v>41295858</v>
      </c>
      <c r="E260" s="726" t="s">
        <v>5495</v>
      </c>
      <c r="F260" s="43">
        <v>43</v>
      </c>
      <c r="G260" s="45" t="s">
        <v>5496</v>
      </c>
      <c r="H260" s="43" t="s">
        <v>222</v>
      </c>
      <c r="I260" s="43">
        <v>986216812</v>
      </c>
      <c r="J260" s="45" t="s">
        <v>238</v>
      </c>
      <c r="K260" s="44">
        <v>46135</v>
      </c>
      <c r="L260" s="43" t="s">
        <v>584</v>
      </c>
      <c r="M260" s="112" t="s">
        <v>260</v>
      </c>
      <c r="N260" s="112" t="s">
        <v>241</v>
      </c>
      <c r="O260" s="451">
        <v>46141</v>
      </c>
      <c r="P260" s="43"/>
      <c r="Q260" s="43"/>
      <c r="R260" s="43"/>
      <c r="S260" s="43"/>
      <c r="T260" s="43"/>
      <c r="U260" s="43"/>
      <c r="V260" s="43"/>
      <c r="W260" s="43"/>
      <c r="X260" s="43"/>
    </row>
    <row r="261" spans="1:24" ht="15" customHeight="1">
      <c r="A261" s="206"/>
      <c r="B261" s="320">
        <v>259</v>
      </c>
      <c r="C261" s="43">
        <v>214589</v>
      </c>
      <c r="D261" s="1054">
        <v>42851373</v>
      </c>
      <c r="E261" s="648" t="s">
        <v>5497</v>
      </c>
      <c r="F261" s="43">
        <v>42</v>
      </c>
      <c r="G261" s="43" t="s">
        <v>5498</v>
      </c>
      <c r="H261" s="43" t="s">
        <v>301</v>
      </c>
      <c r="I261" s="43">
        <v>946280163</v>
      </c>
      <c r="J261" s="43" t="s">
        <v>302</v>
      </c>
      <c r="K261" s="44">
        <v>46135</v>
      </c>
      <c r="L261" s="43" t="s">
        <v>1156</v>
      </c>
      <c r="M261" s="112" t="s">
        <v>230</v>
      </c>
      <c r="N261" s="112" t="s">
        <v>241</v>
      </c>
      <c r="O261" s="762">
        <v>46142</v>
      </c>
      <c r="P261" s="269"/>
      <c r="Q261" s="1059" t="s">
        <v>5424</v>
      </c>
      <c r="R261" s="43"/>
      <c r="S261" s="43"/>
      <c r="T261" s="43"/>
      <c r="U261" s="43"/>
      <c r="V261" s="43"/>
      <c r="W261" s="43"/>
      <c r="X261" s="43"/>
    </row>
    <row r="262" spans="1:24" ht="15" customHeight="1">
      <c r="A262" s="206"/>
      <c r="B262" s="320">
        <v>260</v>
      </c>
      <c r="C262" s="43">
        <v>42448</v>
      </c>
      <c r="D262" s="1054" t="s">
        <v>5499</v>
      </c>
      <c r="E262" s="648" t="s">
        <v>5500</v>
      </c>
      <c r="F262" s="43">
        <v>53</v>
      </c>
      <c r="G262" s="43" t="s">
        <v>5501</v>
      </c>
      <c r="H262" s="43" t="s">
        <v>278</v>
      </c>
      <c r="I262" s="43">
        <v>992582755</v>
      </c>
      <c r="J262" s="45" t="s">
        <v>238</v>
      </c>
      <c r="K262" s="44">
        <v>46135</v>
      </c>
      <c r="L262" s="43" t="s">
        <v>2865</v>
      </c>
      <c r="M262" s="112" t="s">
        <v>230</v>
      </c>
      <c r="N262" s="112" t="s">
        <v>241</v>
      </c>
      <c r="O262" s="451">
        <v>46141</v>
      </c>
      <c r="P262" s="43"/>
      <c r="Q262" s="43"/>
      <c r="R262" s="43"/>
      <c r="S262" s="43"/>
      <c r="T262" s="43"/>
      <c r="U262" s="43"/>
      <c r="V262" s="43"/>
      <c r="W262" s="43"/>
      <c r="X262" s="43"/>
    </row>
    <row r="263" spans="1:24" ht="15" customHeight="1">
      <c r="A263" s="262" t="s">
        <v>513</v>
      </c>
      <c r="B263" s="320">
        <v>261</v>
      </c>
      <c r="C263" s="43">
        <v>109819</v>
      </c>
      <c r="D263" s="1054">
        <v>15729726</v>
      </c>
      <c r="E263" s="648" t="s">
        <v>5502</v>
      </c>
      <c r="F263" s="43">
        <v>58</v>
      </c>
      <c r="G263" s="43" t="s">
        <v>5503</v>
      </c>
      <c r="H263" s="43" t="s">
        <v>301</v>
      </c>
      <c r="I263" s="43">
        <v>973369714</v>
      </c>
      <c r="J263" s="43" t="s">
        <v>238</v>
      </c>
      <c r="K263" s="44">
        <v>46135</v>
      </c>
      <c r="L263" s="955" t="s">
        <v>5504</v>
      </c>
      <c r="M263" s="112" t="s">
        <v>312</v>
      </c>
      <c r="N263" s="112" t="s">
        <v>241</v>
      </c>
      <c r="O263" s="451">
        <v>46141</v>
      </c>
      <c r="P263" s="244"/>
      <c r="Q263" s="242"/>
      <c r="R263" s="43"/>
      <c r="S263" s="43"/>
      <c r="T263" s="43"/>
      <c r="U263" s="43"/>
      <c r="V263" s="43"/>
      <c r="W263" s="43"/>
      <c r="X263" s="43"/>
    </row>
    <row r="264" spans="1:24" ht="15" customHeight="1">
      <c r="A264" s="206"/>
      <c r="B264" s="320">
        <v>262</v>
      </c>
      <c r="C264" s="43">
        <v>524649</v>
      </c>
      <c r="D264" s="1054">
        <v>46442800</v>
      </c>
      <c r="E264" s="648" t="s">
        <v>5505</v>
      </c>
      <c r="F264" s="43">
        <v>45</v>
      </c>
      <c r="G264" s="45" t="s">
        <v>5506</v>
      </c>
      <c r="H264" s="43" t="s">
        <v>278</v>
      </c>
      <c r="I264" s="43">
        <v>901284535</v>
      </c>
      <c r="J264" s="45" t="s">
        <v>238</v>
      </c>
      <c r="K264" s="44">
        <v>46135</v>
      </c>
      <c r="L264" s="43" t="s">
        <v>584</v>
      </c>
      <c r="M264" s="112" t="s">
        <v>230</v>
      </c>
      <c r="N264" s="112" t="s">
        <v>241</v>
      </c>
      <c r="O264" s="451">
        <v>46141</v>
      </c>
      <c r="P264" s="43"/>
      <c r="Q264" s="43"/>
      <c r="R264" s="43"/>
      <c r="S264" s="43"/>
      <c r="T264" s="43"/>
      <c r="U264" s="43"/>
      <c r="V264" s="43"/>
      <c r="W264" s="43"/>
      <c r="X264" s="43"/>
    </row>
    <row r="265" spans="1:24" ht="15" customHeight="1">
      <c r="A265" s="206"/>
      <c r="B265" s="320">
        <v>263</v>
      </c>
      <c r="C265" s="1073">
        <v>46024</v>
      </c>
      <c r="D265" s="1054">
        <v>15736558</v>
      </c>
      <c r="E265" s="648" t="s">
        <v>5507</v>
      </c>
      <c r="F265" s="43">
        <v>51</v>
      </c>
      <c r="G265" s="43" t="s">
        <v>5508</v>
      </c>
      <c r="H265" s="43" t="s">
        <v>278</v>
      </c>
      <c r="I265" s="43">
        <v>912414206</v>
      </c>
      <c r="J265" s="43" t="s">
        <v>384</v>
      </c>
      <c r="K265" s="44">
        <v>46135</v>
      </c>
      <c r="L265" s="955" t="s">
        <v>584</v>
      </c>
      <c r="M265" s="112" t="s">
        <v>230</v>
      </c>
      <c r="N265" s="112" t="s">
        <v>241</v>
      </c>
      <c r="O265" s="956">
        <v>46142</v>
      </c>
      <c r="P265" s="266"/>
      <c r="Q265" s="266" t="s">
        <v>5342</v>
      </c>
      <c r="R265" s="43"/>
      <c r="S265" s="43"/>
      <c r="T265" s="43"/>
      <c r="U265" s="43"/>
      <c r="V265" s="43"/>
      <c r="W265" s="43"/>
      <c r="X265" s="43"/>
    </row>
    <row r="266" spans="1:24" ht="15" customHeight="1">
      <c r="A266" s="206"/>
      <c r="B266" s="320">
        <v>264</v>
      </c>
      <c r="C266" s="43">
        <v>100781</v>
      </c>
      <c r="D266" s="1054">
        <v>15610216</v>
      </c>
      <c r="E266" s="648" t="s">
        <v>5509</v>
      </c>
      <c r="F266" s="43">
        <v>64</v>
      </c>
      <c r="G266" s="43" t="s">
        <v>5510</v>
      </c>
      <c r="H266" s="43" t="s">
        <v>222</v>
      </c>
      <c r="I266" s="43" t="s">
        <v>5511</v>
      </c>
      <c r="J266" s="43" t="s">
        <v>238</v>
      </c>
      <c r="K266" s="44">
        <v>46135</v>
      </c>
      <c r="L266" s="955" t="s">
        <v>747</v>
      </c>
      <c r="M266" s="112" t="s">
        <v>230</v>
      </c>
      <c r="N266" s="112" t="s">
        <v>317</v>
      </c>
      <c r="O266" s="954">
        <v>46141</v>
      </c>
      <c r="P266" s="244"/>
      <c r="Q266" s="242"/>
      <c r="R266" s="43"/>
      <c r="S266" s="43"/>
      <c r="T266" s="43"/>
      <c r="U266" s="43"/>
      <c r="V266" s="43"/>
      <c r="W266" s="43"/>
      <c r="X266" s="43"/>
    </row>
    <row r="267" spans="1:24" ht="15" customHeight="1">
      <c r="A267" s="206"/>
      <c r="B267" s="320">
        <v>265</v>
      </c>
      <c r="C267" s="43">
        <v>396935</v>
      </c>
      <c r="D267" s="1054">
        <v>15204662</v>
      </c>
      <c r="E267" s="648" t="s">
        <v>5512</v>
      </c>
      <c r="F267" s="43">
        <v>57</v>
      </c>
      <c r="G267" s="43" t="s">
        <v>1420</v>
      </c>
      <c r="H267" s="43" t="s">
        <v>1420</v>
      </c>
      <c r="I267" s="43">
        <v>965220442</v>
      </c>
      <c r="J267" s="43" t="s">
        <v>1421</v>
      </c>
      <c r="K267" s="44">
        <v>46135</v>
      </c>
      <c r="L267" s="955" t="s">
        <v>679</v>
      </c>
      <c r="M267" s="112" t="s">
        <v>312</v>
      </c>
      <c r="N267" s="112" t="s">
        <v>317</v>
      </c>
      <c r="O267" s="448">
        <v>46142</v>
      </c>
      <c r="P267" s="244"/>
      <c r="Q267" s="242" t="s">
        <v>5513</v>
      </c>
      <c r="R267" s="43"/>
      <c r="S267" s="43"/>
      <c r="T267" s="43"/>
      <c r="U267" s="43"/>
      <c r="V267" s="43"/>
      <c r="W267" s="43"/>
      <c r="X267" s="43"/>
    </row>
    <row r="268" spans="1:24" ht="15" customHeight="1">
      <c r="A268" s="206"/>
      <c r="B268" s="565">
        <v>266</v>
      </c>
      <c r="C268" s="43">
        <v>267084</v>
      </c>
      <c r="D268" s="1054">
        <v>40294256</v>
      </c>
      <c r="E268" s="648" t="s">
        <v>5514</v>
      </c>
      <c r="F268" s="43">
        <v>45</v>
      </c>
      <c r="G268" s="43" t="s">
        <v>5515</v>
      </c>
      <c r="H268" s="43" t="s">
        <v>432</v>
      </c>
      <c r="I268" s="43">
        <v>936096285</v>
      </c>
      <c r="J268" s="45" t="s">
        <v>1209</v>
      </c>
      <c r="K268" s="44">
        <v>46135</v>
      </c>
      <c r="L268" s="43" t="s">
        <v>2854</v>
      </c>
      <c r="M268" s="112" t="s">
        <v>312</v>
      </c>
      <c r="N268" s="112" t="s">
        <v>241</v>
      </c>
      <c r="O268" s="463">
        <v>46141</v>
      </c>
      <c r="P268" s="43"/>
      <c r="Q268" s="43" t="s">
        <v>4131</v>
      </c>
      <c r="R268" s="43"/>
      <c r="S268" s="43"/>
      <c r="T268" s="43"/>
      <c r="U268" s="43"/>
      <c r="V268" s="43"/>
      <c r="W268" s="43"/>
      <c r="X268" s="43"/>
    </row>
    <row r="269" spans="1:24" ht="15" customHeight="1">
      <c r="A269" s="206"/>
      <c r="B269" s="320">
        <v>267</v>
      </c>
      <c r="C269" s="43">
        <v>151792</v>
      </c>
      <c r="D269" s="1054">
        <v>80277883</v>
      </c>
      <c r="E269" s="648" t="s">
        <v>5516</v>
      </c>
      <c r="F269" s="43">
        <v>54</v>
      </c>
      <c r="G269" s="43" t="s">
        <v>5517</v>
      </c>
      <c r="H269" s="43" t="s">
        <v>278</v>
      </c>
      <c r="I269" s="43">
        <v>913586488</v>
      </c>
      <c r="J269" s="43" t="s">
        <v>238</v>
      </c>
      <c r="K269" s="44">
        <v>46135</v>
      </c>
      <c r="L269" s="955" t="s">
        <v>584</v>
      </c>
      <c r="M269" s="112" t="s">
        <v>230</v>
      </c>
      <c r="N269" s="112" t="s">
        <v>241</v>
      </c>
      <c r="O269" s="451">
        <v>46141</v>
      </c>
      <c r="P269" s="244"/>
      <c r="Q269" s="242"/>
      <c r="R269" s="43"/>
      <c r="S269" s="43"/>
      <c r="T269" s="43"/>
      <c r="U269" s="43"/>
      <c r="V269" s="43"/>
      <c r="W269" s="43"/>
      <c r="X269" s="43"/>
    </row>
    <row r="270" spans="1:24" ht="15" customHeight="1">
      <c r="A270" s="271"/>
      <c r="B270" s="565">
        <v>268</v>
      </c>
      <c r="C270" s="43">
        <v>525235</v>
      </c>
      <c r="D270" s="1074">
        <v>41311548</v>
      </c>
      <c r="E270" s="976" t="s">
        <v>5518</v>
      </c>
      <c r="F270" s="43">
        <v>44</v>
      </c>
      <c r="G270" s="47" t="s">
        <v>5519</v>
      </c>
      <c r="H270" s="47" t="s">
        <v>1885</v>
      </c>
      <c r="I270" s="47">
        <v>985048481</v>
      </c>
      <c r="J270" s="43" t="s">
        <v>164</v>
      </c>
      <c r="K270" s="44">
        <v>46135</v>
      </c>
      <c r="L270" s="43" t="s">
        <v>1156</v>
      </c>
      <c r="M270" s="112" t="s">
        <v>260</v>
      </c>
      <c r="N270" s="112" t="s">
        <v>241</v>
      </c>
      <c r="O270" s="451">
        <v>46141</v>
      </c>
      <c r="P270" s="43"/>
      <c r="Q270" s="242" t="s">
        <v>5327</v>
      </c>
      <c r="R270" s="43"/>
      <c r="S270" s="43"/>
      <c r="T270" s="43"/>
      <c r="U270" s="43"/>
      <c r="V270" s="43"/>
      <c r="W270" s="43"/>
      <c r="X270" s="43"/>
    </row>
    <row r="271" spans="1:24" ht="15" customHeight="1">
      <c r="A271" s="206"/>
      <c r="B271" s="320">
        <v>269</v>
      </c>
      <c r="C271" s="43">
        <v>525236</v>
      </c>
      <c r="D271" s="1054">
        <v>40487966</v>
      </c>
      <c r="E271" s="648" t="s">
        <v>5520</v>
      </c>
      <c r="F271" s="43">
        <v>46</v>
      </c>
      <c r="G271" s="43" t="s">
        <v>5521</v>
      </c>
      <c r="H271" s="43" t="s">
        <v>461</v>
      </c>
      <c r="I271" s="43">
        <v>967484659</v>
      </c>
      <c r="J271" s="43" t="s">
        <v>162</v>
      </c>
      <c r="K271" s="44">
        <v>46135</v>
      </c>
      <c r="L271" s="955" t="s">
        <v>5522</v>
      </c>
      <c r="M271" s="112" t="s">
        <v>260</v>
      </c>
      <c r="N271" s="112" t="s">
        <v>241</v>
      </c>
      <c r="O271" s="451">
        <v>46141</v>
      </c>
      <c r="P271" s="244"/>
      <c r="Q271" s="242" t="s">
        <v>5327</v>
      </c>
      <c r="R271" s="43"/>
      <c r="S271" s="43"/>
      <c r="T271" s="43"/>
      <c r="U271" s="43"/>
      <c r="V271" s="43"/>
      <c r="W271" s="43"/>
      <c r="X271" s="43"/>
    </row>
    <row r="272" spans="1:24" ht="15" customHeight="1">
      <c r="A272" s="206"/>
      <c r="B272" s="320">
        <v>270</v>
      </c>
      <c r="C272" s="43">
        <v>525240</v>
      </c>
      <c r="D272" s="1054">
        <v>16003676</v>
      </c>
      <c r="E272" s="648" t="s">
        <v>5523</v>
      </c>
      <c r="F272" s="43">
        <v>55</v>
      </c>
      <c r="G272" s="43" t="s">
        <v>5524</v>
      </c>
      <c r="H272" s="43" t="s">
        <v>461</v>
      </c>
      <c r="I272" s="43">
        <v>998371902</v>
      </c>
      <c r="J272" s="43" t="s">
        <v>162</v>
      </c>
      <c r="K272" s="44">
        <v>46135</v>
      </c>
      <c r="L272" s="955" t="s">
        <v>1156</v>
      </c>
      <c r="M272" s="112" t="s">
        <v>230</v>
      </c>
      <c r="N272" s="112" t="s">
        <v>241</v>
      </c>
      <c r="O272" s="451">
        <v>46141</v>
      </c>
      <c r="P272" s="244"/>
      <c r="Q272" s="242" t="s">
        <v>5327</v>
      </c>
      <c r="R272" s="43"/>
      <c r="S272" s="43"/>
      <c r="T272" s="43"/>
      <c r="U272" s="43"/>
      <c r="V272" s="43"/>
      <c r="W272" s="43"/>
      <c r="X272" s="43"/>
    </row>
    <row r="273" spans="1:24" ht="15" customHeight="1">
      <c r="A273" s="206"/>
      <c r="B273" s="320">
        <v>271</v>
      </c>
      <c r="C273" s="43">
        <v>219886</v>
      </c>
      <c r="D273" s="1054">
        <v>32272760</v>
      </c>
      <c r="E273" s="648" t="s">
        <v>5525</v>
      </c>
      <c r="F273" s="43">
        <v>46</v>
      </c>
      <c r="G273" s="43" t="s">
        <v>5526</v>
      </c>
      <c r="H273" s="43" t="s">
        <v>301</v>
      </c>
      <c r="I273" s="43">
        <v>970888874</v>
      </c>
      <c r="J273" s="43" t="s">
        <v>238</v>
      </c>
      <c r="K273" s="44">
        <v>46135</v>
      </c>
      <c r="L273" s="955" t="s">
        <v>5527</v>
      </c>
      <c r="M273" s="112" t="s">
        <v>230</v>
      </c>
      <c r="N273" s="112" t="s">
        <v>241</v>
      </c>
      <c r="O273" s="451">
        <v>46141</v>
      </c>
      <c r="P273" s="244"/>
      <c r="Q273" s="242"/>
      <c r="R273" s="43"/>
      <c r="S273" s="43"/>
      <c r="T273" s="43"/>
      <c r="U273" s="43"/>
      <c r="V273" s="43"/>
      <c r="W273" s="43"/>
      <c r="X273" s="43"/>
    </row>
    <row r="274" spans="1:24" ht="15" customHeight="1">
      <c r="A274" s="261">
        <v>46136</v>
      </c>
      <c r="B274" s="320">
        <v>272</v>
      </c>
      <c r="C274" s="43">
        <v>365184</v>
      </c>
      <c r="D274" s="1067">
        <v>32024089</v>
      </c>
      <c r="E274" s="726" t="s">
        <v>5528</v>
      </c>
      <c r="F274" s="664">
        <v>61</v>
      </c>
      <c r="G274" s="664" t="s">
        <v>5529</v>
      </c>
      <c r="H274" s="664" t="s">
        <v>5530</v>
      </c>
      <c r="I274" s="664">
        <v>977151139</v>
      </c>
      <c r="J274" s="713" t="s">
        <v>175</v>
      </c>
      <c r="K274" s="44">
        <v>46136</v>
      </c>
      <c r="L274" s="43" t="s">
        <v>584</v>
      </c>
      <c r="M274" s="112" t="s">
        <v>230</v>
      </c>
      <c r="N274" s="112" t="s">
        <v>241</v>
      </c>
      <c r="O274" s="451">
        <v>46141</v>
      </c>
      <c r="P274" s="43"/>
      <c r="Q274" s="43" t="s">
        <v>5384</v>
      </c>
      <c r="R274" s="244"/>
      <c r="S274" s="244"/>
      <c r="T274" s="244"/>
      <c r="U274" s="244"/>
      <c r="V274" s="244"/>
      <c r="W274" s="244"/>
      <c r="X274" s="244"/>
    </row>
    <row r="275" spans="1:24" ht="15" customHeight="1">
      <c r="A275" s="206"/>
      <c r="B275" s="320">
        <v>273</v>
      </c>
      <c r="C275" s="43">
        <v>443252</v>
      </c>
      <c r="D275" s="1054">
        <v>15999803</v>
      </c>
      <c r="E275" s="648" t="s">
        <v>5531</v>
      </c>
      <c r="F275" s="43">
        <v>58</v>
      </c>
      <c r="G275" s="43" t="s">
        <v>5532</v>
      </c>
      <c r="H275" s="43" t="s">
        <v>461</v>
      </c>
      <c r="I275" s="43">
        <v>991472216</v>
      </c>
      <c r="J275" s="43" t="s">
        <v>162</v>
      </c>
      <c r="K275" s="44">
        <v>46136</v>
      </c>
      <c r="L275" s="955" t="s">
        <v>5533</v>
      </c>
      <c r="M275" s="112" t="s">
        <v>260</v>
      </c>
      <c r="N275" s="112" t="s">
        <v>241</v>
      </c>
      <c r="O275" s="954">
        <v>46140</v>
      </c>
      <c r="P275" s="244"/>
      <c r="Q275" s="242" t="s">
        <v>5327</v>
      </c>
      <c r="R275" s="43"/>
      <c r="S275" s="43"/>
      <c r="T275" s="43"/>
      <c r="U275" s="43"/>
      <c r="V275" s="43"/>
      <c r="W275" s="43"/>
      <c r="X275" s="43"/>
    </row>
    <row r="276" spans="1:24" ht="15" customHeight="1">
      <c r="A276" s="206"/>
      <c r="B276" s="320">
        <v>274</v>
      </c>
      <c r="C276" s="43">
        <v>356144</v>
      </c>
      <c r="D276" s="1054">
        <v>15217249</v>
      </c>
      <c r="E276" s="648" t="s">
        <v>5534</v>
      </c>
      <c r="F276" s="43">
        <v>50</v>
      </c>
      <c r="G276" s="43" t="s">
        <v>5535</v>
      </c>
      <c r="H276" s="43" t="s">
        <v>301</v>
      </c>
      <c r="I276" s="43">
        <v>965090990</v>
      </c>
      <c r="J276" s="43" t="s">
        <v>380</v>
      </c>
      <c r="K276" s="44">
        <v>46136</v>
      </c>
      <c r="L276" s="43" t="s">
        <v>584</v>
      </c>
      <c r="M276" s="112" t="s">
        <v>230</v>
      </c>
      <c r="N276" s="112" t="s">
        <v>241</v>
      </c>
      <c r="O276" s="1070">
        <v>46142</v>
      </c>
      <c r="P276" s="1071"/>
      <c r="Q276" s="1072" t="s">
        <v>5372</v>
      </c>
      <c r="R276" s="43"/>
      <c r="S276" s="43"/>
      <c r="T276" s="43"/>
      <c r="U276" s="43"/>
      <c r="V276" s="43"/>
      <c r="W276" s="43"/>
      <c r="X276" s="43"/>
    </row>
    <row r="277" spans="1:24" ht="15" customHeight="1">
      <c r="A277" s="206"/>
      <c r="B277" s="320">
        <v>275</v>
      </c>
      <c r="C277" s="43">
        <v>170466</v>
      </c>
      <c r="D277" s="1067">
        <v>40528054</v>
      </c>
      <c r="E277" s="726" t="s">
        <v>5536</v>
      </c>
      <c r="F277" s="664">
        <v>45</v>
      </c>
      <c r="G277" s="664" t="s">
        <v>5537</v>
      </c>
      <c r="H277" s="664" t="s">
        <v>237</v>
      </c>
      <c r="I277" s="664">
        <v>955746653</v>
      </c>
      <c r="J277" s="43" t="s">
        <v>429</v>
      </c>
      <c r="K277" s="44">
        <v>46136</v>
      </c>
      <c r="L277" s="43" t="s">
        <v>584</v>
      </c>
      <c r="M277" s="112" t="s">
        <v>260</v>
      </c>
      <c r="N277" s="112" t="s">
        <v>241</v>
      </c>
      <c r="O277" s="463">
        <v>46141</v>
      </c>
      <c r="P277" s="43"/>
      <c r="Q277" s="266" t="s">
        <v>5538</v>
      </c>
      <c r="R277" s="43"/>
      <c r="S277" s="43"/>
      <c r="T277" s="43"/>
      <c r="U277" s="43"/>
      <c r="V277" s="43"/>
      <c r="W277" s="43"/>
      <c r="X277" s="43"/>
    </row>
    <row r="278" spans="1:24" ht="15" customHeight="1">
      <c r="A278" s="206"/>
      <c r="B278" s="320">
        <v>276</v>
      </c>
      <c r="C278" s="43">
        <v>68020</v>
      </c>
      <c r="D278" s="1054">
        <v>15739898</v>
      </c>
      <c r="E278" s="648" t="s">
        <v>5539</v>
      </c>
      <c r="F278" s="43">
        <v>49</v>
      </c>
      <c r="G278" s="43" t="s">
        <v>5540</v>
      </c>
      <c r="H278" s="43" t="s">
        <v>278</v>
      </c>
      <c r="I278" s="43">
        <v>983101278</v>
      </c>
      <c r="J278" s="43" t="s">
        <v>588</v>
      </c>
      <c r="K278" s="44">
        <v>46136</v>
      </c>
      <c r="L278" s="43" t="s">
        <v>2865</v>
      </c>
      <c r="M278" s="112" t="s">
        <v>260</v>
      </c>
      <c r="N278" s="112" t="s">
        <v>241</v>
      </c>
      <c r="O278" s="463">
        <v>46142</v>
      </c>
      <c r="P278" s="43"/>
      <c r="Q278" s="43" t="s">
        <v>5541</v>
      </c>
      <c r="R278" s="43"/>
      <c r="S278" s="43"/>
      <c r="T278" s="43"/>
      <c r="U278" s="43"/>
      <c r="V278" s="43"/>
      <c r="W278" s="43"/>
      <c r="X278" s="43"/>
    </row>
    <row r="279" spans="1:24" ht="15" customHeight="1">
      <c r="A279" s="206"/>
      <c r="B279" s="320">
        <v>277</v>
      </c>
      <c r="C279" s="43">
        <v>460898</v>
      </c>
      <c r="D279" s="1067">
        <v>15858532</v>
      </c>
      <c r="E279" s="726" t="s">
        <v>5542</v>
      </c>
      <c r="F279" s="664">
        <v>55</v>
      </c>
      <c r="G279" s="664" t="s">
        <v>5543</v>
      </c>
      <c r="H279" s="664" t="s">
        <v>2724</v>
      </c>
      <c r="I279" s="664">
        <v>915108805</v>
      </c>
      <c r="J279" s="713" t="s">
        <v>175</v>
      </c>
      <c r="K279" s="44">
        <v>46136</v>
      </c>
      <c r="L279" s="43" t="s">
        <v>5544</v>
      </c>
      <c r="M279" s="112" t="s">
        <v>312</v>
      </c>
      <c r="N279" s="112" t="s">
        <v>317</v>
      </c>
      <c r="O279" s="954">
        <v>46140</v>
      </c>
      <c r="P279" s="43"/>
      <c r="Q279" s="43" t="s">
        <v>5384</v>
      </c>
      <c r="R279" s="43"/>
      <c r="S279" s="43"/>
      <c r="T279" s="43"/>
      <c r="U279" s="43"/>
      <c r="V279" s="43"/>
      <c r="W279" s="43"/>
      <c r="X279" s="43"/>
    </row>
    <row r="280" spans="1:24" ht="15" customHeight="1">
      <c r="A280" s="206"/>
      <c r="B280" s="320">
        <v>278</v>
      </c>
      <c r="C280" s="43">
        <v>525256</v>
      </c>
      <c r="D280" s="1067">
        <v>15851076</v>
      </c>
      <c r="E280" s="726" t="s">
        <v>5545</v>
      </c>
      <c r="F280" s="664">
        <v>53</v>
      </c>
      <c r="G280" s="664" t="s">
        <v>5546</v>
      </c>
      <c r="H280" s="664" t="s">
        <v>5530</v>
      </c>
      <c r="I280" s="664">
        <v>972271200</v>
      </c>
      <c r="J280" s="713" t="s">
        <v>175</v>
      </c>
      <c r="K280" s="44">
        <v>46136</v>
      </c>
      <c r="L280" s="43" t="s">
        <v>747</v>
      </c>
      <c r="M280" s="112" t="s">
        <v>230</v>
      </c>
      <c r="N280" s="112" t="s">
        <v>317</v>
      </c>
      <c r="O280" s="954">
        <v>46140</v>
      </c>
      <c r="P280" s="43"/>
      <c r="Q280" s="43" t="s">
        <v>5384</v>
      </c>
      <c r="R280" s="43"/>
      <c r="S280" s="43"/>
      <c r="T280" s="43"/>
      <c r="U280" s="43"/>
      <c r="V280" s="43"/>
      <c r="W280" s="43"/>
      <c r="X280" s="43"/>
    </row>
    <row r="281" spans="1:24" ht="15" customHeight="1">
      <c r="A281" s="206"/>
      <c r="B281" s="320">
        <v>279</v>
      </c>
      <c r="C281" s="43">
        <v>518428</v>
      </c>
      <c r="D281" s="1067" t="s">
        <v>5547</v>
      </c>
      <c r="E281" s="726" t="s">
        <v>5548</v>
      </c>
      <c r="F281" s="664">
        <v>51</v>
      </c>
      <c r="G281" s="664" t="s">
        <v>5549</v>
      </c>
      <c r="H281" s="664" t="s">
        <v>5530</v>
      </c>
      <c r="I281" s="664">
        <v>977460959</v>
      </c>
      <c r="J281" s="713" t="s">
        <v>175</v>
      </c>
      <c r="K281" s="44">
        <v>46136</v>
      </c>
      <c r="L281" s="43" t="s">
        <v>1902</v>
      </c>
      <c r="M281" s="112" t="s">
        <v>312</v>
      </c>
      <c r="N281" s="112" t="s">
        <v>241</v>
      </c>
      <c r="O281" s="954">
        <v>46140</v>
      </c>
      <c r="P281" s="43"/>
      <c r="Q281" s="43" t="s">
        <v>5384</v>
      </c>
      <c r="R281" s="43"/>
      <c r="S281" s="43"/>
      <c r="T281" s="43"/>
      <c r="U281" s="43"/>
      <c r="V281" s="43"/>
      <c r="W281" s="43"/>
      <c r="X281" s="43"/>
    </row>
    <row r="282" spans="1:24" ht="15" customHeight="1">
      <c r="A282" s="206"/>
      <c r="B282" s="320">
        <v>280</v>
      </c>
      <c r="C282" s="43">
        <v>525258</v>
      </c>
      <c r="D282" s="1067">
        <v>10744045</v>
      </c>
      <c r="E282" s="726" t="s">
        <v>5550</v>
      </c>
      <c r="F282" s="664">
        <v>48</v>
      </c>
      <c r="G282" s="664" t="s">
        <v>5551</v>
      </c>
      <c r="H282" s="664" t="s">
        <v>5530</v>
      </c>
      <c r="I282" s="664">
        <v>983598777</v>
      </c>
      <c r="J282" s="713" t="s">
        <v>175</v>
      </c>
      <c r="K282" s="44">
        <v>46136</v>
      </c>
      <c r="L282" s="43" t="s">
        <v>5552</v>
      </c>
      <c r="M282" s="112" t="s">
        <v>260</v>
      </c>
      <c r="N282" s="112" t="s">
        <v>241</v>
      </c>
      <c r="O282" s="954">
        <v>46140</v>
      </c>
      <c r="P282" s="43"/>
      <c r="Q282" s="43" t="s">
        <v>5384</v>
      </c>
      <c r="R282" s="43"/>
      <c r="S282" s="43"/>
      <c r="T282" s="43"/>
      <c r="U282" s="43"/>
      <c r="V282" s="43"/>
      <c r="W282" s="43"/>
      <c r="X282" s="43"/>
    </row>
    <row r="283" spans="1:24" ht="15" customHeight="1">
      <c r="A283" s="206"/>
      <c r="B283" s="320">
        <v>281</v>
      </c>
      <c r="C283" s="43">
        <v>525259</v>
      </c>
      <c r="D283" s="1054">
        <v>43146477</v>
      </c>
      <c r="E283" s="648" t="s">
        <v>5553</v>
      </c>
      <c r="F283" s="43">
        <v>48</v>
      </c>
      <c r="G283" s="43" t="s">
        <v>5554</v>
      </c>
      <c r="H283" s="43" t="s">
        <v>461</v>
      </c>
      <c r="I283" s="43" t="s">
        <v>5555</v>
      </c>
      <c r="J283" s="43" t="s">
        <v>162</v>
      </c>
      <c r="K283" s="44">
        <v>46136</v>
      </c>
      <c r="L283" s="955" t="s">
        <v>747</v>
      </c>
      <c r="M283" s="112" t="s">
        <v>230</v>
      </c>
      <c r="N283" s="112" t="s">
        <v>317</v>
      </c>
      <c r="O283" s="954">
        <v>46140</v>
      </c>
      <c r="P283" s="244"/>
      <c r="Q283" s="242" t="s">
        <v>5327</v>
      </c>
      <c r="R283" s="43"/>
      <c r="S283" s="43"/>
      <c r="T283" s="43"/>
      <c r="U283" s="43"/>
      <c r="V283" s="43"/>
      <c r="W283" s="43"/>
      <c r="X283" s="43"/>
    </row>
    <row r="284" spans="1:24" ht="15" customHeight="1">
      <c r="A284" s="206"/>
      <c r="B284" s="320">
        <v>282</v>
      </c>
      <c r="C284" s="43">
        <v>377770</v>
      </c>
      <c r="D284" s="1062">
        <v>15218436</v>
      </c>
      <c r="E284" s="726" t="s">
        <v>5556</v>
      </c>
      <c r="F284" s="711">
        <v>60</v>
      </c>
      <c r="G284" s="711" t="s">
        <v>5557</v>
      </c>
      <c r="H284" s="711" t="s">
        <v>237</v>
      </c>
      <c r="I284" s="711">
        <v>974207082</v>
      </c>
      <c r="J284" s="43" t="s">
        <v>429</v>
      </c>
      <c r="K284" s="44">
        <v>46136</v>
      </c>
      <c r="L284" s="43" t="s">
        <v>790</v>
      </c>
      <c r="M284" s="112" t="s">
        <v>312</v>
      </c>
      <c r="N284" s="112" t="s">
        <v>317</v>
      </c>
      <c r="O284" s="463">
        <v>46141</v>
      </c>
      <c r="P284" s="43"/>
      <c r="Q284" s="266" t="s">
        <v>5538</v>
      </c>
      <c r="R284" s="43"/>
      <c r="S284" s="43"/>
      <c r="T284" s="43"/>
      <c r="U284" s="43"/>
      <c r="V284" s="43"/>
      <c r="W284" s="43"/>
      <c r="X284" s="43"/>
    </row>
    <row r="285" spans="1:24" ht="15" customHeight="1">
      <c r="A285" s="206"/>
      <c r="B285" s="320">
        <v>283</v>
      </c>
      <c r="C285" s="43">
        <v>525266</v>
      </c>
      <c r="D285" s="1067">
        <v>15858585</v>
      </c>
      <c r="E285" s="726" t="s">
        <v>5558</v>
      </c>
      <c r="F285" s="664">
        <v>55</v>
      </c>
      <c r="G285" s="664" t="s">
        <v>5559</v>
      </c>
      <c r="H285" s="664" t="s">
        <v>5530</v>
      </c>
      <c r="I285" s="664">
        <v>963852843</v>
      </c>
      <c r="J285" s="713" t="s">
        <v>175</v>
      </c>
      <c r="K285" s="44">
        <v>46136</v>
      </c>
      <c r="L285" s="43" t="s">
        <v>1947</v>
      </c>
      <c r="M285" s="112" t="s">
        <v>230</v>
      </c>
      <c r="N285" s="112" t="s">
        <v>317</v>
      </c>
      <c r="O285" s="954">
        <v>46140</v>
      </c>
      <c r="P285" s="43"/>
      <c r="Q285" s="43" t="s">
        <v>5384</v>
      </c>
      <c r="R285" s="43"/>
      <c r="S285" s="43"/>
      <c r="T285" s="43"/>
      <c r="U285" s="43"/>
      <c r="V285" s="43"/>
      <c r="W285" s="43"/>
      <c r="X285" s="43"/>
    </row>
    <row r="286" spans="1:24" ht="15" customHeight="1">
      <c r="A286" s="206"/>
      <c r="B286" s="320">
        <v>284</v>
      </c>
      <c r="C286" s="43">
        <v>525268</v>
      </c>
      <c r="D286" s="1067">
        <v>10170385</v>
      </c>
      <c r="E286" s="726" t="s">
        <v>5560</v>
      </c>
      <c r="F286" s="664">
        <v>51</v>
      </c>
      <c r="G286" s="664" t="s">
        <v>5561</v>
      </c>
      <c r="H286" s="664" t="s">
        <v>5530</v>
      </c>
      <c r="I286" s="664">
        <v>935589724</v>
      </c>
      <c r="J286" s="713" t="s">
        <v>175</v>
      </c>
      <c r="K286" s="44">
        <v>46136</v>
      </c>
      <c r="L286" s="45" t="s">
        <v>576</v>
      </c>
      <c r="M286" s="112" t="s">
        <v>312</v>
      </c>
      <c r="N286" s="112" t="s">
        <v>241</v>
      </c>
      <c r="O286" s="954">
        <v>46142</v>
      </c>
      <c r="P286" s="43"/>
      <c r="Q286" s="43" t="s">
        <v>5384</v>
      </c>
      <c r="R286" s="43"/>
      <c r="S286" s="43"/>
      <c r="T286" s="43"/>
      <c r="U286" s="43"/>
      <c r="V286" s="43"/>
      <c r="W286" s="43"/>
      <c r="X286" s="43"/>
    </row>
    <row r="287" spans="1:24" ht="15" customHeight="1">
      <c r="A287" s="206"/>
      <c r="B287" s="320">
        <v>285</v>
      </c>
      <c r="C287" s="43">
        <v>525270</v>
      </c>
      <c r="D287" s="1054">
        <v>15958789</v>
      </c>
      <c r="E287" s="648" t="s">
        <v>5562</v>
      </c>
      <c r="F287" s="43">
        <v>66</v>
      </c>
      <c r="G287" s="43" t="s">
        <v>5563</v>
      </c>
      <c r="H287" s="43" t="s">
        <v>461</v>
      </c>
      <c r="I287" s="43">
        <v>944796618</v>
      </c>
      <c r="J287" s="43" t="s">
        <v>162</v>
      </c>
      <c r="K287" s="44">
        <v>46136</v>
      </c>
      <c r="L287" s="955" t="s">
        <v>1794</v>
      </c>
      <c r="M287" s="112" t="s">
        <v>312</v>
      </c>
      <c r="N287" s="112" t="s">
        <v>317</v>
      </c>
      <c r="O287" s="954">
        <v>46140</v>
      </c>
      <c r="P287" s="244"/>
      <c r="Q287" s="242" t="s">
        <v>5327</v>
      </c>
      <c r="R287" s="43"/>
      <c r="S287" s="43"/>
      <c r="T287" s="43"/>
      <c r="U287" s="43"/>
      <c r="V287" s="43"/>
      <c r="W287" s="43"/>
      <c r="X287" s="43"/>
    </row>
    <row r="288" spans="1:24" ht="15" customHeight="1">
      <c r="A288" s="206"/>
      <c r="B288" s="320">
        <v>286</v>
      </c>
      <c r="C288" s="43">
        <v>525264</v>
      </c>
      <c r="D288" s="1074">
        <v>15985552</v>
      </c>
      <c r="E288" s="976" t="s">
        <v>5564</v>
      </c>
      <c r="F288" s="47">
        <v>61</v>
      </c>
      <c r="G288" s="47" t="s">
        <v>5565</v>
      </c>
      <c r="H288" s="47" t="s">
        <v>271</v>
      </c>
      <c r="I288" s="47">
        <v>912810095</v>
      </c>
      <c r="J288" s="43" t="s">
        <v>164</v>
      </c>
      <c r="K288" s="44">
        <v>46136</v>
      </c>
      <c r="L288" s="43" t="s">
        <v>584</v>
      </c>
      <c r="M288" s="112" t="s">
        <v>230</v>
      </c>
      <c r="N288" s="112" t="s">
        <v>241</v>
      </c>
      <c r="O288" s="954">
        <v>46140</v>
      </c>
      <c r="P288" s="43"/>
      <c r="Q288" s="242" t="s">
        <v>5327</v>
      </c>
      <c r="R288" s="43"/>
      <c r="S288" s="43"/>
      <c r="T288" s="43"/>
      <c r="U288" s="43"/>
      <c r="V288" s="43"/>
      <c r="W288" s="43"/>
      <c r="X288" s="43"/>
    </row>
    <row r="289" spans="1:24" ht="15" customHeight="1">
      <c r="A289" s="206"/>
      <c r="B289" s="320">
        <v>287</v>
      </c>
      <c r="C289" s="43">
        <v>525274</v>
      </c>
      <c r="D289" s="1054">
        <v>41391419</v>
      </c>
      <c r="E289" s="648" t="s">
        <v>5566</v>
      </c>
      <c r="F289" s="43">
        <v>44</v>
      </c>
      <c r="G289" s="43" t="s">
        <v>5567</v>
      </c>
      <c r="H289" s="43" t="s">
        <v>461</v>
      </c>
      <c r="I289" s="43">
        <v>922619285</v>
      </c>
      <c r="J289" s="43" t="s">
        <v>162</v>
      </c>
      <c r="K289" s="44">
        <v>46136</v>
      </c>
      <c r="L289" s="955" t="s">
        <v>5568</v>
      </c>
      <c r="M289" s="112" t="s">
        <v>323</v>
      </c>
      <c r="N289" s="112" t="s">
        <v>241</v>
      </c>
      <c r="O289" s="451">
        <v>46141</v>
      </c>
      <c r="P289" s="244"/>
      <c r="Q289" s="242" t="s">
        <v>5327</v>
      </c>
      <c r="R289" s="43"/>
      <c r="S289" s="43"/>
      <c r="T289" s="43"/>
      <c r="U289" s="43"/>
      <c r="V289" s="43"/>
      <c r="W289" s="43"/>
      <c r="X289" s="43"/>
    </row>
    <row r="290" spans="1:24" ht="15" customHeight="1">
      <c r="A290" s="206"/>
      <c r="B290" s="320">
        <v>288</v>
      </c>
      <c r="C290" s="43">
        <v>103366</v>
      </c>
      <c r="D290" s="1054">
        <v>15756712</v>
      </c>
      <c r="E290" s="648" t="s">
        <v>5569</v>
      </c>
      <c r="F290" s="43">
        <v>61</v>
      </c>
      <c r="G290" s="43" t="s">
        <v>5570</v>
      </c>
      <c r="H290" s="43" t="s">
        <v>237</v>
      </c>
      <c r="I290" s="43" t="s">
        <v>5571</v>
      </c>
      <c r="J290" s="43" t="s">
        <v>579</v>
      </c>
      <c r="K290" s="44">
        <v>46136</v>
      </c>
      <c r="L290" s="43" t="s">
        <v>5572</v>
      </c>
      <c r="M290" s="112" t="s">
        <v>312</v>
      </c>
      <c r="N290" s="112" t="s">
        <v>317</v>
      </c>
      <c r="O290" s="463">
        <v>46142</v>
      </c>
      <c r="P290" s="43"/>
      <c r="Q290" s="43" t="s">
        <v>5573</v>
      </c>
      <c r="R290" s="112"/>
      <c r="S290" s="112"/>
      <c r="T290" s="112"/>
      <c r="U290" s="112"/>
      <c r="V290" s="112"/>
      <c r="W290" s="112"/>
      <c r="X290" s="112"/>
    </row>
    <row r="291" spans="1:24" ht="15" customHeight="1">
      <c r="A291" s="206"/>
      <c r="B291" s="320">
        <v>289</v>
      </c>
      <c r="C291" s="43">
        <v>100027</v>
      </c>
      <c r="D291" s="1054">
        <v>41457365</v>
      </c>
      <c r="E291" s="648" t="s">
        <v>5574</v>
      </c>
      <c r="F291" s="43">
        <v>46</v>
      </c>
      <c r="G291" s="43" t="s">
        <v>5575</v>
      </c>
      <c r="H291" s="43" t="s">
        <v>278</v>
      </c>
      <c r="I291" s="43">
        <v>972770838</v>
      </c>
      <c r="J291" s="43" t="s">
        <v>223</v>
      </c>
      <c r="K291" s="44">
        <v>46136</v>
      </c>
      <c r="L291" s="955" t="s">
        <v>5576</v>
      </c>
      <c r="M291" s="112" t="s">
        <v>323</v>
      </c>
      <c r="N291" s="112" t="s">
        <v>241</v>
      </c>
      <c r="O291" s="448">
        <v>46141</v>
      </c>
      <c r="P291" s="244"/>
      <c r="Q291" s="242" t="s">
        <v>5396</v>
      </c>
      <c r="R291" s="43"/>
      <c r="S291" s="43"/>
      <c r="T291" s="43"/>
      <c r="U291" s="43"/>
      <c r="V291" s="43"/>
      <c r="W291" s="43"/>
      <c r="X291" s="43"/>
    </row>
    <row r="292" spans="1:24" ht="15" customHeight="1">
      <c r="A292" s="206"/>
      <c r="B292" s="320">
        <v>290</v>
      </c>
      <c r="C292" s="43">
        <v>11865</v>
      </c>
      <c r="D292" s="1054">
        <v>9793825</v>
      </c>
      <c r="E292" s="648" t="s">
        <v>5577</v>
      </c>
      <c r="F292" s="43">
        <v>53</v>
      </c>
      <c r="G292" s="43" t="s">
        <v>5578</v>
      </c>
      <c r="H292" s="43" t="s">
        <v>301</v>
      </c>
      <c r="I292" s="43">
        <v>948450830</v>
      </c>
      <c r="J292" s="43" t="s">
        <v>380</v>
      </c>
      <c r="K292" s="44">
        <v>46136</v>
      </c>
      <c r="L292" s="955" t="s">
        <v>5579</v>
      </c>
      <c r="M292" s="112" t="s">
        <v>323</v>
      </c>
      <c r="N292" s="112" t="s">
        <v>241</v>
      </c>
      <c r="O292" s="1070">
        <v>46142</v>
      </c>
      <c r="P292" s="1071"/>
      <c r="Q292" s="1072" t="s">
        <v>5372</v>
      </c>
      <c r="R292" s="43"/>
      <c r="S292" s="43"/>
      <c r="T292" s="43"/>
      <c r="U292" s="43"/>
      <c r="V292" s="43"/>
      <c r="W292" s="43"/>
      <c r="X292" s="43"/>
    </row>
    <row r="293" spans="1:24" ht="15" customHeight="1">
      <c r="A293" s="271"/>
      <c r="B293" s="472">
        <v>291</v>
      </c>
      <c r="C293" s="244">
        <v>390548</v>
      </c>
      <c r="D293" s="1075">
        <v>15607356</v>
      </c>
      <c r="E293" s="648" t="s">
        <v>5580</v>
      </c>
      <c r="F293" s="244">
        <v>69</v>
      </c>
      <c r="G293" s="244" t="s">
        <v>5581</v>
      </c>
      <c r="H293" s="244" t="s">
        <v>278</v>
      </c>
      <c r="I293" s="244">
        <v>986062949</v>
      </c>
      <c r="J293" s="244" t="s">
        <v>238</v>
      </c>
      <c r="K293" s="584">
        <v>46136</v>
      </c>
      <c r="L293" s="244" t="s">
        <v>5582</v>
      </c>
      <c r="M293" s="112" t="s">
        <v>230</v>
      </c>
      <c r="N293" s="112" t="s">
        <v>317</v>
      </c>
      <c r="O293" s="451">
        <v>46141</v>
      </c>
      <c r="P293" s="244"/>
      <c r="Q293" s="244"/>
      <c r="R293" s="43"/>
      <c r="S293" s="43"/>
      <c r="T293" s="43"/>
      <c r="U293" s="43"/>
      <c r="V293" s="43"/>
      <c r="W293" s="43"/>
      <c r="X293" s="43"/>
    </row>
    <row r="294" spans="1:24" ht="15" customHeight="1">
      <c r="A294" s="206"/>
      <c r="B294" s="320">
        <v>292</v>
      </c>
      <c r="C294" s="43">
        <v>209178</v>
      </c>
      <c r="D294" s="1054">
        <v>15731905</v>
      </c>
      <c r="E294" s="648" t="s">
        <v>5583</v>
      </c>
      <c r="F294" s="43">
        <v>51</v>
      </c>
      <c r="G294" s="43" t="s">
        <v>5584</v>
      </c>
      <c r="H294" s="43" t="s">
        <v>5585</v>
      </c>
      <c r="I294" s="43">
        <v>927238020</v>
      </c>
      <c r="J294" s="43" t="s">
        <v>380</v>
      </c>
      <c r="K294" s="44">
        <v>46136</v>
      </c>
      <c r="L294" s="43" t="s">
        <v>458</v>
      </c>
      <c r="M294" s="112" t="s">
        <v>260</v>
      </c>
      <c r="N294" s="112" t="s">
        <v>241</v>
      </c>
      <c r="O294" s="1070">
        <v>46142</v>
      </c>
      <c r="P294" s="1071"/>
      <c r="Q294" s="1072" t="s">
        <v>5372</v>
      </c>
      <c r="R294" s="43"/>
      <c r="S294" s="43"/>
      <c r="T294" s="43"/>
      <c r="U294" s="43"/>
      <c r="V294" s="43"/>
      <c r="W294" s="43"/>
      <c r="X294" s="43"/>
    </row>
    <row r="295" spans="1:24" ht="15" customHeight="1">
      <c r="A295" s="206"/>
      <c r="B295" s="320">
        <v>293</v>
      </c>
      <c r="C295" s="43">
        <v>354545</v>
      </c>
      <c r="D295" s="1054">
        <v>42709208</v>
      </c>
      <c r="E295" s="648" t="s">
        <v>5586</v>
      </c>
      <c r="F295" s="43">
        <v>41</v>
      </c>
      <c r="G295" s="43" t="s">
        <v>5587</v>
      </c>
      <c r="H295" s="43" t="s">
        <v>288</v>
      </c>
      <c r="I295" s="43">
        <v>933254525</v>
      </c>
      <c r="J295" s="43" t="s">
        <v>347</v>
      </c>
      <c r="K295" s="44">
        <v>46136</v>
      </c>
      <c r="L295" s="43" t="s">
        <v>458</v>
      </c>
      <c r="M295" s="112" t="s">
        <v>260</v>
      </c>
      <c r="N295" s="112" t="s">
        <v>241</v>
      </c>
      <c r="O295" s="463">
        <v>46141</v>
      </c>
      <c r="P295" s="43"/>
      <c r="Q295" s="43" t="s">
        <v>4131</v>
      </c>
      <c r="R295" s="43"/>
      <c r="S295" s="43"/>
      <c r="T295" s="43"/>
      <c r="U295" s="43"/>
      <c r="V295" s="43"/>
      <c r="W295" s="43"/>
      <c r="X295" s="43"/>
    </row>
    <row r="296" spans="1:24" ht="15" customHeight="1">
      <c r="A296" s="206"/>
      <c r="B296" s="320">
        <v>294</v>
      </c>
      <c r="C296" s="43">
        <v>525281</v>
      </c>
      <c r="D296" s="1054">
        <v>40297471</v>
      </c>
      <c r="E296" s="648" t="s">
        <v>5588</v>
      </c>
      <c r="F296" s="43">
        <v>46</v>
      </c>
      <c r="G296" s="43" t="s">
        <v>5589</v>
      </c>
      <c r="H296" s="43" t="s">
        <v>461</v>
      </c>
      <c r="I296" s="43">
        <v>931890001</v>
      </c>
      <c r="J296" s="43" t="s">
        <v>162</v>
      </c>
      <c r="K296" s="44">
        <v>46136</v>
      </c>
      <c r="L296" s="955" t="s">
        <v>679</v>
      </c>
      <c r="M296" s="112" t="s">
        <v>230</v>
      </c>
      <c r="N296" s="112" t="s">
        <v>317</v>
      </c>
      <c r="O296" s="451">
        <v>46141</v>
      </c>
      <c r="P296" s="244"/>
      <c r="Q296" s="242" t="s">
        <v>5327</v>
      </c>
      <c r="R296" s="43"/>
      <c r="S296" s="43"/>
      <c r="T296" s="43"/>
      <c r="U296" s="43"/>
      <c r="V296" s="43"/>
      <c r="W296" s="43"/>
      <c r="X296" s="43"/>
    </row>
    <row r="297" spans="1:24" ht="15" customHeight="1">
      <c r="A297" s="206"/>
      <c r="B297" s="320">
        <v>295</v>
      </c>
      <c r="C297" s="43">
        <v>525280</v>
      </c>
      <c r="D297" s="1054">
        <v>15943533</v>
      </c>
      <c r="E297" s="648" t="s">
        <v>5590</v>
      </c>
      <c r="F297" s="43">
        <v>59</v>
      </c>
      <c r="G297" s="43" t="s">
        <v>5591</v>
      </c>
      <c r="H297" s="43" t="s">
        <v>461</v>
      </c>
      <c r="I297" s="43">
        <v>986334779</v>
      </c>
      <c r="J297" s="43" t="s">
        <v>162</v>
      </c>
      <c r="K297" s="44">
        <v>46136</v>
      </c>
      <c r="L297" s="955" t="s">
        <v>5592</v>
      </c>
      <c r="M297" s="112" t="s">
        <v>260</v>
      </c>
      <c r="N297" s="112" t="s">
        <v>241</v>
      </c>
      <c r="O297" s="451">
        <v>46141</v>
      </c>
      <c r="P297" s="244"/>
      <c r="Q297" s="242" t="s">
        <v>5327</v>
      </c>
      <c r="R297" s="43"/>
      <c r="S297" s="43"/>
      <c r="T297" s="43"/>
      <c r="U297" s="43"/>
      <c r="V297" s="43"/>
      <c r="W297" s="43"/>
      <c r="X297" s="43"/>
    </row>
    <row r="298" spans="1:24" ht="15" customHeight="1">
      <c r="A298" s="206"/>
      <c r="B298" s="320">
        <v>296</v>
      </c>
      <c r="C298" s="43">
        <v>114695</v>
      </c>
      <c r="D298" s="1054">
        <v>40725974</v>
      </c>
      <c r="E298" s="648" t="s">
        <v>5593</v>
      </c>
      <c r="F298" s="43">
        <v>45</v>
      </c>
      <c r="G298" s="43" t="s">
        <v>5594</v>
      </c>
      <c r="H298" s="43" t="s">
        <v>222</v>
      </c>
      <c r="I298" s="43">
        <v>920378768</v>
      </c>
      <c r="J298" s="43" t="s">
        <v>588</v>
      </c>
      <c r="K298" s="44">
        <v>46136</v>
      </c>
      <c r="L298" s="43" t="s">
        <v>5595</v>
      </c>
      <c r="M298" s="112" t="s">
        <v>230</v>
      </c>
      <c r="N298" s="112" t="s">
        <v>241</v>
      </c>
      <c r="O298" s="956">
        <v>46142</v>
      </c>
      <c r="P298" s="43"/>
      <c r="Q298" s="43" t="s">
        <v>5541</v>
      </c>
      <c r="R298" s="244"/>
      <c r="S298" s="244"/>
      <c r="T298" s="244"/>
      <c r="U298" s="244"/>
      <c r="V298" s="244"/>
      <c r="W298" s="244"/>
      <c r="X298" s="244"/>
    </row>
    <row r="299" spans="1:24" ht="15" customHeight="1">
      <c r="A299" s="1076"/>
      <c r="B299" s="320">
        <v>297</v>
      </c>
      <c r="C299" s="43">
        <v>50449</v>
      </c>
      <c r="D299" s="1054">
        <v>15655046</v>
      </c>
      <c r="E299" s="648" t="s">
        <v>5596</v>
      </c>
      <c r="F299" s="43">
        <v>69</v>
      </c>
      <c r="G299" s="43" t="s">
        <v>5597</v>
      </c>
      <c r="H299" s="43" t="s">
        <v>301</v>
      </c>
      <c r="I299" s="43">
        <v>999931915</v>
      </c>
      <c r="J299" s="43" t="s">
        <v>380</v>
      </c>
      <c r="K299" s="44">
        <v>46136</v>
      </c>
      <c r="L299" s="43" t="s">
        <v>5598</v>
      </c>
      <c r="M299" s="112" t="s">
        <v>323</v>
      </c>
      <c r="N299" s="112" t="s">
        <v>241</v>
      </c>
      <c r="O299" s="1070">
        <v>46142</v>
      </c>
      <c r="P299" s="1071"/>
      <c r="Q299" s="1072" t="s">
        <v>5372</v>
      </c>
      <c r="R299" s="43"/>
      <c r="S299" s="43"/>
      <c r="T299" s="43"/>
      <c r="U299" s="43"/>
      <c r="V299" s="43"/>
      <c r="W299" s="43"/>
      <c r="X299" s="43"/>
    </row>
    <row r="300" spans="1:24" ht="15" customHeight="1">
      <c r="A300" s="261">
        <v>46137</v>
      </c>
      <c r="B300" s="472">
        <v>298</v>
      </c>
      <c r="C300" s="43">
        <v>140229</v>
      </c>
      <c r="D300" s="1054">
        <v>15687823</v>
      </c>
      <c r="E300" s="648" t="s">
        <v>5599</v>
      </c>
      <c r="F300" s="43">
        <v>66</v>
      </c>
      <c r="G300" s="43" t="s">
        <v>5600</v>
      </c>
      <c r="H300" s="43" t="s">
        <v>301</v>
      </c>
      <c r="I300" s="43">
        <v>992653781</v>
      </c>
      <c r="J300" s="43" t="s">
        <v>380</v>
      </c>
      <c r="K300" s="43" t="s">
        <v>5601</v>
      </c>
      <c r="L300" s="43" t="s">
        <v>5602</v>
      </c>
      <c r="M300" s="112" t="s">
        <v>312</v>
      </c>
      <c r="N300" s="112" t="s">
        <v>317</v>
      </c>
      <c r="O300" s="1070">
        <v>46142</v>
      </c>
      <c r="P300" s="1071"/>
      <c r="Q300" s="1072" t="s">
        <v>5372</v>
      </c>
      <c r="R300" s="43"/>
      <c r="S300" s="43"/>
      <c r="T300" s="43"/>
      <c r="U300" s="43"/>
      <c r="V300" s="43"/>
      <c r="W300" s="43"/>
      <c r="X300" s="43"/>
    </row>
    <row r="301" spans="1:24" ht="15" customHeight="1">
      <c r="A301" s="206"/>
      <c r="B301" s="320">
        <v>299</v>
      </c>
      <c r="C301" s="43">
        <v>318437</v>
      </c>
      <c r="D301" s="1054">
        <v>7260279</v>
      </c>
      <c r="E301" s="648" t="s">
        <v>5603</v>
      </c>
      <c r="F301" s="43">
        <v>55</v>
      </c>
      <c r="G301" s="43" t="s">
        <v>5604</v>
      </c>
      <c r="H301" s="43" t="s">
        <v>278</v>
      </c>
      <c r="I301" s="43">
        <v>996853362</v>
      </c>
      <c r="J301" s="43" t="s">
        <v>223</v>
      </c>
      <c r="K301" s="43" t="s">
        <v>5601</v>
      </c>
      <c r="L301" s="43" t="s">
        <v>5605</v>
      </c>
      <c r="M301" s="112" t="s">
        <v>312</v>
      </c>
      <c r="N301" s="112" t="s">
        <v>241</v>
      </c>
      <c r="O301" s="448">
        <v>46141</v>
      </c>
      <c r="P301" s="43"/>
      <c r="Q301" s="242" t="s">
        <v>5396</v>
      </c>
      <c r="R301" s="43"/>
      <c r="S301" s="43"/>
      <c r="T301" s="43"/>
      <c r="U301" s="43"/>
      <c r="V301" s="43"/>
      <c r="W301" s="43"/>
      <c r="X301" s="43"/>
    </row>
    <row r="302" spans="1:24" ht="15" customHeight="1">
      <c r="A302" s="206"/>
      <c r="B302" s="320">
        <v>300</v>
      </c>
      <c r="C302" s="43">
        <v>525291</v>
      </c>
      <c r="D302" s="1054">
        <v>15971351</v>
      </c>
      <c r="E302" s="648" t="s">
        <v>5606</v>
      </c>
      <c r="F302" s="43">
        <v>60</v>
      </c>
      <c r="G302" s="43" t="s">
        <v>5607</v>
      </c>
      <c r="H302" s="43" t="s">
        <v>461</v>
      </c>
      <c r="I302" s="43">
        <v>984898148</v>
      </c>
      <c r="J302" s="43" t="s">
        <v>421</v>
      </c>
      <c r="K302" s="43" t="s">
        <v>5601</v>
      </c>
      <c r="L302" s="43" t="s">
        <v>5608</v>
      </c>
      <c r="M302" s="112" t="s">
        <v>323</v>
      </c>
      <c r="N302" s="112" t="s">
        <v>241</v>
      </c>
      <c r="O302" s="451">
        <v>46141</v>
      </c>
      <c r="P302" s="43"/>
      <c r="Q302" s="43" t="s">
        <v>5327</v>
      </c>
      <c r="R302" s="43"/>
      <c r="S302" s="43"/>
      <c r="T302" s="43"/>
      <c r="U302" s="43"/>
      <c r="V302" s="43"/>
      <c r="W302" s="43"/>
      <c r="X302" s="43"/>
    </row>
    <row r="303" spans="1:24" ht="15" customHeight="1">
      <c r="A303" s="206"/>
      <c r="B303" s="320">
        <v>301</v>
      </c>
      <c r="C303" s="43">
        <v>525290</v>
      </c>
      <c r="D303" s="1054">
        <v>15754266</v>
      </c>
      <c r="E303" s="648" t="s">
        <v>5609</v>
      </c>
      <c r="F303" s="43">
        <v>51</v>
      </c>
      <c r="G303" s="43" t="s">
        <v>5610</v>
      </c>
      <c r="H303" s="43" t="s">
        <v>461</v>
      </c>
      <c r="I303" s="43">
        <v>940717427</v>
      </c>
      <c r="J303" s="43" t="s">
        <v>421</v>
      </c>
      <c r="K303" s="44">
        <v>46137</v>
      </c>
      <c r="L303" s="43" t="s">
        <v>5611</v>
      </c>
      <c r="M303" s="112" t="s">
        <v>312</v>
      </c>
      <c r="N303" s="112" t="s">
        <v>241</v>
      </c>
      <c r="O303" s="1077">
        <v>46142</v>
      </c>
      <c r="P303" s="43"/>
      <c r="Q303" s="43" t="s">
        <v>5327</v>
      </c>
      <c r="R303" s="1087"/>
      <c r="S303" s="1087"/>
      <c r="T303" s="1087"/>
      <c r="U303" s="1087"/>
      <c r="V303" s="1087"/>
      <c r="W303" s="1087"/>
      <c r="X303" s="1087"/>
    </row>
    <row r="304" spans="1:24" ht="15" customHeight="1">
      <c r="A304" s="206"/>
      <c r="B304" s="320">
        <v>302</v>
      </c>
      <c r="C304" s="43">
        <v>525292</v>
      </c>
      <c r="D304" s="1054">
        <v>32730090</v>
      </c>
      <c r="E304" s="648" t="s">
        <v>5612</v>
      </c>
      <c r="F304" s="43">
        <v>55</v>
      </c>
      <c r="G304" s="43" t="s">
        <v>5613</v>
      </c>
      <c r="H304" s="43" t="s">
        <v>461</v>
      </c>
      <c r="I304" s="43">
        <v>995934123</v>
      </c>
      <c r="J304" s="43" t="s">
        <v>421</v>
      </c>
      <c r="K304" s="44">
        <v>46137</v>
      </c>
      <c r="L304" s="43" t="s">
        <v>5614</v>
      </c>
      <c r="M304" s="112" t="s">
        <v>260</v>
      </c>
      <c r="N304" s="112" t="s">
        <v>241</v>
      </c>
      <c r="O304" s="451">
        <v>46141</v>
      </c>
      <c r="P304" s="43"/>
      <c r="Q304" s="43" t="s">
        <v>5327</v>
      </c>
      <c r="R304" s="43"/>
      <c r="S304" s="43"/>
      <c r="T304" s="43"/>
      <c r="U304" s="43"/>
      <c r="V304" s="43"/>
      <c r="W304" s="43"/>
      <c r="X304" s="43"/>
    </row>
    <row r="305" spans="1:24" ht="15" customHeight="1">
      <c r="A305" s="206"/>
      <c r="B305" s="320">
        <v>303</v>
      </c>
      <c r="C305" s="43">
        <v>525293</v>
      </c>
      <c r="D305" s="1078">
        <v>15998561</v>
      </c>
      <c r="E305" s="973" t="s">
        <v>5615</v>
      </c>
      <c r="F305" s="43">
        <v>58</v>
      </c>
      <c r="G305" s="47" t="s">
        <v>5616</v>
      </c>
      <c r="H305" s="46" t="s">
        <v>271</v>
      </c>
      <c r="I305" s="46">
        <v>902647261</v>
      </c>
      <c r="J305" s="43" t="s">
        <v>164</v>
      </c>
      <c r="K305" s="44">
        <v>46137</v>
      </c>
      <c r="L305" s="43" t="s">
        <v>5579</v>
      </c>
      <c r="M305" s="112" t="s">
        <v>323</v>
      </c>
      <c r="N305" s="112" t="s">
        <v>241</v>
      </c>
      <c r="O305" s="451">
        <v>46141</v>
      </c>
      <c r="P305" s="43"/>
      <c r="Q305" s="242" t="s">
        <v>5327</v>
      </c>
      <c r="R305" s="434"/>
      <c r="S305" s="434"/>
      <c r="T305" s="434"/>
      <c r="U305" s="434"/>
      <c r="V305" s="434"/>
      <c r="W305" s="434"/>
      <c r="X305" s="434"/>
    </row>
    <row r="306" spans="1:24" ht="15" customHeight="1">
      <c r="A306" s="206"/>
      <c r="B306" s="320">
        <v>304</v>
      </c>
      <c r="C306" s="43">
        <v>525294</v>
      </c>
      <c r="D306" s="1054">
        <v>15997081</v>
      </c>
      <c r="E306" s="648" t="s">
        <v>5617</v>
      </c>
      <c r="F306" s="43">
        <v>66</v>
      </c>
      <c r="G306" s="43" t="s">
        <v>5618</v>
      </c>
      <c r="H306" s="43" t="s">
        <v>461</v>
      </c>
      <c r="I306" s="43">
        <v>962810603</v>
      </c>
      <c r="J306" s="43" t="s">
        <v>421</v>
      </c>
      <c r="K306" s="44">
        <v>46137</v>
      </c>
      <c r="L306" s="43" t="s">
        <v>5619</v>
      </c>
      <c r="M306" s="112" t="s">
        <v>312</v>
      </c>
      <c r="N306" s="112" t="s">
        <v>317</v>
      </c>
      <c r="O306" s="451">
        <v>46141</v>
      </c>
      <c r="P306" s="43"/>
      <c r="Q306" s="43" t="s">
        <v>5327</v>
      </c>
      <c r="R306" s="434"/>
      <c r="S306" s="434"/>
      <c r="T306" s="434"/>
      <c r="U306" s="434"/>
      <c r="V306" s="434"/>
      <c r="W306" s="434"/>
      <c r="X306" s="434"/>
    </row>
    <row r="307" spans="1:24" ht="15" customHeight="1">
      <c r="A307" s="206"/>
      <c r="B307" s="472">
        <v>305</v>
      </c>
      <c r="C307" s="43">
        <v>123415</v>
      </c>
      <c r="D307" s="1054">
        <v>473327675</v>
      </c>
      <c r="E307" s="648" t="s">
        <v>5620</v>
      </c>
      <c r="F307" s="43">
        <v>49</v>
      </c>
      <c r="G307" s="43" t="s">
        <v>5621</v>
      </c>
      <c r="H307" s="43" t="s">
        <v>432</v>
      </c>
      <c r="I307" s="43">
        <v>975641979</v>
      </c>
      <c r="J307" s="43" t="s">
        <v>1209</v>
      </c>
      <c r="K307" s="43" t="s">
        <v>5601</v>
      </c>
      <c r="L307" s="43" t="s">
        <v>458</v>
      </c>
      <c r="M307" s="112" t="s">
        <v>260</v>
      </c>
      <c r="N307" s="112" t="s">
        <v>241</v>
      </c>
      <c r="O307" s="463">
        <v>46141</v>
      </c>
      <c r="P307" s="43"/>
      <c r="Q307" s="43" t="s">
        <v>4131</v>
      </c>
      <c r="R307" s="43"/>
      <c r="S307" s="43"/>
      <c r="T307" s="43"/>
      <c r="U307" s="43"/>
      <c r="V307" s="43"/>
      <c r="W307" s="43"/>
      <c r="X307" s="43"/>
    </row>
    <row r="308" spans="1:24" ht="15" customHeight="1">
      <c r="A308" s="206"/>
      <c r="B308" s="320">
        <v>306</v>
      </c>
      <c r="C308" s="43">
        <v>525297</v>
      </c>
      <c r="D308" s="1054">
        <v>15646014</v>
      </c>
      <c r="E308" s="648" t="s">
        <v>5622</v>
      </c>
      <c r="F308" s="43">
        <v>66</v>
      </c>
      <c r="G308" s="43" t="s">
        <v>5623</v>
      </c>
      <c r="H308" s="43" t="s">
        <v>278</v>
      </c>
      <c r="I308" s="43">
        <v>980650081</v>
      </c>
      <c r="J308" s="43" t="s">
        <v>238</v>
      </c>
      <c r="K308" s="43" t="s">
        <v>5601</v>
      </c>
      <c r="L308" s="955" t="s">
        <v>5624</v>
      </c>
      <c r="M308" s="112" t="s">
        <v>312</v>
      </c>
      <c r="N308" s="112" t="s">
        <v>317</v>
      </c>
      <c r="O308" s="451">
        <v>46141</v>
      </c>
      <c r="P308" s="244"/>
      <c r="Q308" s="242"/>
      <c r="R308" s="434"/>
      <c r="S308" s="434"/>
      <c r="T308" s="434"/>
      <c r="U308" s="434"/>
      <c r="V308" s="434"/>
      <c r="W308" s="434"/>
      <c r="X308" s="434"/>
    </row>
    <row r="309" spans="1:24" ht="15" customHeight="1">
      <c r="A309" s="503"/>
      <c r="B309" s="320">
        <v>307</v>
      </c>
      <c r="C309" s="112">
        <v>525303</v>
      </c>
      <c r="D309" s="1079">
        <v>42713395</v>
      </c>
      <c r="E309" s="745" t="s">
        <v>5625</v>
      </c>
      <c r="F309" s="112">
        <v>41</v>
      </c>
      <c r="G309" s="112" t="s">
        <v>5626</v>
      </c>
      <c r="H309" s="112" t="s">
        <v>461</v>
      </c>
      <c r="I309" s="112">
        <v>990331293</v>
      </c>
      <c r="J309" s="112" t="s">
        <v>162</v>
      </c>
      <c r="K309" s="112" t="s">
        <v>5601</v>
      </c>
      <c r="L309" s="1057" t="s">
        <v>458</v>
      </c>
      <c r="M309" s="112" t="s">
        <v>260</v>
      </c>
      <c r="N309" s="112" t="s">
        <v>241</v>
      </c>
      <c r="O309" s="451">
        <v>46141</v>
      </c>
      <c r="P309" s="876"/>
      <c r="Q309" s="242" t="s">
        <v>5327</v>
      </c>
      <c r="R309" s="434"/>
      <c r="S309" s="434"/>
      <c r="T309" s="434"/>
      <c r="U309" s="434"/>
      <c r="V309" s="434"/>
      <c r="W309" s="434"/>
      <c r="X309" s="434"/>
    </row>
    <row r="310" spans="1:24" ht="15" customHeight="1">
      <c r="A310" s="261">
        <v>46139</v>
      </c>
      <c r="B310" s="472">
        <v>308</v>
      </c>
      <c r="C310" s="43">
        <v>287197</v>
      </c>
      <c r="D310" s="1067">
        <v>22705470</v>
      </c>
      <c r="E310" s="726" t="s">
        <v>5627</v>
      </c>
      <c r="F310" s="664">
        <v>57</v>
      </c>
      <c r="G310" s="664" t="s">
        <v>5628</v>
      </c>
      <c r="H310" s="664" t="s">
        <v>237</v>
      </c>
      <c r="I310" s="664">
        <v>94214484</v>
      </c>
      <c r="J310" s="713" t="s">
        <v>429</v>
      </c>
      <c r="K310" s="44">
        <v>46139</v>
      </c>
      <c r="L310" s="43" t="s">
        <v>376</v>
      </c>
      <c r="M310" s="112" t="s">
        <v>230</v>
      </c>
      <c r="N310" s="112" t="s">
        <v>317</v>
      </c>
      <c r="O310" s="463">
        <v>46141</v>
      </c>
      <c r="P310" s="43"/>
      <c r="Q310" s="266" t="s">
        <v>5538</v>
      </c>
      <c r="R310" s="434"/>
      <c r="S310" s="434"/>
      <c r="T310" s="434"/>
      <c r="U310" s="434"/>
      <c r="V310" s="434"/>
      <c r="W310" s="434"/>
      <c r="X310" s="434"/>
    </row>
    <row r="311" spans="1:24" ht="15" customHeight="1">
      <c r="A311" s="206"/>
      <c r="B311" s="320">
        <v>309</v>
      </c>
      <c r="C311" s="43">
        <v>525347</v>
      </c>
      <c r="D311" s="1080">
        <v>15953731</v>
      </c>
      <c r="E311" s="648" t="s">
        <v>5629</v>
      </c>
      <c r="F311" s="43">
        <v>66</v>
      </c>
      <c r="G311" s="43" t="s">
        <v>5630</v>
      </c>
      <c r="H311" s="43" t="s">
        <v>461</v>
      </c>
      <c r="I311" s="43">
        <v>915253846</v>
      </c>
      <c r="J311" s="43" t="s">
        <v>162</v>
      </c>
      <c r="K311" s="44">
        <v>46139</v>
      </c>
      <c r="L311" s="955" t="s">
        <v>376</v>
      </c>
      <c r="M311" s="112" t="s">
        <v>230</v>
      </c>
      <c r="N311" s="112" t="s">
        <v>317</v>
      </c>
      <c r="O311" s="451">
        <v>46141</v>
      </c>
      <c r="P311" s="244"/>
      <c r="Q311" s="242" t="s">
        <v>5327</v>
      </c>
      <c r="R311" s="43"/>
      <c r="S311" s="43"/>
      <c r="T311" s="43"/>
      <c r="U311" s="43"/>
      <c r="V311" s="43"/>
      <c r="W311" s="43"/>
      <c r="X311" s="43"/>
    </row>
    <row r="312" spans="1:24" ht="15" customHeight="1">
      <c r="A312" s="206"/>
      <c r="B312" s="320">
        <v>310</v>
      </c>
      <c r="C312" s="43">
        <v>40752</v>
      </c>
      <c r="D312" s="1067">
        <v>10114224</v>
      </c>
      <c r="E312" s="726" t="s">
        <v>5631</v>
      </c>
      <c r="F312" s="664">
        <v>52</v>
      </c>
      <c r="G312" s="664" t="s">
        <v>5632</v>
      </c>
      <c r="H312" s="664" t="s">
        <v>278</v>
      </c>
      <c r="I312" s="664">
        <v>932449836</v>
      </c>
      <c r="J312" s="713" t="s">
        <v>238</v>
      </c>
      <c r="K312" s="44">
        <v>46139</v>
      </c>
      <c r="L312" s="43" t="s">
        <v>871</v>
      </c>
      <c r="M312" s="112" t="s">
        <v>312</v>
      </c>
      <c r="N312" s="112" t="s">
        <v>241</v>
      </c>
      <c r="O312" s="451">
        <v>46141</v>
      </c>
      <c r="P312" s="43"/>
      <c r="Q312" s="43"/>
      <c r="R312" s="434"/>
      <c r="S312" s="434"/>
      <c r="T312" s="434"/>
      <c r="U312" s="434"/>
      <c r="V312" s="434"/>
      <c r="W312" s="434"/>
      <c r="X312" s="434"/>
    </row>
    <row r="313" spans="1:24" ht="15" customHeight="1">
      <c r="A313" s="1081"/>
      <c r="B313" s="472">
        <v>311</v>
      </c>
      <c r="C313" s="43">
        <v>68010</v>
      </c>
      <c r="D313" s="1078">
        <v>15602800</v>
      </c>
      <c r="E313" s="648" t="s">
        <v>5633</v>
      </c>
      <c r="F313" s="43">
        <v>61</v>
      </c>
      <c r="G313" s="43" t="s">
        <v>5634</v>
      </c>
      <c r="H313" s="43" t="s">
        <v>278</v>
      </c>
      <c r="I313" s="43">
        <v>971620086</v>
      </c>
      <c r="J313" s="43" t="s">
        <v>238</v>
      </c>
      <c r="K313" s="44">
        <v>46139</v>
      </c>
      <c r="L313" s="43" t="s">
        <v>5635</v>
      </c>
      <c r="M313" s="112" t="s">
        <v>312</v>
      </c>
      <c r="N313" s="112" t="s">
        <v>317</v>
      </c>
      <c r="O313" s="451">
        <v>46141</v>
      </c>
      <c r="P313" s="43"/>
      <c r="Q313" s="43"/>
      <c r="R313" s="43"/>
      <c r="S313" s="43"/>
      <c r="T313" s="43"/>
      <c r="U313" s="43"/>
      <c r="V313" s="43"/>
      <c r="W313" s="43"/>
      <c r="X313" s="43"/>
    </row>
    <row r="314" spans="1:24" ht="15" customHeight="1">
      <c r="A314" s="206"/>
      <c r="B314" s="320">
        <v>312</v>
      </c>
      <c r="C314" s="43">
        <v>288154</v>
      </c>
      <c r="D314" s="1078">
        <v>43072529</v>
      </c>
      <c r="E314" s="648" t="s">
        <v>5636</v>
      </c>
      <c r="F314" s="43">
        <v>40</v>
      </c>
      <c r="G314" s="43" t="s">
        <v>5637</v>
      </c>
      <c r="H314" s="43" t="s">
        <v>278</v>
      </c>
      <c r="I314" s="43">
        <v>903300699</v>
      </c>
      <c r="J314" s="43" t="s">
        <v>238</v>
      </c>
      <c r="K314" s="44">
        <v>46139</v>
      </c>
      <c r="L314" s="955" t="s">
        <v>376</v>
      </c>
      <c r="M314" s="112" t="s">
        <v>230</v>
      </c>
      <c r="N314" s="112" t="s">
        <v>317</v>
      </c>
      <c r="O314" s="451">
        <v>46141</v>
      </c>
      <c r="P314" s="244"/>
      <c r="Q314" s="242"/>
      <c r="R314" s="43"/>
      <c r="S314" s="43"/>
      <c r="T314" s="43"/>
      <c r="U314" s="43"/>
      <c r="V314" s="43"/>
      <c r="W314" s="43"/>
      <c r="X314" s="43"/>
    </row>
    <row r="315" spans="1:24" ht="15" customHeight="1">
      <c r="A315" s="206"/>
      <c r="B315" s="320">
        <v>313</v>
      </c>
      <c r="C315" s="43">
        <v>149399</v>
      </c>
      <c r="D315" s="1078">
        <v>15640645</v>
      </c>
      <c r="E315" s="648" t="s">
        <v>5638</v>
      </c>
      <c r="F315" s="43">
        <v>57</v>
      </c>
      <c r="G315" s="43" t="s">
        <v>5639</v>
      </c>
      <c r="H315" s="43" t="s">
        <v>278</v>
      </c>
      <c r="I315" s="43">
        <v>957442870</v>
      </c>
      <c r="J315" s="43" t="s">
        <v>238</v>
      </c>
      <c r="K315" s="44">
        <v>46139</v>
      </c>
      <c r="L315" s="955" t="s">
        <v>2683</v>
      </c>
      <c r="M315" s="112" t="s">
        <v>312</v>
      </c>
      <c r="N315" s="112" t="s">
        <v>317</v>
      </c>
      <c r="O315" s="451">
        <v>46141</v>
      </c>
      <c r="P315" s="244"/>
      <c r="Q315" s="242"/>
      <c r="R315" s="434"/>
      <c r="S315" s="434"/>
      <c r="T315" s="434"/>
      <c r="U315" s="434"/>
      <c r="V315" s="434"/>
      <c r="W315" s="434"/>
      <c r="X315" s="434"/>
    </row>
    <row r="316" spans="1:24" ht="15" customHeight="1">
      <c r="A316" s="206"/>
      <c r="B316" s="472">
        <v>314</v>
      </c>
      <c r="C316" s="43">
        <v>204176</v>
      </c>
      <c r="D316" s="1078">
        <v>32284724</v>
      </c>
      <c r="E316" s="648" t="s">
        <v>5640</v>
      </c>
      <c r="F316" s="43">
        <v>54</v>
      </c>
      <c r="G316" s="43" t="s">
        <v>5641</v>
      </c>
      <c r="H316" s="43" t="s">
        <v>246</v>
      </c>
      <c r="I316" s="43">
        <v>984158853</v>
      </c>
      <c r="J316" s="43" t="s">
        <v>238</v>
      </c>
      <c r="K316" s="44">
        <v>46139</v>
      </c>
      <c r="L316" s="955" t="s">
        <v>376</v>
      </c>
      <c r="M316" s="112" t="s">
        <v>230</v>
      </c>
      <c r="N316" s="112" t="s">
        <v>317</v>
      </c>
      <c r="O316" s="451">
        <v>46141</v>
      </c>
      <c r="P316" s="244"/>
      <c r="Q316" s="242"/>
      <c r="R316" s="434"/>
      <c r="S316" s="434"/>
      <c r="T316" s="434"/>
      <c r="U316" s="434"/>
      <c r="V316" s="434"/>
      <c r="W316" s="434"/>
      <c r="X316" s="434"/>
    </row>
    <row r="317" spans="1:24" ht="15" customHeight="1">
      <c r="A317" s="271"/>
      <c r="B317" s="320">
        <v>315</v>
      </c>
      <c r="C317" s="244">
        <v>230070</v>
      </c>
      <c r="D317" s="1082">
        <v>15761016</v>
      </c>
      <c r="E317" s="726" t="s">
        <v>5642</v>
      </c>
      <c r="F317" s="1083">
        <v>48</v>
      </c>
      <c r="G317" s="1083" t="s">
        <v>5643</v>
      </c>
      <c r="H317" s="1083" t="s">
        <v>326</v>
      </c>
      <c r="I317" s="1083">
        <v>953074848</v>
      </c>
      <c r="J317" s="1084" t="s">
        <v>384</v>
      </c>
      <c r="K317" s="584">
        <v>46139</v>
      </c>
      <c r="L317" s="244" t="s">
        <v>1521</v>
      </c>
      <c r="M317" s="112" t="s">
        <v>312</v>
      </c>
      <c r="N317" s="112" t="s">
        <v>241</v>
      </c>
      <c r="O317" s="956">
        <v>46142</v>
      </c>
      <c r="P317" s="266"/>
      <c r="Q317" s="266" t="s">
        <v>5342</v>
      </c>
      <c r="R317" s="43"/>
      <c r="S317" s="43"/>
      <c r="T317" s="43"/>
      <c r="U317" s="43"/>
      <c r="V317" s="43"/>
      <c r="W317" s="43"/>
      <c r="X317" s="43"/>
    </row>
    <row r="318" spans="1:24" ht="15" customHeight="1">
      <c r="A318" s="262" t="s">
        <v>513</v>
      </c>
      <c r="B318" s="320">
        <v>316</v>
      </c>
      <c r="C318" s="43">
        <v>369200</v>
      </c>
      <c r="D318" s="1085" t="s">
        <v>5644</v>
      </c>
      <c r="E318" s="648" t="s">
        <v>5645</v>
      </c>
      <c r="F318" s="43">
        <v>50</v>
      </c>
      <c r="G318" s="43" t="s">
        <v>5646</v>
      </c>
      <c r="H318" s="1083" t="s">
        <v>326</v>
      </c>
      <c r="I318" s="43">
        <v>946594072</v>
      </c>
      <c r="J318" s="43" t="s">
        <v>375</v>
      </c>
      <c r="K318" s="44">
        <v>46139</v>
      </c>
      <c r="L318" s="43" t="s">
        <v>388</v>
      </c>
      <c r="M318" s="112" t="s">
        <v>230</v>
      </c>
      <c r="N318" s="112" t="s">
        <v>241</v>
      </c>
      <c r="O318" s="463">
        <v>46142</v>
      </c>
      <c r="P318" s="43"/>
      <c r="Q318" s="43" t="s">
        <v>5647</v>
      </c>
      <c r="R318" s="43"/>
      <c r="S318" s="43"/>
      <c r="T318" s="43"/>
      <c r="U318" s="43"/>
      <c r="V318" s="43"/>
      <c r="W318" s="43"/>
      <c r="X318" s="43"/>
    </row>
    <row r="319" spans="1:24" ht="15" customHeight="1">
      <c r="A319" s="206"/>
      <c r="B319" s="472">
        <v>317</v>
      </c>
      <c r="C319" s="43">
        <v>525368</v>
      </c>
      <c r="D319" s="1080">
        <v>42701158</v>
      </c>
      <c r="E319" s="726" t="s">
        <v>5648</v>
      </c>
      <c r="F319" s="664">
        <v>41</v>
      </c>
      <c r="G319" s="664" t="s">
        <v>5649</v>
      </c>
      <c r="H319" s="664" t="s">
        <v>5530</v>
      </c>
      <c r="I319" s="664">
        <v>942867299</v>
      </c>
      <c r="J319" s="713" t="s">
        <v>175</v>
      </c>
      <c r="K319" s="44">
        <v>46139</v>
      </c>
      <c r="L319" s="43" t="s">
        <v>376</v>
      </c>
      <c r="M319" s="112" t="s">
        <v>230</v>
      </c>
      <c r="N319" s="112" t="s">
        <v>317</v>
      </c>
      <c r="O319" s="451">
        <v>46141</v>
      </c>
      <c r="P319" s="43"/>
      <c r="Q319" s="43" t="s">
        <v>5384</v>
      </c>
      <c r="R319" s="43"/>
      <c r="S319" s="43"/>
      <c r="T319" s="43"/>
      <c r="U319" s="43"/>
      <c r="V319" s="43"/>
      <c r="W319" s="43"/>
      <c r="X319" s="43"/>
    </row>
    <row r="320" spans="1:24" ht="15" customHeight="1">
      <c r="A320" s="206"/>
      <c r="B320" s="320">
        <v>318</v>
      </c>
      <c r="C320" s="43">
        <v>186794</v>
      </c>
      <c r="D320" s="1054">
        <v>15737181</v>
      </c>
      <c r="E320" s="648" t="s">
        <v>5650</v>
      </c>
      <c r="F320" s="43">
        <v>51</v>
      </c>
      <c r="G320" s="43" t="s">
        <v>5651</v>
      </c>
      <c r="H320" s="43" t="s">
        <v>237</v>
      </c>
      <c r="I320" s="43">
        <v>948253826</v>
      </c>
      <c r="J320" s="43" t="s">
        <v>238</v>
      </c>
      <c r="K320" s="44">
        <v>46139</v>
      </c>
      <c r="L320" s="955" t="s">
        <v>388</v>
      </c>
      <c r="M320" s="112" t="s">
        <v>230</v>
      </c>
      <c r="N320" s="112" t="s">
        <v>241</v>
      </c>
      <c r="O320" s="451">
        <v>46141</v>
      </c>
      <c r="P320" s="244"/>
      <c r="Q320" s="242"/>
      <c r="R320" s="43"/>
      <c r="S320" s="43"/>
      <c r="T320" s="43"/>
      <c r="U320" s="43"/>
      <c r="V320" s="43"/>
      <c r="W320" s="43"/>
      <c r="X320" s="43"/>
    </row>
    <row r="321" spans="1:24" ht="15" customHeight="1">
      <c r="A321" s="1081"/>
      <c r="B321" s="320">
        <v>319</v>
      </c>
      <c r="C321" s="43">
        <v>45233</v>
      </c>
      <c r="D321" s="1054">
        <v>15743043</v>
      </c>
      <c r="E321" s="648" t="s">
        <v>5652</v>
      </c>
      <c r="F321" s="43">
        <v>51</v>
      </c>
      <c r="G321" s="43" t="s">
        <v>5653</v>
      </c>
      <c r="H321" s="43" t="s">
        <v>301</v>
      </c>
      <c r="I321" s="43">
        <v>950772147</v>
      </c>
      <c r="J321" s="43" t="s">
        <v>1483</v>
      </c>
      <c r="K321" s="584">
        <v>46139</v>
      </c>
      <c r="L321" s="43" t="s">
        <v>376</v>
      </c>
      <c r="M321" s="112" t="s">
        <v>230</v>
      </c>
      <c r="N321" s="112" t="s">
        <v>317</v>
      </c>
      <c r="O321" s="463">
        <v>46142</v>
      </c>
      <c r="P321" s="43"/>
      <c r="Q321" s="43" t="s">
        <v>5654</v>
      </c>
      <c r="R321" s="43"/>
      <c r="S321" s="43"/>
      <c r="T321" s="43"/>
      <c r="U321" s="43"/>
      <c r="V321" s="43"/>
      <c r="W321" s="43"/>
      <c r="X321" s="43"/>
    </row>
    <row r="322" spans="1:24" ht="15" customHeight="1">
      <c r="A322" s="1086"/>
      <c r="B322" s="472">
        <v>320</v>
      </c>
      <c r="C322" s="1087">
        <v>220998</v>
      </c>
      <c r="D322" s="1088">
        <v>15741283</v>
      </c>
      <c r="E322" s="1089" t="s">
        <v>5655</v>
      </c>
      <c r="F322" s="1087">
        <v>51</v>
      </c>
      <c r="G322" s="1087" t="s">
        <v>5656</v>
      </c>
      <c r="H322" s="1087" t="s">
        <v>301</v>
      </c>
      <c r="I322" s="1087">
        <v>953095725</v>
      </c>
      <c r="J322" s="1087" t="s">
        <v>1483</v>
      </c>
      <c r="K322" s="584">
        <v>46139</v>
      </c>
      <c r="L322" s="1090" t="s">
        <v>388</v>
      </c>
      <c r="M322" s="112" t="s">
        <v>230</v>
      </c>
      <c r="N322" s="112" t="s">
        <v>241</v>
      </c>
      <c r="O322" s="956">
        <v>46142</v>
      </c>
      <c r="P322" s="266"/>
      <c r="Q322" s="266" t="s">
        <v>5654</v>
      </c>
      <c r="R322" s="43"/>
      <c r="S322" s="43"/>
      <c r="T322" s="43"/>
      <c r="U322" s="43"/>
      <c r="V322" s="43"/>
      <c r="W322" s="43"/>
      <c r="X322" s="43"/>
    </row>
    <row r="323" spans="1:24" ht="15" customHeight="1">
      <c r="A323" s="206"/>
      <c r="B323" s="320">
        <v>321</v>
      </c>
      <c r="C323" s="43">
        <v>93820</v>
      </c>
      <c r="D323" s="1054">
        <v>15695230</v>
      </c>
      <c r="E323" s="648" t="s">
        <v>5657</v>
      </c>
      <c r="F323" s="43">
        <v>65</v>
      </c>
      <c r="G323" s="43" t="s">
        <v>5658</v>
      </c>
      <c r="H323" s="43" t="s">
        <v>246</v>
      </c>
      <c r="I323" s="43">
        <v>997267487</v>
      </c>
      <c r="J323" s="43" t="s">
        <v>238</v>
      </c>
      <c r="K323" s="584">
        <v>46139</v>
      </c>
      <c r="L323" s="955" t="s">
        <v>4742</v>
      </c>
      <c r="M323" s="112" t="s">
        <v>312</v>
      </c>
      <c r="N323" s="112" t="s">
        <v>317</v>
      </c>
      <c r="O323" s="451">
        <v>46141</v>
      </c>
      <c r="P323" s="244"/>
      <c r="Q323" s="242"/>
      <c r="R323" s="43"/>
      <c r="S323" s="43"/>
      <c r="T323" s="43"/>
      <c r="U323" s="43"/>
      <c r="V323" s="43"/>
      <c r="W323" s="43"/>
      <c r="X323" s="43"/>
    </row>
    <row r="324" spans="1:24" ht="15" customHeight="1">
      <c r="A324" s="261">
        <v>46140</v>
      </c>
      <c r="B324" s="320">
        <v>322</v>
      </c>
      <c r="C324" s="43">
        <v>299870</v>
      </c>
      <c r="D324" s="1054">
        <v>15731389</v>
      </c>
      <c r="E324" s="648" t="s">
        <v>5659</v>
      </c>
      <c r="F324" s="43">
        <v>55</v>
      </c>
      <c r="G324" s="43" t="s">
        <v>5660</v>
      </c>
      <c r="H324" s="43" t="s">
        <v>301</v>
      </c>
      <c r="I324" s="43">
        <v>972114256</v>
      </c>
      <c r="J324" s="43" t="s">
        <v>1483</v>
      </c>
      <c r="K324" s="44">
        <v>46140</v>
      </c>
      <c r="L324" s="43" t="s">
        <v>376</v>
      </c>
      <c r="M324" s="43" t="s">
        <v>230</v>
      </c>
      <c r="N324" s="43" t="s">
        <v>317</v>
      </c>
      <c r="O324" s="956">
        <v>46142</v>
      </c>
      <c r="P324" s="266"/>
      <c r="Q324" s="266" t="s">
        <v>5654</v>
      </c>
      <c r="R324" s="43"/>
      <c r="S324" s="43"/>
      <c r="T324" s="43"/>
      <c r="U324" s="43"/>
      <c r="V324" s="43"/>
      <c r="W324" s="43"/>
      <c r="X324" s="43"/>
    </row>
    <row r="325" spans="1:24" ht="15" customHeight="1">
      <c r="A325" s="1091"/>
      <c r="B325" s="472">
        <v>323</v>
      </c>
      <c r="C325" s="434">
        <v>153832</v>
      </c>
      <c r="D325" s="1085">
        <v>10815359</v>
      </c>
      <c r="E325" s="1092" t="s">
        <v>5661</v>
      </c>
      <c r="F325" s="434">
        <v>58</v>
      </c>
      <c r="G325" s="434" t="s">
        <v>5662</v>
      </c>
      <c r="H325" s="434" t="s">
        <v>237</v>
      </c>
      <c r="I325" s="434">
        <v>980078691</v>
      </c>
      <c r="J325" s="43" t="s">
        <v>429</v>
      </c>
      <c r="K325" s="44">
        <v>46140</v>
      </c>
      <c r="L325" s="43" t="s">
        <v>5663</v>
      </c>
      <c r="M325" s="43" t="s">
        <v>312</v>
      </c>
      <c r="N325" s="43" t="s">
        <v>317</v>
      </c>
      <c r="O325" s="463">
        <v>46141</v>
      </c>
      <c r="P325" s="43"/>
      <c r="Q325" s="266" t="s">
        <v>5538</v>
      </c>
      <c r="R325" s="43"/>
      <c r="S325" s="43"/>
      <c r="T325" s="43"/>
      <c r="U325" s="43"/>
      <c r="V325" s="43"/>
      <c r="W325" s="43"/>
      <c r="X325" s="43"/>
    </row>
    <row r="326" spans="1:24" ht="15" customHeight="1">
      <c r="A326" s="206"/>
      <c r="B326" s="320">
        <v>324</v>
      </c>
      <c r="C326" s="43">
        <v>525378</v>
      </c>
      <c r="D326" s="1054">
        <v>42701329</v>
      </c>
      <c r="E326" s="648" t="s">
        <v>5664</v>
      </c>
      <c r="F326" s="43">
        <v>41</v>
      </c>
      <c r="G326" s="43" t="s">
        <v>5665</v>
      </c>
      <c r="H326" s="43" t="s">
        <v>461</v>
      </c>
      <c r="I326" s="43">
        <v>929214515</v>
      </c>
      <c r="J326" s="43" t="s">
        <v>162</v>
      </c>
      <c r="K326" s="44">
        <v>46140</v>
      </c>
      <c r="L326" s="955" t="s">
        <v>2823</v>
      </c>
      <c r="M326" s="43" t="s">
        <v>312</v>
      </c>
      <c r="N326" s="43" t="s">
        <v>317</v>
      </c>
      <c r="O326" s="451">
        <v>46141</v>
      </c>
      <c r="P326" s="244"/>
      <c r="Q326" s="242" t="s">
        <v>5327</v>
      </c>
      <c r="R326" s="43"/>
      <c r="S326" s="43"/>
      <c r="T326" s="43"/>
      <c r="U326" s="43"/>
      <c r="V326" s="43"/>
      <c r="W326" s="43"/>
      <c r="X326" s="43"/>
    </row>
    <row r="327" spans="1:24" ht="15" customHeight="1">
      <c r="A327" s="206"/>
      <c r="B327" s="320">
        <v>325</v>
      </c>
      <c r="C327" s="43">
        <v>113427</v>
      </c>
      <c r="D327" s="1054">
        <v>41731695</v>
      </c>
      <c r="E327" s="648" t="s">
        <v>5666</v>
      </c>
      <c r="F327" s="43">
        <v>43</v>
      </c>
      <c r="G327" s="43" t="s">
        <v>5667</v>
      </c>
      <c r="H327" s="43" t="s">
        <v>301</v>
      </c>
      <c r="I327" s="43">
        <v>987490211</v>
      </c>
      <c r="J327" s="43" t="s">
        <v>1483</v>
      </c>
      <c r="K327" s="44">
        <v>46140</v>
      </c>
      <c r="L327" s="43" t="s">
        <v>5668</v>
      </c>
      <c r="M327" s="43" t="s">
        <v>312</v>
      </c>
      <c r="N327" s="43" t="s">
        <v>1413</v>
      </c>
      <c r="O327" s="956">
        <v>46142</v>
      </c>
      <c r="P327" s="266"/>
      <c r="Q327" s="266" t="s">
        <v>5654</v>
      </c>
      <c r="R327" s="43"/>
      <c r="S327" s="43"/>
      <c r="T327" s="43"/>
      <c r="U327" s="43"/>
      <c r="V327" s="43"/>
      <c r="W327" s="43"/>
      <c r="X327" s="43"/>
    </row>
    <row r="328" spans="1:24" ht="15" customHeight="1">
      <c r="A328" s="206"/>
      <c r="B328" s="472">
        <v>326</v>
      </c>
      <c r="C328" s="43">
        <v>143567</v>
      </c>
      <c r="D328" s="1054">
        <v>15730154</v>
      </c>
      <c r="E328" s="648" t="s">
        <v>5669</v>
      </c>
      <c r="F328" s="43">
        <v>58</v>
      </c>
      <c r="G328" s="43" t="s">
        <v>5670</v>
      </c>
      <c r="H328" s="43" t="s">
        <v>301</v>
      </c>
      <c r="I328" s="43">
        <v>994741296</v>
      </c>
      <c r="J328" s="43" t="s">
        <v>1483</v>
      </c>
      <c r="K328" s="44">
        <v>46140</v>
      </c>
      <c r="L328" s="43" t="s">
        <v>5671</v>
      </c>
      <c r="M328" s="43" t="s">
        <v>312</v>
      </c>
      <c r="N328" s="43" t="s">
        <v>317</v>
      </c>
      <c r="O328" s="956">
        <v>46142</v>
      </c>
      <c r="P328" s="266"/>
      <c r="Q328" s="266" t="s">
        <v>5654</v>
      </c>
      <c r="R328" s="43"/>
      <c r="S328" s="43"/>
      <c r="T328" s="43"/>
      <c r="U328" s="43"/>
      <c r="V328" s="43"/>
      <c r="W328" s="43"/>
      <c r="X328" s="43"/>
    </row>
    <row r="329" spans="1:24" ht="15" customHeight="1">
      <c r="A329" s="206"/>
      <c r="B329" s="320">
        <v>327</v>
      </c>
      <c r="C329" s="43">
        <v>525380</v>
      </c>
      <c r="D329" s="1094">
        <v>15864099</v>
      </c>
      <c r="E329" s="710" t="s">
        <v>5672</v>
      </c>
      <c r="F329" s="1095">
        <v>49</v>
      </c>
      <c r="G329" s="434" t="s">
        <v>5673</v>
      </c>
      <c r="H329" s="434" t="s">
        <v>2724</v>
      </c>
      <c r="I329" s="1096">
        <v>952508365</v>
      </c>
      <c r="J329" s="1097" t="s">
        <v>175</v>
      </c>
      <c r="K329" s="44">
        <v>46140</v>
      </c>
      <c r="L329" s="43" t="s">
        <v>376</v>
      </c>
      <c r="M329" s="43" t="s">
        <v>230</v>
      </c>
      <c r="N329" s="43" t="s">
        <v>317</v>
      </c>
      <c r="O329" s="451">
        <v>46141</v>
      </c>
      <c r="P329" s="43"/>
      <c r="Q329" s="43" t="s">
        <v>5384</v>
      </c>
      <c r="R329" s="43"/>
      <c r="S329" s="43"/>
      <c r="T329" s="43"/>
      <c r="U329" s="43"/>
      <c r="V329" s="43"/>
      <c r="W329" s="43"/>
      <c r="X329" s="43"/>
    </row>
    <row r="330" spans="1:24" ht="15" customHeight="1">
      <c r="A330" s="206"/>
      <c r="B330" s="320">
        <v>328</v>
      </c>
      <c r="C330" s="43"/>
      <c r="D330" s="1085" t="s">
        <v>5674</v>
      </c>
      <c r="E330" s="648" t="s">
        <v>5675</v>
      </c>
      <c r="F330" s="43">
        <v>57</v>
      </c>
      <c r="G330" s="43" t="s">
        <v>5676</v>
      </c>
      <c r="H330" s="43" t="s">
        <v>2828</v>
      </c>
      <c r="I330" s="43">
        <v>925638100</v>
      </c>
      <c r="J330" s="43" t="s">
        <v>238</v>
      </c>
      <c r="K330" s="44">
        <v>46140</v>
      </c>
      <c r="L330" s="955" t="s">
        <v>5677</v>
      </c>
      <c r="M330" s="43" t="s">
        <v>260</v>
      </c>
      <c r="N330" s="43" t="s">
        <v>5678</v>
      </c>
      <c r="O330" s="451">
        <v>46142</v>
      </c>
      <c r="P330" s="584">
        <v>46146</v>
      </c>
      <c r="Q330" s="253">
        <v>46146</v>
      </c>
      <c r="R330" s="43" t="s">
        <v>5679</v>
      </c>
      <c r="S330" s="434"/>
      <c r="T330" s="434"/>
      <c r="U330" s="434"/>
      <c r="V330" s="434"/>
      <c r="W330" s="434"/>
      <c r="X330" s="434"/>
    </row>
    <row r="331" spans="1:24" ht="15" customHeight="1">
      <c r="A331" s="206"/>
      <c r="B331" s="472">
        <v>329</v>
      </c>
      <c r="C331" s="43">
        <v>130211</v>
      </c>
      <c r="D331" s="1054">
        <v>43087853</v>
      </c>
      <c r="E331" s="648" t="s">
        <v>5680</v>
      </c>
      <c r="F331" s="43">
        <v>40</v>
      </c>
      <c r="G331" s="43" t="s">
        <v>5681</v>
      </c>
      <c r="H331" s="43" t="s">
        <v>237</v>
      </c>
      <c r="I331" s="43">
        <v>925702802</v>
      </c>
      <c r="J331" s="43" t="s">
        <v>1105</v>
      </c>
      <c r="K331" s="44">
        <v>46140</v>
      </c>
      <c r="L331" s="43" t="s">
        <v>376</v>
      </c>
      <c r="M331" s="43" t="s">
        <v>230</v>
      </c>
      <c r="N331" s="43" t="s">
        <v>317</v>
      </c>
      <c r="O331" s="762">
        <v>46142</v>
      </c>
      <c r="P331" s="269"/>
      <c r="Q331" s="1059" t="s">
        <v>4503</v>
      </c>
      <c r="R331" s="43"/>
      <c r="S331" s="434"/>
      <c r="T331" s="434"/>
      <c r="U331" s="434"/>
      <c r="V331" s="434"/>
      <c r="W331" s="434"/>
      <c r="X331" s="434"/>
    </row>
    <row r="332" spans="1:24" ht="15" customHeight="1">
      <c r="A332" s="206"/>
      <c r="B332" s="320">
        <v>330</v>
      </c>
      <c r="C332" s="43">
        <v>485167</v>
      </c>
      <c r="D332" s="1054" t="s">
        <v>5682</v>
      </c>
      <c r="E332" s="648" t="s">
        <v>5683</v>
      </c>
      <c r="F332" s="43">
        <v>41</v>
      </c>
      <c r="G332" s="43" t="s">
        <v>5684</v>
      </c>
      <c r="H332" s="43" t="s">
        <v>5685</v>
      </c>
      <c r="I332" s="43">
        <v>970599635</v>
      </c>
      <c r="J332" s="43" t="s">
        <v>1312</v>
      </c>
      <c r="K332" s="44">
        <v>46140</v>
      </c>
      <c r="L332" s="955" t="s">
        <v>5671</v>
      </c>
      <c r="M332" s="43" t="s">
        <v>312</v>
      </c>
      <c r="N332" s="43" t="s">
        <v>317</v>
      </c>
      <c r="O332" s="448">
        <v>46142</v>
      </c>
      <c r="P332" s="244"/>
      <c r="Q332" s="242" t="s">
        <v>4131</v>
      </c>
      <c r="R332" s="43"/>
      <c r="S332" s="434"/>
      <c r="T332" s="434"/>
      <c r="U332" s="434"/>
      <c r="V332" s="434"/>
      <c r="W332" s="434"/>
      <c r="X332" s="434"/>
    </row>
    <row r="333" spans="1:24" ht="15" customHeight="1">
      <c r="A333" s="206"/>
      <c r="B333" s="320">
        <v>331</v>
      </c>
      <c r="C333" s="43">
        <v>140071</v>
      </c>
      <c r="D333" s="1054" t="s">
        <v>5686</v>
      </c>
      <c r="E333" s="648" t="s">
        <v>5687</v>
      </c>
      <c r="F333" s="43">
        <v>54</v>
      </c>
      <c r="G333" s="43" t="s">
        <v>5688</v>
      </c>
      <c r="H333" s="43" t="s">
        <v>288</v>
      </c>
      <c r="I333" s="43">
        <v>965680911</v>
      </c>
      <c r="J333" s="43" t="s">
        <v>238</v>
      </c>
      <c r="K333" s="44">
        <v>46140</v>
      </c>
      <c r="L333" s="955" t="s">
        <v>516</v>
      </c>
      <c r="M333" s="43" t="s">
        <v>312</v>
      </c>
      <c r="N333" s="43" t="s">
        <v>317</v>
      </c>
      <c r="O333" s="451">
        <v>46141</v>
      </c>
      <c r="P333" s="244"/>
      <c r="Q333" s="242"/>
      <c r="R333" s="43"/>
      <c r="S333" s="434"/>
      <c r="T333" s="434"/>
      <c r="U333" s="434"/>
      <c r="V333" s="434"/>
      <c r="W333" s="434"/>
      <c r="X333" s="434"/>
    </row>
    <row r="334" spans="1:24" ht="15" customHeight="1">
      <c r="A334" s="262" t="s">
        <v>513</v>
      </c>
      <c r="B334" s="472">
        <v>332</v>
      </c>
      <c r="C334" s="43">
        <v>170727</v>
      </c>
      <c r="D334" s="1054" t="s">
        <v>5689</v>
      </c>
      <c r="E334" s="648" t="s">
        <v>5690</v>
      </c>
      <c r="F334" s="43">
        <v>45</v>
      </c>
      <c r="G334" s="43" t="s">
        <v>5691</v>
      </c>
      <c r="H334" s="43" t="s">
        <v>222</v>
      </c>
      <c r="I334" s="43">
        <v>934468820</v>
      </c>
      <c r="J334" s="43" t="s">
        <v>588</v>
      </c>
      <c r="K334" s="44">
        <v>46140</v>
      </c>
      <c r="L334" s="1098" t="s">
        <v>458</v>
      </c>
      <c r="M334" s="1061" t="s">
        <v>260</v>
      </c>
      <c r="N334" s="670" t="s">
        <v>1413</v>
      </c>
      <c r="O334" s="1139">
        <v>46117</v>
      </c>
      <c r="P334" s="244"/>
      <c r="Q334" s="242" t="s">
        <v>5692</v>
      </c>
      <c r="R334" s="43"/>
      <c r="S334" s="434"/>
      <c r="T334" s="434"/>
      <c r="U334" s="434"/>
      <c r="V334" s="434"/>
      <c r="W334" s="434"/>
      <c r="X334" s="434"/>
    </row>
    <row r="335" spans="1:24" ht="15" customHeight="1">
      <c r="A335" s="261">
        <v>46141</v>
      </c>
      <c r="B335" s="320">
        <v>333</v>
      </c>
      <c r="C335" s="43">
        <v>2812</v>
      </c>
      <c r="D335" s="43">
        <v>15766302</v>
      </c>
      <c r="E335" s="648" t="s">
        <v>5693</v>
      </c>
      <c r="F335" s="43">
        <v>47</v>
      </c>
      <c r="G335" s="43" t="s">
        <v>5694</v>
      </c>
      <c r="H335" s="43" t="s">
        <v>278</v>
      </c>
      <c r="I335" s="43">
        <v>933782357</v>
      </c>
      <c r="J335" s="43" t="s">
        <v>238</v>
      </c>
      <c r="K335" s="44">
        <v>46141</v>
      </c>
      <c r="L335" s="1140" t="s">
        <v>811</v>
      </c>
      <c r="M335" s="1061" t="s">
        <v>230</v>
      </c>
      <c r="N335" s="1061" t="s">
        <v>1413</v>
      </c>
      <c r="O335" s="1141">
        <v>46142</v>
      </c>
      <c r="P335" s="43"/>
      <c r="Q335" s="43"/>
      <c r="R335" s="43"/>
      <c r="S335" s="434"/>
      <c r="T335" s="434"/>
      <c r="U335" s="434"/>
      <c r="V335" s="434"/>
      <c r="W335" s="434"/>
      <c r="X335" s="434"/>
    </row>
    <row r="336" spans="1:24" ht="15" customHeight="1">
      <c r="A336" s="206"/>
      <c r="B336" s="320">
        <v>334</v>
      </c>
      <c r="C336" s="43">
        <v>80668</v>
      </c>
      <c r="D336" s="1054" t="s">
        <v>5695</v>
      </c>
      <c r="E336" s="648" t="s">
        <v>5696</v>
      </c>
      <c r="F336" s="43">
        <v>48</v>
      </c>
      <c r="G336" s="43" t="s">
        <v>5697</v>
      </c>
      <c r="H336" s="43"/>
      <c r="I336" s="43">
        <v>982353723</v>
      </c>
      <c r="J336" s="43" t="s">
        <v>238</v>
      </c>
      <c r="K336" s="44">
        <v>46141</v>
      </c>
      <c r="L336" s="1060" t="s">
        <v>5698</v>
      </c>
      <c r="M336" s="1061" t="s">
        <v>323</v>
      </c>
      <c r="N336" s="670" t="s">
        <v>1413</v>
      </c>
      <c r="O336" s="1141">
        <v>46142</v>
      </c>
      <c r="P336" s="244"/>
      <c r="Q336" s="242"/>
      <c r="R336" s="43"/>
      <c r="S336" s="434"/>
      <c r="T336" s="434"/>
      <c r="U336" s="434"/>
      <c r="V336" s="434"/>
      <c r="W336" s="434"/>
      <c r="X336" s="434"/>
    </row>
    <row r="337" spans="1:24" ht="15" customHeight="1">
      <c r="A337" s="206"/>
      <c r="B337" s="472">
        <v>335</v>
      </c>
      <c r="C337" s="43">
        <v>525424</v>
      </c>
      <c r="D337" s="1054" t="s">
        <v>5699</v>
      </c>
      <c r="E337" s="648" t="s">
        <v>5700</v>
      </c>
      <c r="F337" s="43">
        <v>46</v>
      </c>
      <c r="G337" s="43" t="s">
        <v>5701</v>
      </c>
      <c r="H337" s="43" t="s">
        <v>461</v>
      </c>
      <c r="I337" s="43" t="s">
        <v>5702</v>
      </c>
      <c r="J337" s="43" t="s">
        <v>162</v>
      </c>
      <c r="K337" s="44">
        <v>46141</v>
      </c>
      <c r="L337" s="1060" t="s">
        <v>458</v>
      </c>
      <c r="M337" s="1061" t="s">
        <v>260</v>
      </c>
      <c r="N337" s="670" t="s">
        <v>1413</v>
      </c>
      <c r="O337" s="1141">
        <v>46142</v>
      </c>
      <c r="P337" s="244"/>
      <c r="Q337" s="242" t="s">
        <v>5703</v>
      </c>
      <c r="R337" s="43"/>
      <c r="S337" s="434"/>
      <c r="T337" s="434"/>
      <c r="U337" s="434"/>
      <c r="V337" s="434"/>
      <c r="W337" s="434"/>
      <c r="X337" s="434"/>
    </row>
    <row r="338" spans="1:24" ht="15" customHeight="1">
      <c r="A338" s="1091"/>
      <c r="B338" s="320">
        <v>336</v>
      </c>
      <c r="C338" s="43">
        <v>25425</v>
      </c>
      <c r="D338" s="1054" t="s">
        <v>5704</v>
      </c>
      <c r="E338" s="648" t="s">
        <v>5705</v>
      </c>
      <c r="F338" s="43">
        <v>60</v>
      </c>
      <c r="G338" s="43" t="s">
        <v>5706</v>
      </c>
      <c r="H338" s="43" t="s">
        <v>271</v>
      </c>
      <c r="I338" s="43">
        <v>943395126</v>
      </c>
      <c r="J338" s="43" t="s">
        <v>1620</v>
      </c>
      <c r="K338" s="44">
        <v>46141</v>
      </c>
      <c r="L338" s="1060" t="s">
        <v>5707</v>
      </c>
      <c r="M338" s="1061" t="s">
        <v>312</v>
      </c>
      <c r="N338" s="1061" t="s">
        <v>317</v>
      </c>
      <c r="O338" s="1141">
        <v>46142</v>
      </c>
      <c r="P338" s="244"/>
      <c r="Q338" s="242" t="s">
        <v>5703</v>
      </c>
      <c r="R338" s="43"/>
      <c r="S338" s="434"/>
      <c r="T338" s="434"/>
      <c r="U338" s="434"/>
      <c r="V338" s="434"/>
      <c r="W338" s="434"/>
      <c r="X338" s="434"/>
    </row>
    <row r="339" spans="1:24" ht="15" customHeight="1">
      <c r="A339" s="206"/>
      <c r="B339" s="320">
        <v>337</v>
      </c>
      <c r="C339" s="43">
        <v>525426</v>
      </c>
      <c r="D339" s="1054" t="s">
        <v>5708</v>
      </c>
      <c r="E339" s="648" t="s">
        <v>5709</v>
      </c>
      <c r="F339" s="43">
        <v>51</v>
      </c>
      <c r="G339" s="43" t="s">
        <v>5710</v>
      </c>
      <c r="H339" s="43" t="s">
        <v>461</v>
      </c>
      <c r="I339" s="43">
        <v>944453501</v>
      </c>
      <c r="J339" s="43" t="s">
        <v>162</v>
      </c>
      <c r="K339" s="44">
        <v>46141</v>
      </c>
      <c r="L339" s="1060" t="s">
        <v>811</v>
      </c>
      <c r="M339" s="1061" t="s">
        <v>230</v>
      </c>
      <c r="N339" s="1061" t="s">
        <v>1413</v>
      </c>
      <c r="O339" s="1141">
        <v>46142</v>
      </c>
      <c r="P339" s="244"/>
      <c r="Q339" s="242" t="s">
        <v>5703</v>
      </c>
      <c r="R339" s="43"/>
      <c r="S339" s="434"/>
      <c r="T339" s="434"/>
      <c r="U339" s="434"/>
      <c r="V339" s="434"/>
      <c r="W339" s="434"/>
      <c r="X339" s="434"/>
    </row>
    <row r="340" spans="1:24" ht="15" customHeight="1">
      <c r="A340" s="206"/>
      <c r="B340" s="472">
        <v>338</v>
      </c>
      <c r="C340" s="43">
        <v>525427</v>
      </c>
      <c r="D340" s="1054" t="s">
        <v>5711</v>
      </c>
      <c r="E340" s="648" t="s">
        <v>5712</v>
      </c>
      <c r="F340" s="43">
        <v>40</v>
      </c>
      <c r="G340" s="43" t="s">
        <v>5713</v>
      </c>
      <c r="H340" s="43" t="s">
        <v>461</v>
      </c>
      <c r="I340" s="43" t="s">
        <v>5714</v>
      </c>
      <c r="J340" s="43" t="s">
        <v>162</v>
      </c>
      <c r="K340" s="44">
        <v>46141</v>
      </c>
      <c r="L340" s="1060" t="s">
        <v>458</v>
      </c>
      <c r="M340" s="1061" t="s">
        <v>260</v>
      </c>
      <c r="N340" s="670" t="s">
        <v>1413</v>
      </c>
      <c r="O340" s="1141">
        <v>46142</v>
      </c>
      <c r="P340" s="244"/>
      <c r="Q340" s="242" t="s">
        <v>5703</v>
      </c>
      <c r="R340" s="43"/>
      <c r="S340" s="434"/>
      <c r="T340" s="434"/>
      <c r="U340" s="434"/>
      <c r="V340" s="434"/>
      <c r="W340" s="434"/>
      <c r="X340" s="434"/>
    </row>
    <row r="341" spans="1:24" ht="15" customHeight="1">
      <c r="A341" s="206"/>
      <c r="B341" s="320">
        <v>339</v>
      </c>
      <c r="C341" s="43">
        <v>261946</v>
      </c>
      <c r="D341" s="1054" t="s">
        <v>5715</v>
      </c>
      <c r="E341" s="648" t="s">
        <v>5716</v>
      </c>
      <c r="F341" s="43">
        <v>40</v>
      </c>
      <c r="G341" s="43" t="s">
        <v>5717</v>
      </c>
      <c r="H341" s="43" t="s">
        <v>278</v>
      </c>
      <c r="I341" s="43">
        <v>943876065</v>
      </c>
      <c r="J341" s="43" t="s">
        <v>238</v>
      </c>
      <c r="K341" s="44">
        <v>46141</v>
      </c>
      <c r="L341" s="1060" t="s">
        <v>811</v>
      </c>
      <c r="M341" s="1061" t="s">
        <v>230</v>
      </c>
      <c r="N341" s="1061" t="s">
        <v>317</v>
      </c>
      <c r="O341" s="1141">
        <v>46142</v>
      </c>
      <c r="P341" s="244"/>
      <c r="Q341" s="242"/>
      <c r="R341" s="43"/>
      <c r="S341" s="434"/>
      <c r="T341" s="434"/>
      <c r="U341" s="434"/>
      <c r="V341" s="434"/>
      <c r="W341" s="434"/>
      <c r="X341" s="434"/>
    </row>
    <row r="342" spans="1:24" ht="15" customHeight="1">
      <c r="A342" s="206"/>
      <c r="B342" s="320">
        <v>340</v>
      </c>
      <c r="C342" s="43">
        <v>98020</v>
      </c>
      <c r="D342" s="1054" t="s">
        <v>5718</v>
      </c>
      <c r="E342" s="648" t="s">
        <v>5719</v>
      </c>
      <c r="F342" s="43">
        <v>61</v>
      </c>
      <c r="G342" s="43" t="s">
        <v>5720</v>
      </c>
      <c r="H342" s="43" t="s">
        <v>278</v>
      </c>
      <c r="I342" s="43">
        <v>973784402</v>
      </c>
      <c r="J342" s="43" t="s">
        <v>238</v>
      </c>
      <c r="K342" s="44">
        <v>46141</v>
      </c>
      <c r="L342" s="1060" t="s">
        <v>5721</v>
      </c>
      <c r="M342" s="1061" t="s">
        <v>260</v>
      </c>
      <c r="N342" s="670" t="s">
        <v>1413</v>
      </c>
      <c r="O342" s="1141">
        <v>46142</v>
      </c>
      <c r="P342" s="244"/>
      <c r="Q342" s="242"/>
      <c r="R342" s="43"/>
      <c r="S342" s="434"/>
      <c r="T342" s="434"/>
      <c r="U342" s="434"/>
      <c r="V342" s="434"/>
      <c r="W342" s="434"/>
      <c r="X342" s="434"/>
    </row>
    <row r="343" spans="1:24" ht="15" customHeight="1">
      <c r="A343" s="262" t="s">
        <v>513</v>
      </c>
      <c r="B343" s="320">
        <v>341</v>
      </c>
      <c r="C343" s="43">
        <v>87750</v>
      </c>
      <c r="D343" s="1054" t="s">
        <v>5722</v>
      </c>
      <c r="E343" s="648" t="s">
        <v>5723</v>
      </c>
      <c r="F343" s="43">
        <v>65</v>
      </c>
      <c r="G343" s="43" t="s">
        <v>5724</v>
      </c>
      <c r="H343" s="43" t="s">
        <v>5725</v>
      </c>
      <c r="I343" s="43">
        <v>997642258</v>
      </c>
      <c r="J343" s="43" t="s">
        <v>223</v>
      </c>
      <c r="K343" s="44">
        <v>46141</v>
      </c>
      <c r="L343" s="1060" t="s">
        <v>376</v>
      </c>
      <c r="M343" s="1061" t="s">
        <v>230</v>
      </c>
      <c r="N343" s="1061" t="s">
        <v>317</v>
      </c>
      <c r="O343" s="762">
        <v>46147</v>
      </c>
      <c r="P343" s="244"/>
      <c r="Q343" s="242" t="s">
        <v>5726</v>
      </c>
      <c r="R343" s="43"/>
      <c r="S343" s="434"/>
      <c r="T343" s="434"/>
      <c r="U343" s="434"/>
      <c r="V343" s="434"/>
      <c r="W343" s="434"/>
      <c r="X343" s="434"/>
    </row>
    <row r="344" spans="1:24" ht="15" customHeight="1">
      <c r="A344" s="206"/>
      <c r="B344" s="320">
        <v>342</v>
      </c>
      <c r="C344" s="43">
        <v>105356</v>
      </c>
      <c r="D344" s="1054" t="s">
        <v>5727</v>
      </c>
      <c r="E344" s="648" t="s">
        <v>5728</v>
      </c>
      <c r="F344" s="43"/>
      <c r="G344" s="43" t="s">
        <v>5729</v>
      </c>
      <c r="H344" s="43" t="s">
        <v>222</v>
      </c>
      <c r="I344" s="43">
        <v>901788740</v>
      </c>
      <c r="J344" s="43" t="s">
        <v>223</v>
      </c>
      <c r="K344" s="44">
        <v>46141</v>
      </c>
      <c r="L344" s="1060" t="s">
        <v>376</v>
      </c>
      <c r="M344" s="1061" t="s">
        <v>230</v>
      </c>
      <c r="N344" s="1061" t="s">
        <v>317</v>
      </c>
      <c r="O344" s="762">
        <v>46147</v>
      </c>
      <c r="P344" s="244"/>
      <c r="Q344" s="242" t="s">
        <v>5726</v>
      </c>
      <c r="R344" s="43"/>
      <c r="S344" s="434"/>
      <c r="T344" s="434"/>
      <c r="U344" s="434"/>
      <c r="V344" s="434"/>
      <c r="W344" s="434"/>
      <c r="X344" s="434"/>
    </row>
    <row r="345" spans="1:24" ht="15" customHeight="1">
      <c r="A345" s="206"/>
      <c r="B345" s="320">
        <v>343</v>
      </c>
      <c r="C345" s="43">
        <v>195963</v>
      </c>
      <c r="D345" s="1054" t="s">
        <v>5730</v>
      </c>
      <c r="E345" s="648" t="s">
        <v>5731</v>
      </c>
      <c r="F345" s="43">
        <v>41</v>
      </c>
      <c r="G345" s="43" t="s">
        <v>5732</v>
      </c>
      <c r="H345" s="43" t="s">
        <v>301</v>
      </c>
      <c r="I345" s="43">
        <v>913651269</v>
      </c>
      <c r="J345" s="43" t="s">
        <v>1483</v>
      </c>
      <c r="K345" s="44">
        <v>46141</v>
      </c>
      <c r="L345" s="1060" t="s">
        <v>679</v>
      </c>
      <c r="M345" s="1061" t="s">
        <v>230</v>
      </c>
      <c r="N345" s="1061" t="s">
        <v>317</v>
      </c>
      <c r="O345" s="762">
        <v>46147</v>
      </c>
      <c r="P345" s="244"/>
      <c r="Q345" s="266" t="s">
        <v>5654</v>
      </c>
      <c r="R345" s="43"/>
      <c r="S345" s="434"/>
      <c r="T345" s="434"/>
      <c r="U345" s="434"/>
      <c r="V345" s="434"/>
      <c r="W345" s="434"/>
      <c r="X345" s="434"/>
    </row>
    <row r="346" spans="1:24" ht="15" customHeight="1">
      <c r="A346" s="206"/>
      <c r="B346" s="320">
        <v>344</v>
      </c>
      <c r="C346" s="43">
        <v>525438</v>
      </c>
      <c r="D346" s="1054" t="s">
        <v>5733</v>
      </c>
      <c r="E346" s="648" t="s">
        <v>5734</v>
      </c>
      <c r="F346" s="43">
        <v>51</v>
      </c>
      <c r="G346" s="43" t="s">
        <v>5735</v>
      </c>
      <c r="H346" s="43" t="s">
        <v>461</v>
      </c>
      <c r="I346" s="43">
        <v>960106254</v>
      </c>
      <c r="J346" s="43" t="s">
        <v>162</v>
      </c>
      <c r="K346" s="44">
        <v>46141</v>
      </c>
      <c r="L346" s="1060" t="s">
        <v>458</v>
      </c>
      <c r="M346" s="1061" t="s">
        <v>260</v>
      </c>
      <c r="N346" s="670" t="s">
        <v>1413</v>
      </c>
      <c r="O346" s="1141">
        <v>46142</v>
      </c>
      <c r="P346" s="244"/>
      <c r="Q346" s="242" t="s">
        <v>5703</v>
      </c>
      <c r="R346" s="43"/>
      <c r="S346" s="434"/>
      <c r="T346" s="434"/>
      <c r="U346" s="434"/>
      <c r="V346" s="434"/>
      <c r="W346" s="434"/>
      <c r="X346" s="434"/>
    </row>
    <row r="347" spans="1:24" ht="15" customHeight="1">
      <c r="A347" s="206"/>
      <c r="B347" s="320">
        <v>345</v>
      </c>
      <c r="C347" s="43">
        <v>25439</v>
      </c>
      <c r="D347" s="1054" t="s">
        <v>5736</v>
      </c>
      <c r="E347" s="648" t="s">
        <v>5737</v>
      </c>
      <c r="F347" s="43">
        <v>46</v>
      </c>
      <c r="G347" s="43" t="s">
        <v>5738</v>
      </c>
      <c r="H347" s="43" t="s">
        <v>461</v>
      </c>
      <c r="I347" s="43">
        <v>958487451</v>
      </c>
      <c r="J347" s="43" t="s">
        <v>162</v>
      </c>
      <c r="K347" s="44">
        <v>46141</v>
      </c>
      <c r="L347" s="1142" t="s">
        <v>458</v>
      </c>
      <c r="M347" s="1061" t="s">
        <v>260</v>
      </c>
      <c r="N347" s="670" t="s">
        <v>1413</v>
      </c>
      <c r="O347" s="1141">
        <v>46142</v>
      </c>
      <c r="P347" s="244"/>
      <c r="Q347" s="242" t="s">
        <v>5703</v>
      </c>
      <c r="R347" s="43"/>
      <c r="S347" s="434"/>
      <c r="T347" s="434"/>
      <c r="U347" s="434"/>
      <c r="V347" s="434"/>
      <c r="W347" s="434"/>
      <c r="X347" s="434"/>
    </row>
    <row r="348" spans="1:24" ht="15" customHeight="1">
      <c r="A348" s="503"/>
      <c r="B348" s="320">
        <v>346</v>
      </c>
      <c r="C348" s="112">
        <v>203098</v>
      </c>
      <c r="D348" s="1056" t="s">
        <v>5739</v>
      </c>
      <c r="E348" s="745" t="s">
        <v>5740</v>
      </c>
      <c r="F348" s="112">
        <v>61</v>
      </c>
      <c r="G348" s="112" t="s">
        <v>5741</v>
      </c>
      <c r="H348" s="112" t="s">
        <v>461</v>
      </c>
      <c r="I348" s="112">
        <v>982888771</v>
      </c>
      <c r="J348" s="112" t="s">
        <v>162</v>
      </c>
      <c r="K348" s="114">
        <v>46141</v>
      </c>
      <c r="L348" s="1060" t="s">
        <v>679</v>
      </c>
      <c r="M348" s="266" t="s">
        <v>230</v>
      </c>
      <c r="N348" s="266" t="s">
        <v>317</v>
      </c>
      <c r="O348" s="1141">
        <v>46142</v>
      </c>
      <c r="P348" s="244"/>
      <c r="Q348" s="242" t="s">
        <v>5703</v>
      </c>
      <c r="R348" s="43"/>
      <c r="S348" s="43"/>
      <c r="T348" s="43"/>
      <c r="U348" s="43"/>
      <c r="V348" s="43"/>
      <c r="W348" s="43"/>
      <c r="X348" s="43"/>
    </row>
    <row r="349" spans="1:24" ht="15" customHeight="1">
      <c r="A349" s="206"/>
      <c r="B349" s="320">
        <v>347</v>
      </c>
      <c r="C349" s="43">
        <v>525440</v>
      </c>
      <c r="D349" s="1054" t="s">
        <v>5742</v>
      </c>
      <c r="E349" s="648" t="s">
        <v>5743</v>
      </c>
      <c r="F349" s="43">
        <v>58</v>
      </c>
      <c r="G349" s="43" t="s">
        <v>5744</v>
      </c>
      <c r="H349" s="43" t="s">
        <v>237</v>
      </c>
      <c r="I349" s="43">
        <v>941622884</v>
      </c>
      <c r="J349" s="43" t="s">
        <v>429</v>
      </c>
      <c r="K349" s="44">
        <v>46141</v>
      </c>
      <c r="L349" s="1060" t="s">
        <v>679</v>
      </c>
      <c r="M349" s="266" t="s">
        <v>230</v>
      </c>
      <c r="N349" s="266" t="s">
        <v>317</v>
      </c>
      <c r="O349" s="1139">
        <v>46147</v>
      </c>
      <c r="P349" s="244"/>
      <c r="Q349" s="242" t="s">
        <v>5745</v>
      </c>
      <c r="R349" s="43"/>
      <c r="S349" s="43"/>
      <c r="T349" s="43"/>
      <c r="U349" s="43"/>
      <c r="V349" s="43"/>
      <c r="W349" s="43"/>
      <c r="X349" s="43"/>
    </row>
    <row r="350" spans="1:24" ht="15" customHeight="1">
      <c r="A350" s="261">
        <v>46142</v>
      </c>
      <c r="B350" s="320">
        <v>348</v>
      </c>
      <c r="C350" s="43">
        <v>525455</v>
      </c>
      <c r="D350" s="1095">
        <v>23099557</v>
      </c>
      <c r="E350" s="710" t="s">
        <v>5746</v>
      </c>
      <c r="F350" s="1095">
        <v>53</v>
      </c>
      <c r="G350" s="1095" t="s">
        <v>5747</v>
      </c>
      <c r="H350" s="1096" t="s">
        <v>3997</v>
      </c>
      <c r="I350" s="1096">
        <v>973358299</v>
      </c>
      <c r="J350" s="1095" t="s">
        <v>5452</v>
      </c>
      <c r="K350" s="44">
        <v>46142</v>
      </c>
      <c r="L350" s="1143" t="s">
        <v>5748</v>
      </c>
      <c r="M350" s="43" t="s">
        <v>5749</v>
      </c>
      <c r="N350" s="266" t="s">
        <v>317</v>
      </c>
      <c r="O350" s="1144">
        <v>46147</v>
      </c>
      <c r="P350" s="43"/>
      <c r="Q350" s="43" t="s">
        <v>5750</v>
      </c>
      <c r="R350" s="43"/>
      <c r="S350" s="43"/>
      <c r="T350" s="43"/>
      <c r="U350" s="43"/>
      <c r="V350" s="43"/>
      <c r="W350" s="43"/>
      <c r="X350" s="43"/>
    </row>
    <row r="351" spans="1:24" ht="15" customHeight="1">
      <c r="A351" s="43"/>
      <c r="B351" s="320">
        <v>349</v>
      </c>
      <c r="C351" s="43">
        <v>51339</v>
      </c>
      <c r="D351" s="1095">
        <v>43189581</v>
      </c>
      <c r="E351" s="710" t="s">
        <v>5751</v>
      </c>
      <c r="F351" s="1095">
        <v>40</v>
      </c>
      <c r="G351" s="1095" t="s">
        <v>5752</v>
      </c>
      <c r="H351" s="1096" t="s">
        <v>3997</v>
      </c>
      <c r="I351" s="1096">
        <v>914417371</v>
      </c>
      <c r="J351" s="1095" t="s">
        <v>5452</v>
      </c>
      <c r="K351" s="44">
        <v>46142</v>
      </c>
      <c r="L351" s="1143" t="s">
        <v>1064</v>
      </c>
      <c r="M351" s="266" t="s">
        <v>230</v>
      </c>
      <c r="N351" s="959" t="s">
        <v>4335</v>
      </c>
      <c r="O351" s="1144">
        <v>46147</v>
      </c>
      <c r="P351" s="43"/>
      <c r="Q351" s="43" t="s">
        <v>5750</v>
      </c>
      <c r="R351" s="43"/>
      <c r="S351" s="43"/>
      <c r="T351" s="43"/>
      <c r="U351" s="43"/>
      <c r="V351" s="43"/>
      <c r="W351" s="43"/>
      <c r="X351" s="43"/>
    </row>
    <row r="352" spans="1:24" ht="15" customHeight="1">
      <c r="A352" s="43"/>
      <c r="B352" s="320">
        <v>350</v>
      </c>
      <c r="C352" s="43">
        <v>515019</v>
      </c>
      <c r="D352" s="1095">
        <v>15856122</v>
      </c>
      <c r="E352" s="710" t="s">
        <v>5753</v>
      </c>
      <c r="F352" s="1095">
        <v>58</v>
      </c>
      <c r="G352" s="1095" t="s">
        <v>5754</v>
      </c>
      <c r="H352" s="1096" t="s">
        <v>2724</v>
      </c>
      <c r="I352" s="1096">
        <v>916418549</v>
      </c>
      <c r="J352" s="1095" t="s">
        <v>175</v>
      </c>
      <c r="K352" s="44">
        <v>46142</v>
      </c>
      <c r="L352" s="1145" t="s">
        <v>1040</v>
      </c>
      <c r="M352" s="266" t="s">
        <v>230</v>
      </c>
      <c r="N352" s="266" t="s">
        <v>317</v>
      </c>
      <c r="O352" s="1144">
        <v>46147</v>
      </c>
      <c r="P352" s="43"/>
      <c r="Q352" s="43" t="s">
        <v>5750</v>
      </c>
      <c r="R352" s="43"/>
      <c r="S352" s="434"/>
      <c r="T352" s="434"/>
      <c r="U352" s="434"/>
      <c r="V352" s="434"/>
      <c r="W352" s="434"/>
      <c r="X352" s="434"/>
    </row>
    <row r="353" spans="1:24" ht="15" customHeight="1">
      <c r="A353" s="43"/>
      <c r="B353" s="320">
        <v>351</v>
      </c>
      <c r="C353" s="43">
        <v>49816</v>
      </c>
      <c r="D353" s="1095">
        <v>15845103</v>
      </c>
      <c r="E353" s="710" t="s">
        <v>5755</v>
      </c>
      <c r="F353" s="1095">
        <v>52</v>
      </c>
      <c r="G353" s="1095" t="s">
        <v>5756</v>
      </c>
      <c r="H353" s="1096" t="s">
        <v>2724</v>
      </c>
      <c r="I353" s="1096">
        <v>925354128</v>
      </c>
      <c r="J353" s="1095" t="s">
        <v>175</v>
      </c>
      <c r="K353" s="44">
        <v>46142</v>
      </c>
      <c r="L353" s="1143" t="s">
        <v>1040</v>
      </c>
      <c r="M353" s="266" t="s">
        <v>230</v>
      </c>
      <c r="N353" s="266" t="s">
        <v>317</v>
      </c>
      <c r="O353" s="1144">
        <v>46147</v>
      </c>
      <c r="P353" s="43"/>
      <c r="Q353" s="43" t="s">
        <v>5750</v>
      </c>
      <c r="R353" s="43"/>
      <c r="S353" s="434"/>
      <c r="T353" s="434"/>
      <c r="U353" s="434"/>
      <c r="V353" s="434"/>
      <c r="W353" s="434"/>
      <c r="X353" s="434"/>
    </row>
    <row r="354" spans="1:24" ht="15" customHeight="1">
      <c r="A354" s="43"/>
      <c r="B354" s="320">
        <v>352</v>
      </c>
      <c r="C354" s="43">
        <v>525454</v>
      </c>
      <c r="D354" s="1095">
        <v>32220246</v>
      </c>
      <c r="E354" s="710" t="s">
        <v>5757</v>
      </c>
      <c r="F354" s="1095">
        <v>61</v>
      </c>
      <c r="G354" s="1095" t="s">
        <v>5758</v>
      </c>
      <c r="H354" s="1096" t="s">
        <v>2724</v>
      </c>
      <c r="I354" s="1096">
        <v>984183876</v>
      </c>
      <c r="J354" s="1095" t="s">
        <v>175</v>
      </c>
      <c r="K354" s="44">
        <v>46142</v>
      </c>
      <c r="L354" s="1143" t="s">
        <v>1040</v>
      </c>
      <c r="M354" s="266" t="s">
        <v>230</v>
      </c>
      <c r="N354" s="266" t="s">
        <v>317</v>
      </c>
      <c r="O354" s="1144">
        <v>46147</v>
      </c>
      <c r="P354" s="43"/>
      <c r="Q354" s="43"/>
      <c r="R354" s="43"/>
      <c r="S354" s="434"/>
      <c r="T354" s="434"/>
      <c r="U354" s="434"/>
      <c r="V354" s="434"/>
      <c r="W354" s="434"/>
      <c r="X354" s="434"/>
    </row>
    <row r="355" spans="1:24" ht="15" customHeight="1">
      <c r="A355" s="1099"/>
      <c r="B355" s="320">
        <v>353</v>
      </c>
      <c r="C355" s="434">
        <v>525465</v>
      </c>
      <c r="D355" s="1100" t="s">
        <v>5759</v>
      </c>
      <c r="E355" s="1092" t="s">
        <v>5760</v>
      </c>
      <c r="F355" s="434">
        <v>48</v>
      </c>
      <c r="G355" s="434" t="s">
        <v>5761</v>
      </c>
      <c r="H355" s="434" t="s">
        <v>461</v>
      </c>
      <c r="I355" s="434" t="s">
        <v>5762</v>
      </c>
      <c r="J355" s="434" t="s">
        <v>162</v>
      </c>
      <c r="K355" s="44">
        <v>46142</v>
      </c>
      <c r="L355" s="1145" t="s">
        <v>1040</v>
      </c>
      <c r="M355" s="266" t="s">
        <v>230</v>
      </c>
      <c r="N355" s="266" t="s">
        <v>317</v>
      </c>
      <c r="O355" s="1144">
        <v>46147</v>
      </c>
      <c r="P355" s="244"/>
      <c r="Q355" s="242" t="s">
        <v>5703</v>
      </c>
      <c r="R355" s="43"/>
      <c r="S355" s="434"/>
      <c r="T355" s="434"/>
      <c r="U355" s="434"/>
      <c r="V355" s="434"/>
      <c r="W355" s="434"/>
      <c r="X355" s="434"/>
    </row>
    <row r="356" spans="1:24" ht="15" customHeight="1">
      <c r="A356" s="43"/>
      <c r="B356" s="320">
        <v>354</v>
      </c>
      <c r="C356" s="43">
        <v>507691</v>
      </c>
      <c r="D356" s="1095">
        <v>15858639</v>
      </c>
      <c r="E356" s="710" t="s">
        <v>5763</v>
      </c>
      <c r="F356" s="1095">
        <v>55</v>
      </c>
      <c r="G356" s="1095" t="s">
        <v>5764</v>
      </c>
      <c r="H356" s="1096" t="s">
        <v>2724</v>
      </c>
      <c r="I356" s="1096">
        <v>914194315</v>
      </c>
      <c r="J356" s="1095" t="s">
        <v>175</v>
      </c>
      <c r="K356" s="44">
        <v>46142</v>
      </c>
      <c r="L356" s="1143" t="s">
        <v>1040</v>
      </c>
      <c r="M356" s="266" t="s">
        <v>230</v>
      </c>
      <c r="N356" s="266" t="s">
        <v>317</v>
      </c>
      <c r="O356" s="1144">
        <v>46147</v>
      </c>
      <c r="P356" s="43"/>
      <c r="Q356" s="43" t="s">
        <v>5750</v>
      </c>
      <c r="R356" s="43"/>
      <c r="S356" s="670"/>
      <c r="T356" s="670"/>
      <c r="U356" s="670"/>
      <c r="V356" s="670"/>
      <c r="W356" s="670"/>
      <c r="X356" s="670"/>
    </row>
    <row r="357" spans="1:24" ht="15" customHeight="1">
      <c r="A357" s="43"/>
      <c r="B357" s="320">
        <v>355</v>
      </c>
      <c r="C357" s="43">
        <v>380870</v>
      </c>
      <c r="D357" s="1095">
        <v>15714101</v>
      </c>
      <c r="E357" s="710" t="s">
        <v>5765</v>
      </c>
      <c r="F357" s="1095">
        <v>56</v>
      </c>
      <c r="G357" s="1095" t="s">
        <v>5766</v>
      </c>
      <c r="H357" s="1096" t="s">
        <v>3997</v>
      </c>
      <c r="I357" s="1096">
        <v>994330002</v>
      </c>
      <c r="J357" s="1095" t="s">
        <v>5452</v>
      </c>
      <c r="K357" s="44">
        <v>46142</v>
      </c>
      <c r="L357" s="1146" t="s">
        <v>1040</v>
      </c>
      <c r="M357" s="266" t="s">
        <v>230</v>
      </c>
      <c r="N357" s="266" t="s">
        <v>317</v>
      </c>
      <c r="O357" s="1144">
        <v>46147</v>
      </c>
      <c r="P357" s="43"/>
      <c r="Q357" s="43" t="s">
        <v>5750</v>
      </c>
      <c r="R357" s="43"/>
      <c r="S357" s="670"/>
      <c r="T357" s="670"/>
      <c r="U357" s="670"/>
      <c r="V357" s="670"/>
      <c r="W357" s="670"/>
      <c r="X357" s="670"/>
    </row>
    <row r="358" spans="1:24" ht="15" customHeight="1">
      <c r="A358" s="1091"/>
      <c r="B358" s="320">
        <v>356</v>
      </c>
      <c r="C358" s="43">
        <v>525456</v>
      </c>
      <c r="D358" s="1095">
        <v>44502751</v>
      </c>
      <c r="E358" s="710" t="s">
        <v>5767</v>
      </c>
      <c r="F358" s="1095">
        <v>42</v>
      </c>
      <c r="G358" s="1095" t="s">
        <v>5768</v>
      </c>
      <c r="H358" s="1096" t="s">
        <v>3997</v>
      </c>
      <c r="I358" s="1096">
        <v>961470771</v>
      </c>
      <c r="J358" s="1095" t="s">
        <v>5452</v>
      </c>
      <c r="K358" s="44">
        <v>46142</v>
      </c>
      <c r="L358" s="1146" t="s">
        <v>5769</v>
      </c>
      <c r="M358" s="43" t="s">
        <v>5749</v>
      </c>
      <c r="N358" s="266" t="s">
        <v>317</v>
      </c>
      <c r="O358" s="1144">
        <v>46147</v>
      </c>
      <c r="P358" s="43"/>
      <c r="Q358" s="43" t="s">
        <v>5750</v>
      </c>
      <c r="R358" s="43"/>
      <c r="S358" s="670"/>
      <c r="T358" s="670"/>
      <c r="U358" s="670"/>
      <c r="V358" s="670"/>
      <c r="W358" s="670"/>
      <c r="X358" s="670"/>
    </row>
    <row r="359" spans="1:24" ht="15" customHeight="1">
      <c r="A359" s="43"/>
      <c r="B359" s="320">
        <v>357</v>
      </c>
      <c r="C359" s="43">
        <v>525457</v>
      </c>
      <c r="D359" s="1101">
        <v>31634857</v>
      </c>
      <c r="E359" s="1102" t="s">
        <v>5770</v>
      </c>
      <c r="F359" s="1101">
        <v>58</v>
      </c>
      <c r="G359" s="1101" t="s">
        <v>5771</v>
      </c>
      <c r="H359" s="1103" t="s">
        <v>2724</v>
      </c>
      <c r="I359" s="1103">
        <v>922475522</v>
      </c>
      <c r="J359" s="1101" t="s">
        <v>175</v>
      </c>
      <c r="K359" s="44">
        <v>46142</v>
      </c>
      <c r="L359" s="1146" t="s">
        <v>1040</v>
      </c>
      <c r="M359" s="266" t="s">
        <v>230</v>
      </c>
      <c r="N359" s="266" t="s">
        <v>317</v>
      </c>
      <c r="O359" s="1144">
        <v>46147</v>
      </c>
      <c r="P359" s="43"/>
      <c r="Q359" s="43" t="s">
        <v>5750</v>
      </c>
      <c r="R359" s="43"/>
    </row>
    <row r="360" spans="1:24" ht="15" customHeight="1">
      <c r="A360" s="43"/>
      <c r="B360" s="320">
        <v>358</v>
      </c>
      <c r="C360" s="43">
        <v>525462</v>
      </c>
      <c r="D360" s="1104">
        <v>41125413</v>
      </c>
      <c r="E360" s="1102" t="s">
        <v>5772</v>
      </c>
      <c r="F360" s="1104">
        <v>44</v>
      </c>
      <c r="G360" s="1104" t="s">
        <v>5773</v>
      </c>
      <c r="H360" s="286" t="s">
        <v>271</v>
      </c>
      <c r="I360" s="286">
        <v>928357052</v>
      </c>
      <c r="J360" s="43" t="s">
        <v>164</v>
      </c>
      <c r="K360" s="44">
        <v>46142</v>
      </c>
      <c r="L360" s="1146" t="s">
        <v>1040</v>
      </c>
      <c r="M360" s="266" t="s">
        <v>230</v>
      </c>
      <c r="N360" s="266" t="s">
        <v>317</v>
      </c>
      <c r="O360" s="1144">
        <v>46147</v>
      </c>
      <c r="P360" s="43"/>
      <c r="Q360" s="242" t="s">
        <v>5703</v>
      </c>
      <c r="R360" s="43"/>
    </row>
    <row r="361" spans="1:24" ht="15" customHeight="1">
      <c r="A361" s="43"/>
      <c r="B361" s="320">
        <v>359</v>
      </c>
      <c r="C361" s="43">
        <v>525461</v>
      </c>
      <c r="D361" s="43">
        <v>42624435</v>
      </c>
      <c r="E361" s="648" t="s">
        <v>5774</v>
      </c>
      <c r="F361" s="43">
        <v>41</v>
      </c>
      <c r="G361" s="43" t="s">
        <v>5775</v>
      </c>
      <c r="H361" s="43" t="s">
        <v>911</v>
      </c>
      <c r="I361" s="43">
        <v>930985251</v>
      </c>
      <c r="J361" s="43" t="s">
        <v>421</v>
      </c>
      <c r="K361" s="44">
        <v>46142</v>
      </c>
      <c r="L361" s="1146" t="s">
        <v>5776</v>
      </c>
      <c r="M361" s="266" t="s">
        <v>260</v>
      </c>
      <c r="N361" s="959" t="s">
        <v>2390</v>
      </c>
      <c r="O361" s="1144">
        <v>46147</v>
      </c>
      <c r="P361" s="43"/>
      <c r="Q361" s="43" t="s">
        <v>5703</v>
      </c>
      <c r="R361" s="43"/>
    </row>
    <row r="362" spans="1:24" ht="15" customHeight="1">
      <c r="A362" s="43"/>
      <c r="B362" s="320">
        <v>360</v>
      </c>
      <c r="C362" s="43">
        <v>518696</v>
      </c>
      <c r="D362" s="1095">
        <v>15852581</v>
      </c>
      <c r="E362" s="710" t="s">
        <v>5777</v>
      </c>
      <c r="F362" s="1095">
        <v>54</v>
      </c>
      <c r="G362" s="1095" t="s">
        <v>5778</v>
      </c>
      <c r="H362" s="1096" t="s">
        <v>3997</v>
      </c>
      <c r="I362" s="1096">
        <v>966890414</v>
      </c>
      <c r="J362" s="1095" t="s">
        <v>5452</v>
      </c>
      <c r="K362" s="44">
        <v>46142</v>
      </c>
      <c r="L362" s="1147" t="s">
        <v>5779</v>
      </c>
      <c r="M362" s="266" t="s">
        <v>260</v>
      </c>
      <c r="N362" s="959" t="s">
        <v>2390</v>
      </c>
      <c r="O362" s="1144">
        <v>46147</v>
      </c>
      <c r="P362" s="43"/>
      <c r="Q362" s="43" t="s">
        <v>5750</v>
      </c>
      <c r="R362" s="43"/>
    </row>
    <row r="363" spans="1:24" ht="15" customHeight="1">
      <c r="A363" s="1099"/>
      <c r="B363" s="320">
        <v>361</v>
      </c>
      <c r="C363" s="434">
        <v>163549</v>
      </c>
      <c r="D363" s="1100" t="s">
        <v>5780</v>
      </c>
      <c r="E363" s="1092" t="s">
        <v>5781</v>
      </c>
      <c r="F363" s="434">
        <v>63</v>
      </c>
      <c r="G363" s="434" t="s">
        <v>5782</v>
      </c>
      <c r="H363" s="434" t="s">
        <v>301</v>
      </c>
      <c r="I363" s="434">
        <v>900535337</v>
      </c>
      <c r="J363" s="434" t="s">
        <v>238</v>
      </c>
      <c r="K363" s="44">
        <v>46142</v>
      </c>
      <c r="L363" s="1146" t="s">
        <v>1040</v>
      </c>
      <c r="M363" s="266" t="s">
        <v>230</v>
      </c>
      <c r="N363" s="266" t="s">
        <v>317</v>
      </c>
      <c r="O363" s="1144">
        <v>46147</v>
      </c>
      <c r="P363" s="244"/>
      <c r="Q363" s="242"/>
      <c r="R363" s="43"/>
    </row>
    <row r="364" spans="1:24" ht="15" customHeight="1">
      <c r="A364" s="1099"/>
      <c r="B364" s="320">
        <v>362</v>
      </c>
      <c r="C364" s="434">
        <v>158459</v>
      </c>
      <c r="D364" s="1100" t="s">
        <v>5783</v>
      </c>
      <c r="E364" s="1092" t="s">
        <v>5784</v>
      </c>
      <c r="F364" s="434">
        <v>52</v>
      </c>
      <c r="G364" s="434" t="s">
        <v>5785</v>
      </c>
      <c r="H364" s="434" t="s">
        <v>222</v>
      </c>
      <c r="I364" s="434">
        <v>989326218</v>
      </c>
      <c r="J364" s="434" t="s">
        <v>223</v>
      </c>
      <c r="K364" s="1093">
        <v>46142</v>
      </c>
      <c r="L364" s="1146" t="s">
        <v>1064</v>
      </c>
      <c r="M364" s="266" t="s">
        <v>230</v>
      </c>
      <c r="N364" s="959" t="s">
        <v>2390</v>
      </c>
      <c r="O364" s="762">
        <v>46147</v>
      </c>
      <c r="P364" s="244"/>
      <c r="Q364" s="242" t="s">
        <v>5726</v>
      </c>
      <c r="R364" s="43"/>
    </row>
    <row r="365" spans="1:24" ht="15" customHeight="1">
      <c r="A365" s="1099"/>
      <c r="B365" s="320">
        <v>363</v>
      </c>
      <c r="C365" s="434">
        <v>173394</v>
      </c>
      <c r="D365" s="1100" t="s">
        <v>5786</v>
      </c>
      <c r="E365" s="1092" t="s">
        <v>5787</v>
      </c>
      <c r="F365" s="434">
        <v>49</v>
      </c>
      <c r="G365" s="434" t="s">
        <v>5788</v>
      </c>
      <c r="H365" s="434" t="s">
        <v>278</v>
      </c>
      <c r="I365" s="434" t="s">
        <v>5789</v>
      </c>
      <c r="J365" s="434" t="s">
        <v>238</v>
      </c>
      <c r="K365" s="1093">
        <v>46142</v>
      </c>
      <c r="L365" s="1147" t="s">
        <v>5790</v>
      </c>
      <c r="M365" s="266" t="s">
        <v>323</v>
      </c>
      <c r="N365" s="959" t="s">
        <v>2390</v>
      </c>
      <c r="O365" s="1144">
        <v>46147</v>
      </c>
      <c r="P365" s="244"/>
      <c r="Q365" s="242"/>
      <c r="R365" s="43"/>
    </row>
    <row r="366" spans="1:24" ht="15" customHeight="1">
      <c r="A366" s="1099"/>
      <c r="B366" s="320">
        <v>364</v>
      </c>
      <c r="C366" s="434">
        <v>143999</v>
      </c>
      <c r="D366" s="1100" t="s">
        <v>5791</v>
      </c>
      <c r="E366" s="1092" t="s">
        <v>5792</v>
      </c>
      <c r="F366" s="434">
        <v>41</v>
      </c>
      <c r="G366" s="434" t="s">
        <v>5793</v>
      </c>
      <c r="H366" s="434" t="s">
        <v>237</v>
      </c>
      <c r="I366" s="434" t="s">
        <v>5794</v>
      </c>
      <c r="J366" s="434" t="s">
        <v>238</v>
      </c>
      <c r="K366" s="1093">
        <v>46142</v>
      </c>
      <c r="L366" s="1147" t="s">
        <v>1040</v>
      </c>
      <c r="M366" s="266" t="s">
        <v>230</v>
      </c>
      <c r="N366" s="266" t="s">
        <v>317</v>
      </c>
      <c r="O366" s="1144">
        <v>46147</v>
      </c>
      <c r="P366" s="244"/>
      <c r="Q366" s="242"/>
      <c r="R366" s="43"/>
    </row>
    <row r="367" spans="1:24" ht="15" customHeight="1">
      <c r="A367" s="206"/>
      <c r="B367" s="320">
        <v>365</v>
      </c>
      <c r="C367" s="43">
        <v>523939</v>
      </c>
      <c r="D367" s="1105" t="s">
        <v>3620</v>
      </c>
      <c r="E367" s="648" t="s">
        <v>5795</v>
      </c>
      <c r="F367" s="42">
        <v>60</v>
      </c>
      <c r="G367" s="43" t="s">
        <v>3622</v>
      </c>
      <c r="H367" s="43" t="s">
        <v>271</v>
      </c>
      <c r="I367" s="320">
        <v>987981121</v>
      </c>
      <c r="J367" s="43" t="s">
        <v>167</v>
      </c>
      <c r="K367" s="44">
        <v>46094</v>
      </c>
      <c r="L367" s="266" t="s">
        <v>2865</v>
      </c>
      <c r="M367" s="266" t="s">
        <v>260</v>
      </c>
      <c r="N367" s="266" t="s">
        <v>3487</v>
      </c>
      <c r="O367" s="680">
        <v>46098</v>
      </c>
      <c r="P367" s="151"/>
      <c r="Q367" s="242"/>
      <c r="R367" s="43"/>
    </row>
    <row r="368" spans="1:24" ht="15" customHeight="1">
      <c r="A368" s="206"/>
      <c r="B368" s="320">
        <v>366</v>
      </c>
      <c r="C368" s="43">
        <v>523901</v>
      </c>
      <c r="D368" s="1105">
        <v>15949838</v>
      </c>
      <c r="E368" s="648" t="s">
        <v>3550</v>
      </c>
      <c r="F368" s="42">
        <v>66</v>
      </c>
      <c r="G368" s="43" t="s">
        <v>3551</v>
      </c>
      <c r="H368" s="43" t="s">
        <v>3552</v>
      </c>
      <c r="I368" s="320" t="s">
        <v>3553</v>
      </c>
      <c r="J368" s="43" t="s">
        <v>162</v>
      </c>
      <c r="K368" s="44">
        <v>46093</v>
      </c>
      <c r="L368" s="43" t="s">
        <v>1156</v>
      </c>
      <c r="M368" s="266" t="s">
        <v>260</v>
      </c>
      <c r="N368" s="266" t="s">
        <v>3487</v>
      </c>
      <c r="O368" s="680">
        <v>46097</v>
      </c>
      <c r="P368" s="151"/>
      <c r="Q368" s="51" t="s">
        <v>3254</v>
      </c>
      <c r="R368" s="43"/>
    </row>
    <row r="369" spans="1:18" ht="15" customHeight="1">
      <c r="A369" s="206"/>
      <c r="B369" s="320">
        <v>367</v>
      </c>
      <c r="C369" s="43">
        <v>524003</v>
      </c>
      <c r="D369" s="1105" t="s">
        <v>3707</v>
      </c>
      <c r="E369" s="648" t="s">
        <v>3708</v>
      </c>
      <c r="F369" s="42">
        <v>66</v>
      </c>
      <c r="G369" s="43" t="s">
        <v>3709</v>
      </c>
      <c r="H369" s="43" t="s">
        <v>246</v>
      </c>
      <c r="I369" s="320" t="s">
        <v>3710</v>
      </c>
      <c r="J369" s="43" t="s">
        <v>3202</v>
      </c>
      <c r="K369" s="44">
        <v>46097</v>
      </c>
      <c r="L369" s="266" t="s">
        <v>747</v>
      </c>
      <c r="M369" s="266" t="s">
        <v>230</v>
      </c>
      <c r="N369" s="266" t="s">
        <v>317</v>
      </c>
      <c r="O369" s="448">
        <v>46111</v>
      </c>
      <c r="P369" s="151"/>
      <c r="Q369" s="242" t="s">
        <v>4470</v>
      </c>
      <c r="R369" s="43"/>
    </row>
    <row r="370" spans="1:18" ht="15" customHeight="1">
      <c r="A370" s="43"/>
      <c r="B370" s="320">
        <v>368</v>
      </c>
      <c r="C370" s="43">
        <v>194520</v>
      </c>
      <c r="D370" s="1105">
        <v>15758209</v>
      </c>
      <c r="E370" s="648" t="s">
        <v>4193</v>
      </c>
      <c r="F370" s="42">
        <v>49</v>
      </c>
      <c r="G370" s="43" t="s">
        <v>4194</v>
      </c>
      <c r="H370" s="43" t="s">
        <v>237</v>
      </c>
      <c r="I370" s="320">
        <v>997440287</v>
      </c>
      <c r="J370" s="43" t="s">
        <v>289</v>
      </c>
      <c r="K370" s="44">
        <v>46104</v>
      </c>
      <c r="L370" s="43" t="s">
        <v>4195</v>
      </c>
      <c r="M370" s="1148" t="s">
        <v>323</v>
      </c>
      <c r="N370" s="1148" t="s">
        <v>655</v>
      </c>
      <c r="O370" s="1055" t="s">
        <v>4934</v>
      </c>
      <c r="P370" s="43"/>
      <c r="Q370" s="266" t="s">
        <v>4197</v>
      </c>
      <c r="R370" s="43"/>
    </row>
    <row r="371" spans="1:18" ht="15" customHeight="1">
      <c r="A371" s="1099"/>
      <c r="B371" s="477">
        <v>369</v>
      </c>
      <c r="C371" s="434">
        <v>66939</v>
      </c>
      <c r="D371" s="1100" t="s">
        <v>5796</v>
      </c>
      <c r="E371" s="1092" t="s">
        <v>5797</v>
      </c>
      <c r="F371" s="434">
        <v>56</v>
      </c>
      <c r="G371" s="434" t="s">
        <v>5798</v>
      </c>
      <c r="H371" s="434" t="s">
        <v>432</v>
      </c>
      <c r="I371" s="434">
        <v>996462713</v>
      </c>
      <c r="J371" s="434" t="s">
        <v>238</v>
      </c>
      <c r="K371" s="1093">
        <v>46295</v>
      </c>
      <c r="L371" s="1147" t="s">
        <v>1040</v>
      </c>
      <c r="M371" s="266" t="s">
        <v>230</v>
      </c>
      <c r="N371" s="266" t="s">
        <v>317</v>
      </c>
      <c r="O371" s="1144">
        <v>46147</v>
      </c>
      <c r="P371" s="244"/>
      <c r="Q371" s="242"/>
      <c r="R371" s="43"/>
    </row>
    <row r="372" spans="1:18" ht="15" customHeight="1">
      <c r="A372" s="43"/>
      <c r="B372" s="320">
        <v>370</v>
      </c>
      <c r="C372" s="43">
        <v>173877</v>
      </c>
      <c r="D372" s="1106">
        <v>15616595</v>
      </c>
      <c r="E372" s="1107" t="s">
        <v>5799</v>
      </c>
      <c r="F372" s="43">
        <v>58</v>
      </c>
      <c r="G372" s="43" t="s">
        <v>5800</v>
      </c>
      <c r="H372" s="43" t="s">
        <v>301</v>
      </c>
      <c r="I372" s="1106">
        <v>980622251</v>
      </c>
      <c r="J372" s="43" t="s">
        <v>302</v>
      </c>
      <c r="K372" s="44">
        <v>46142</v>
      </c>
      <c r="L372" s="1147" t="s">
        <v>1040</v>
      </c>
      <c r="M372" s="266" t="s">
        <v>230</v>
      </c>
      <c r="N372" s="266" t="s">
        <v>317</v>
      </c>
      <c r="O372" s="768">
        <v>46147</v>
      </c>
      <c r="P372" s="43"/>
      <c r="Q372" s="1059" t="s">
        <v>5424</v>
      </c>
      <c r="R372" s="43"/>
    </row>
    <row r="373" spans="1:18" ht="15" customHeight="1">
      <c r="A373" s="43"/>
      <c r="B373" s="320">
        <v>371</v>
      </c>
      <c r="C373" s="43">
        <v>525471</v>
      </c>
      <c r="D373" s="43">
        <v>41711508</v>
      </c>
      <c r="E373" s="648" t="s">
        <v>5801</v>
      </c>
      <c r="F373" s="43">
        <v>49</v>
      </c>
      <c r="G373" s="43" t="s">
        <v>5802</v>
      </c>
      <c r="H373" s="43" t="s">
        <v>911</v>
      </c>
      <c r="I373" s="43">
        <v>991629208</v>
      </c>
      <c r="J373" s="43" t="s">
        <v>421</v>
      </c>
      <c r="K373" s="44">
        <v>46142</v>
      </c>
      <c r="L373" s="1147" t="s">
        <v>5803</v>
      </c>
      <c r="M373" s="266" t="s">
        <v>312</v>
      </c>
      <c r="N373" s="959" t="s">
        <v>2390</v>
      </c>
      <c r="O373" s="1144">
        <v>46147</v>
      </c>
      <c r="P373" s="43"/>
      <c r="Q373" s="43" t="s">
        <v>5703</v>
      </c>
      <c r="R373" s="43"/>
    </row>
    <row r="374" spans="1:18" ht="15" customHeight="1">
      <c r="A374" s="206"/>
      <c r="B374" s="320">
        <v>372</v>
      </c>
      <c r="C374" s="43">
        <v>345085</v>
      </c>
      <c r="D374" s="1054" t="s">
        <v>5804</v>
      </c>
      <c r="E374" s="648" t="s">
        <v>5805</v>
      </c>
      <c r="F374" s="43">
        <v>46</v>
      </c>
      <c r="G374" s="43" t="s">
        <v>5806</v>
      </c>
      <c r="H374" s="43" t="s">
        <v>432</v>
      </c>
      <c r="I374" s="43">
        <v>912758366</v>
      </c>
      <c r="J374" s="43" t="s">
        <v>1209</v>
      </c>
      <c r="K374" s="44">
        <v>46142</v>
      </c>
      <c r="L374" s="1149"/>
      <c r="M374" s="266"/>
      <c r="N374" s="266"/>
      <c r="O374" s="46"/>
      <c r="P374" s="244"/>
      <c r="Q374" s="242"/>
      <c r="R374" s="43"/>
    </row>
    <row r="375" spans="1:18" ht="15" customHeight="1">
      <c r="A375" s="968" t="s">
        <v>513</v>
      </c>
      <c r="B375" s="319">
        <v>373</v>
      </c>
      <c r="C375" s="266">
        <v>152950</v>
      </c>
      <c r="D375" s="1106">
        <v>15641025</v>
      </c>
      <c r="E375" s="1107" t="s">
        <v>5807</v>
      </c>
      <c r="F375" s="319">
        <v>54</v>
      </c>
      <c r="G375" s="266" t="s">
        <v>5808</v>
      </c>
      <c r="H375" s="266" t="s">
        <v>432</v>
      </c>
      <c r="I375" s="1106">
        <v>991063074</v>
      </c>
      <c r="J375" s="266" t="s">
        <v>223</v>
      </c>
      <c r="K375" s="298">
        <v>46142</v>
      </c>
      <c r="L375" s="1146" t="s">
        <v>1040</v>
      </c>
      <c r="M375" s="266" t="s">
        <v>230</v>
      </c>
      <c r="N375" s="266" t="s">
        <v>317</v>
      </c>
      <c r="O375" s="762">
        <v>46147</v>
      </c>
      <c r="P375" s="266"/>
      <c r="Q375" s="242" t="s">
        <v>5726</v>
      </c>
      <c r="R375" s="266"/>
    </row>
    <row r="376" spans="1:18" ht="15" customHeight="1">
      <c r="A376" s="266"/>
      <c r="B376" s="319">
        <v>374</v>
      </c>
      <c r="C376" s="266">
        <v>102349</v>
      </c>
      <c r="D376" s="266">
        <v>41092433</v>
      </c>
      <c r="E376" s="669" t="s">
        <v>5809</v>
      </c>
      <c r="F376" s="319">
        <v>44</v>
      </c>
      <c r="G376" s="266" t="s">
        <v>5810</v>
      </c>
      <c r="H376" s="266" t="s">
        <v>432</v>
      </c>
      <c r="I376" s="266">
        <v>938766766</v>
      </c>
      <c r="J376" s="266" t="s">
        <v>1209</v>
      </c>
      <c r="K376" s="298">
        <v>46142</v>
      </c>
      <c r="L376" s="1147" t="s">
        <v>1064</v>
      </c>
      <c r="M376" s="266" t="s">
        <v>230</v>
      </c>
      <c r="N376" s="959" t="s">
        <v>2390</v>
      </c>
      <c r="O376" s="956">
        <v>46147</v>
      </c>
      <c r="P376" s="266"/>
      <c r="Q376" s="266" t="s">
        <v>5811</v>
      </c>
      <c r="R376" s="266"/>
    </row>
    <row r="377" spans="1:18" ht="15" customHeight="1">
      <c r="A377" s="266"/>
      <c r="B377" s="319">
        <v>375</v>
      </c>
      <c r="C377" s="266">
        <v>525480</v>
      </c>
      <c r="D377" s="1111">
        <v>15980592</v>
      </c>
      <c r="E377" s="1109" t="s">
        <v>5812</v>
      </c>
      <c r="F377" s="1113">
        <v>61</v>
      </c>
      <c r="G377" s="1108" t="s">
        <v>5813</v>
      </c>
      <c r="H377" s="1108" t="s">
        <v>271</v>
      </c>
      <c r="I377" s="1108">
        <v>907895298</v>
      </c>
      <c r="J377" s="266" t="s">
        <v>164</v>
      </c>
      <c r="K377" s="298">
        <v>46142</v>
      </c>
      <c r="L377" s="1147" t="s">
        <v>1040</v>
      </c>
      <c r="M377" s="266" t="s">
        <v>230</v>
      </c>
      <c r="N377" s="266" t="s">
        <v>317</v>
      </c>
      <c r="O377" s="1144">
        <v>46147</v>
      </c>
      <c r="P377" s="266"/>
      <c r="Q377" s="242" t="s">
        <v>5703</v>
      </c>
      <c r="R377" s="266"/>
    </row>
    <row r="378" spans="1:18" ht="15" customHeight="1">
      <c r="A378" s="266"/>
      <c r="B378" s="320">
        <v>376</v>
      </c>
      <c r="C378" s="266">
        <v>313917</v>
      </c>
      <c r="D378" s="1106">
        <v>10161117</v>
      </c>
      <c r="E378" s="1107" t="s">
        <v>5814</v>
      </c>
      <c r="F378" s="319">
        <v>50</v>
      </c>
      <c r="G378" s="266" t="s">
        <v>5815</v>
      </c>
      <c r="H378" s="266" t="s">
        <v>301</v>
      </c>
      <c r="I378" s="1106">
        <v>981360208</v>
      </c>
      <c r="J378" s="266" t="s">
        <v>302</v>
      </c>
      <c r="K378" s="298">
        <v>46142</v>
      </c>
      <c r="L378" s="1147" t="s">
        <v>1064</v>
      </c>
      <c r="M378" s="266" t="s">
        <v>230</v>
      </c>
      <c r="N378" s="959" t="s">
        <v>2390</v>
      </c>
      <c r="O378" s="768">
        <v>46147</v>
      </c>
      <c r="P378" s="266"/>
      <c r="Q378" s="1059" t="s">
        <v>5424</v>
      </c>
      <c r="R378" s="266"/>
    </row>
    <row r="379" spans="1:18" ht="15" customHeight="1">
      <c r="A379" s="266"/>
      <c r="B379" s="319">
        <v>377</v>
      </c>
      <c r="C379" s="266">
        <v>451565</v>
      </c>
      <c r="D379" s="1106">
        <v>22702684</v>
      </c>
      <c r="E379" s="1107" t="s">
        <v>5816</v>
      </c>
      <c r="F379" s="319">
        <v>57</v>
      </c>
      <c r="G379" s="266" t="s">
        <v>5817</v>
      </c>
      <c r="H379" s="266" t="s">
        <v>301</v>
      </c>
      <c r="I379" s="1106">
        <v>947370075</v>
      </c>
      <c r="J379" s="266" t="s">
        <v>302</v>
      </c>
      <c r="K379" s="298">
        <v>46142</v>
      </c>
      <c r="L379" s="1146" t="s">
        <v>1040</v>
      </c>
      <c r="M379" s="266" t="s">
        <v>230</v>
      </c>
      <c r="N379" s="266" t="s">
        <v>317</v>
      </c>
      <c r="O379" s="768">
        <v>46147</v>
      </c>
      <c r="P379" s="266"/>
      <c r="Q379" s="1059" t="s">
        <v>5424</v>
      </c>
      <c r="R379" s="266"/>
    </row>
    <row r="380" spans="1:18" ht="15" customHeight="1">
      <c r="A380" s="266"/>
      <c r="B380" s="319">
        <v>378</v>
      </c>
      <c r="C380" s="266">
        <v>123099</v>
      </c>
      <c r="D380" s="266">
        <v>42540016</v>
      </c>
      <c r="E380" s="669" t="s">
        <v>5818</v>
      </c>
      <c r="F380" s="319">
        <v>41</v>
      </c>
      <c r="G380" s="266" t="s">
        <v>5819</v>
      </c>
      <c r="H380" s="266" t="s">
        <v>237</v>
      </c>
      <c r="I380" s="266">
        <v>917729283</v>
      </c>
      <c r="J380" s="266" t="s">
        <v>1105</v>
      </c>
      <c r="K380" s="298">
        <v>46142</v>
      </c>
      <c r="L380" s="1147" t="s">
        <v>1109</v>
      </c>
      <c r="M380" s="266" t="s">
        <v>260</v>
      </c>
      <c r="N380" s="959" t="s">
        <v>2390</v>
      </c>
      <c r="O380" s="956">
        <v>46147</v>
      </c>
      <c r="P380" s="266"/>
      <c r="Q380" s="242" t="s">
        <v>4503</v>
      </c>
      <c r="R380" s="266"/>
    </row>
    <row r="381" spans="1:18" ht="15" customHeight="1">
      <c r="A381" s="266"/>
      <c r="B381" s="319">
        <v>379</v>
      </c>
      <c r="C381" s="266">
        <v>50241</v>
      </c>
      <c r="D381" s="1106">
        <v>15741099</v>
      </c>
      <c r="E381" s="1107" t="s">
        <v>5820</v>
      </c>
      <c r="F381" s="319">
        <v>51</v>
      </c>
      <c r="G381" s="266" t="s">
        <v>5821</v>
      </c>
      <c r="H381" s="266" t="s">
        <v>222</v>
      </c>
      <c r="I381" s="1106">
        <v>948271323</v>
      </c>
      <c r="J381" s="266" t="s">
        <v>384</v>
      </c>
      <c r="K381" s="298">
        <v>46142</v>
      </c>
      <c r="L381" s="1147" t="s">
        <v>1064</v>
      </c>
      <c r="M381" s="266" t="s">
        <v>230</v>
      </c>
      <c r="N381" s="959" t="s">
        <v>2390</v>
      </c>
      <c r="O381" s="956">
        <v>46147</v>
      </c>
      <c r="P381" s="266"/>
      <c r="Q381" s="266" t="s">
        <v>4887</v>
      </c>
      <c r="R381" s="266"/>
    </row>
    <row r="382" spans="1:18" ht="15" customHeight="1">
      <c r="A382" s="266"/>
      <c r="B382" s="320">
        <v>380</v>
      </c>
      <c r="C382" s="266">
        <v>525483</v>
      </c>
      <c r="D382" s="266">
        <v>41988643</v>
      </c>
      <c r="E382" s="669" t="s">
        <v>5822</v>
      </c>
      <c r="F382" s="319">
        <v>43</v>
      </c>
      <c r="G382" s="266" t="s">
        <v>5823</v>
      </c>
      <c r="H382" s="266" t="s">
        <v>830</v>
      </c>
      <c r="I382" s="266">
        <v>945249456</v>
      </c>
      <c r="J382" s="266" t="s">
        <v>832</v>
      </c>
      <c r="K382" s="298">
        <v>46142</v>
      </c>
      <c r="L382" s="1147" t="s">
        <v>1109</v>
      </c>
      <c r="M382" s="266" t="s">
        <v>260</v>
      </c>
      <c r="N382" s="959" t="s">
        <v>2390</v>
      </c>
      <c r="O382" s="956">
        <v>46147</v>
      </c>
      <c r="P382" s="266"/>
      <c r="Q382" s="266" t="s">
        <v>4919</v>
      </c>
      <c r="R382" s="266"/>
    </row>
    <row r="383" spans="1:18" ht="15" customHeight="1">
      <c r="A383" s="266"/>
      <c r="B383" s="319">
        <v>381</v>
      </c>
      <c r="C383" s="266">
        <v>133252</v>
      </c>
      <c r="D383" s="266">
        <v>15729809</v>
      </c>
      <c r="E383" s="672" t="s">
        <v>5824</v>
      </c>
      <c r="F383" s="319">
        <v>60</v>
      </c>
      <c r="G383" s="266" t="s">
        <v>5825</v>
      </c>
      <c r="H383" s="266" t="s">
        <v>278</v>
      </c>
      <c r="I383" s="266">
        <v>920798928</v>
      </c>
      <c r="J383" s="266" t="s">
        <v>429</v>
      </c>
      <c r="K383" s="298">
        <v>46142</v>
      </c>
      <c r="L383" s="1147" t="s">
        <v>1040</v>
      </c>
      <c r="M383" s="266" t="s">
        <v>230</v>
      </c>
      <c r="N383" s="266" t="s">
        <v>317</v>
      </c>
      <c r="O383" s="1139">
        <v>46147</v>
      </c>
      <c r="P383" s="266"/>
      <c r="Q383" s="242" t="s">
        <v>5745</v>
      </c>
      <c r="R383" s="266"/>
    </row>
    <row r="384" spans="1:18" ht="15" customHeight="1">
      <c r="A384" s="266"/>
      <c r="B384" s="319">
        <v>382</v>
      </c>
      <c r="C384" s="266">
        <v>525484</v>
      </c>
      <c r="D384" s="1106">
        <v>32274247</v>
      </c>
      <c r="E384" s="1107" t="s">
        <v>5826</v>
      </c>
      <c r="F384" s="319">
        <v>58</v>
      </c>
      <c r="G384" s="266" t="s">
        <v>5827</v>
      </c>
      <c r="H384" s="266" t="s">
        <v>278</v>
      </c>
      <c r="I384" s="1106">
        <v>943312079</v>
      </c>
      <c r="J384" s="266" t="s">
        <v>223</v>
      </c>
      <c r="K384" s="298">
        <v>46142</v>
      </c>
      <c r="L384" s="1150" t="s">
        <v>1040</v>
      </c>
      <c r="M384" s="266" t="s">
        <v>230</v>
      </c>
      <c r="N384" s="266" t="s">
        <v>317</v>
      </c>
      <c r="O384" s="1139">
        <v>46147</v>
      </c>
      <c r="P384" s="266"/>
      <c r="Q384" s="242" t="s">
        <v>5726</v>
      </c>
      <c r="R384" s="266"/>
    </row>
    <row r="385" spans="1:18" ht="15" customHeight="1">
      <c r="A385" s="729"/>
      <c r="B385" s="319">
        <v>383</v>
      </c>
      <c r="C385" s="729">
        <v>162890</v>
      </c>
      <c r="D385" s="706">
        <v>15642573</v>
      </c>
      <c r="E385" s="1112" t="s">
        <v>5828</v>
      </c>
      <c r="F385" s="714">
        <v>59</v>
      </c>
      <c r="G385" s="713" t="s">
        <v>1217</v>
      </c>
      <c r="H385" s="713" t="s">
        <v>1217</v>
      </c>
      <c r="I385" s="713">
        <v>987617568</v>
      </c>
      <c r="J385" s="729" t="s">
        <v>1905</v>
      </c>
      <c r="K385" s="298">
        <v>46142</v>
      </c>
      <c r="L385" s="1146" t="s">
        <v>1040</v>
      </c>
      <c r="M385" s="266" t="s">
        <v>230</v>
      </c>
      <c r="N385" s="266" t="s">
        <v>317</v>
      </c>
      <c r="O385" s="956">
        <v>46147</v>
      </c>
      <c r="P385" s="729"/>
      <c r="Q385" s="266" t="s">
        <v>5829</v>
      </c>
      <c r="R385" s="729"/>
    </row>
    <row r="386" spans="1:18" ht="15" customHeight="1">
      <c r="A386" s="266"/>
      <c r="B386" s="320">
        <v>384</v>
      </c>
      <c r="C386" s="266">
        <v>189581</v>
      </c>
      <c r="D386" s="266">
        <v>45416022</v>
      </c>
      <c r="E386" s="672" t="s">
        <v>5830</v>
      </c>
      <c r="F386" s="319">
        <v>53</v>
      </c>
      <c r="G386" s="266" t="s">
        <v>5831</v>
      </c>
      <c r="H386" s="266" t="s">
        <v>278</v>
      </c>
      <c r="I386" s="266">
        <v>933070635</v>
      </c>
      <c r="J386" s="266" t="s">
        <v>429</v>
      </c>
      <c r="K386" s="298">
        <v>46142</v>
      </c>
      <c r="L386" s="1146" t="s">
        <v>1040</v>
      </c>
      <c r="M386" s="266" t="s">
        <v>230</v>
      </c>
      <c r="N386" s="266" t="s">
        <v>317</v>
      </c>
      <c r="O386" s="1139">
        <v>46147</v>
      </c>
      <c r="P386" s="266"/>
      <c r="Q386" s="242" t="s">
        <v>5745</v>
      </c>
      <c r="R386" s="266"/>
    </row>
    <row r="387" spans="1:18" ht="15" customHeight="1">
      <c r="A387" s="206"/>
      <c r="B387" s="319">
        <v>385</v>
      </c>
      <c r="C387" s="43">
        <v>171267</v>
      </c>
      <c r="D387" s="1054" t="s">
        <v>5832</v>
      </c>
      <c r="E387" s="648" t="s">
        <v>5833</v>
      </c>
      <c r="F387" s="320">
        <v>59</v>
      </c>
      <c r="G387" s="43" t="s">
        <v>5834</v>
      </c>
      <c r="H387" s="43" t="s">
        <v>5835</v>
      </c>
      <c r="I387" s="43">
        <v>960980717</v>
      </c>
      <c r="J387" s="43" t="s">
        <v>238</v>
      </c>
      <c r="K387" s="298">
        <v>46142</v>
      </c>
      <c r="L387" s="1146" t="s">
        <v>1040</v>
      </c>
      <c r="M387" s="266" t="s">
        <v>230</v>
      </c>
      <c r="N387" s="266" t="s">
        <v>317</v>
      </c>
      <c r="O387" s="1144">
        <v>46147</v>
      </c>
      <c r="P387" s="244"/>
      <c r="Q387" s="242"/>
      <c r="R387" s="43"/>
    </row>
  </sheetData>
  <autoFilter ref="A1:AJ387" xr:uid="{90BBCF21-C0DE-4730-AE45-12861E1E756D}">
    <filterColumn colId="30" showButton="0"/>
    <filterColumn colId="31" showButton="0"/>
  </autoFilter>
  <mergeCells count="31">
    <mergeCell ref="AH1:AH2"/>
    <mergeCell ref="AI1:AI2"/>
    <mergeCell ref="AJ1:AJ2"/>
    <mergeCell ref="Y1:Y2"/>
    <mergeCell ref="Z1:Z2"/>
    <mergeCell ref="AA1:AA2"/>
    <mergeCell ref="AE1:AG1"/>
    <mergeCell ref="T1:T2"/>
    <mergeCell ref="U1:U2"/>
    <mergeCell ref="V1:V2"/>
    <mergeCell ref="W1:W2"/>
    <mergeCell ref="X1:X2"/>
    <mergeCell ref="O1:O2"/>
    <mergeCell ref="P1:P2"/>
    <mergeCell ref="Q1:Q2"/>
    <mergeCell ref="R1:R2"/>
    <mergeCell ref="S1:S2"/>
    <mergeCell ref="J1:J2"/>
    <mergeCell ref="K1:K2"/>
    <mergeCell ref="L1:L2"/>
    <mergeCell ref="M1:M2"/>
    <mergeCell ref="N1:N2"/>
    <mergeCell ref="F1:F2"/>
    <mergeCell ref="G1:G2"/>
    <mergeCell ref="H1:H2"/>
    <mergeCell ref="I1:I2"/>
    <mergeCell ref="A1:A2"/>
    <mergeCell ref="B1:B2"/>
    <mergeCell ref="C1:C2"/>
    <mergeCell ref="D1:D2"/>
    <mergeCell ref="E1: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A960-0EA5-4166-B369-2E676AD2C2B3}">
  <sheetPr>
    <outlinePr summaryBelow="0" summaryRight="0"/>
  </sheetPr>
  <dimension ref="A1:GN136"/>
  <sheetViews>
    <sheetView workbookViewId="0">
      <selection activeCell="D2" sqref="D2:I2"/>
    </sheetView>
  </sheetViews>
  <sheetFormatPr defaultColWidth="14.42578125" defaultRowHeight="15" customHeight="1"/>
  <cols>
    <col min="1" max="1" width="12.85546875" style="5" customWidth="1"/>
    <col min="2" max="2" width="3.28515625" style="5" customWidth="1"/>
    <col min="3" max="3" width="8.5703125" style="5" customWidth="1"/>
    <col min="4" max="4" width="9.140625" style="5" customWidth="1"/>
    <col min="5" max="5" width="35.42578125" style="5" customWidth="1"/>
    <col min="6" max="6" width="11.140625" style="5" customWidth="1"/>
    <col min="7" max="7" width="5.140625" style="5" customWidth="1"/>
    <col min="8" max="8" width="10.140625" style="5" customWidth="1"/>
    <col min="9" max="9" width="10.85546875" style="5" customWidth="1"/>
    <col min="10" max="10" width="15.140625" style="5" customWidth="1"/>
    <col min="11" max="11" width="41.140625" style="5" customWidth="1"/>
    <col min="12" max="12" width="12" style="5" customWidth="1"/>
    <col min="13" max="13" width="11" style="5" customWidth="1"/>
    <col min="14" max="14" width="10.140625" style="5" customWidth="1"/>
    <col min="15" max="15" width="5.42578125" style="5" customWidth="1"/>
    <col min="16" max="16" width="13.7109375" style="5" customWidth="1"/>
    <col min="17" max="17" width="4" style="5" customWidth="1"/>
    <col min="18" max="18" width="19.140625" style="5" customWidth="1"/>
    <col min="19" max="19" width="10.85546875" style="5" customWidth="1"/>
    <col min="20" max="20" width="12.42578125" style="5" customWidth="1"/>
    <col min="21" max="21" width="9.7109375" style="5" customWidth="1"/>
    <col min="22" max="22" width="7.85546875" style="5" customWidth="1"/>
    <col min="23" max="23" width="11.28515625" style="5" customWidth="1"/>
    <col min="24" max="26" width="14.42578125" style="5"/>
    <col min="27" max="27" width="11.7109375" style="5" customWidth="1"/>
    <col min="28" max="28" width="14.42578125" style="5"/>
    <col min="29" max="29" width="21.28515625" style="5" customWidth="1"/>
    <col min="30" max="30" width="16.5703125" style="5" customWidth="1"/>
    <col min="31" max="16384" width="14.42578125" style="5"/>
  </cols>
  <sheetData>
    <row r="1" spans="1:196" customFormat="1" ht="42.75" customHeight="1">
      <c r="A1" s="1157" t="s">
        <v>5836</v>
      </c>
      <c r="B1" s="1157" t="s">
        <v>187</v>
      </c>
      <c r="C1" s="1157" t="s">
        <v>5837</v>
      </c>
      <c r="D1" s="1158" t="s">
        <v>189</v>
      </c>
      <c r="E1" s="1157" t="s">
        <v>190</v>
      </c>
      <c r="F1" s="1159" t="s">
        <v>5838</v>
      </c>
      <c r="G1" s="1157" t="s">
        <v>191</v>
      </c>
      <c r="H1" s="1159" t="s">
        <v>5839</v>
      </c>
      <c r="I1" s="1159" t="s">
        <v>5840</v>
      </c>
      <c r="J1" s="1157" t="s">
        <v>5841</v>
      </c>
      <c r="K1" s="1157" t="s">
        <v>192</v>
      </c>
      <c r="L1" s="1157" t="s">
        <v>193</v>
      </c>
      <c r="M1" s="1157" t="s">
        <v>3099</v>
      </c>
      <c r="N1" s="1157" t="s">
        <v>5842</v>
      </c>
      <c r="O1" s="1157" t="s">
        <v>5843</v>
      </c>
      <c r="P1" s="1157" t="s">
        <v>5844</v>
      </c>
      <c r="Q1" s="1157" t="s">
        <v>5845</v>
      </c>
      <c r="R1" s="1157" t="s">
        <v>195</v>
      </c>
      <c r="S1" s="1157" t="s">
        <v>5846</v>
      </c>
      <c r="T1" s="1157" t="s">
        <v>5847</v>
      </c>
      <c r="U1" s="1157" t="s">
        <v>5848</v>
      </c>
      <c r="V1" s="1157" t="s">
        <v>5849</v>
      </c>
      <c r="W1" s="1160" t="s">
        <v>5850</v>
      </c>
      <c r="X1" s="1161" t="s">
        <v>197</v>
      </c>
      <c r="Y1" s="1162" t="s">
        <v>205</v>
      </c>
      <c r="Z1" s="1163" t="s">
        <v>199</v>
      </c>
      <c r="AA1" s="1157" t="s">
        <v>200</v>
      </c>
      <c r="AB1" s="1164" t="s">
        <v>5851</v>
      </c>
      <c r="AC1" s="1392" t="s">
        <v>5852</v>
      </c>
      <c r="AD1" s="1392" t="s">
        <v>202</v>
      </c>
      <c r="AE1" s="1157" t="s">
        <v>203</v>
      </c>
      <c r="AF1" s="1157" t="s">
        <v>5853</v>
      </c>
      <c r="AG1" s="1157" t="s">
        <v>205</v>
      </c>
      <c r="AH1" s="1157" t="s">
        <v>199</v>
      </c>
      <c r="AI1" s="1157" t="s">
        <v>5854</v>
      </c>
      <c r="AJ1" s="1157" t="s">
        <v>5855</v>
      </c>
      <c r="AK1" s="1160" t="s">
        <v>5856</v>
      </c>
      <c r="AL1" s="1165" t="s">
        <v>199</v>
      </c>
      <c r="AM1" s="1165" t="s">
        <v>5857</v>
      </c>
      <c r="AN1" s="1165" t="s">
        <v>5858</v>
      </c>
      <c r="AO1" s="1165" t="s">
        <v>5859</v>
      </c>
      <c r="AP1" s="1165" t="s">
        <v>5860</v>
      </c>
      <c r="AQ1" s="1165" t="s">
        <v>5861</v>
      </c>
      <c r="AR1" s="1099"/>
      <c r="AS1" s="1099"/>
      <c r="AT1" s="1099"/>
      <c r="AU1" s="1099"/>
      <c r="AV1" s="1099"/>
      <c r="AW1" s="1099"/>
      <c r="AX1" s="1099"/>
      <c r="AY1" s="1099"/>
      <c r="AZ1" s="1099"/>
      <c r="BA1" s="1099"/>
      <c r="BB1" s="1099"/>
      <c r="BC1" s="1099"/>
      <c r="BD1" s="1099"/>
      <c r="BE1" s="1099"/>
      <c r="BF1" s="1099"/>
      <c r="BG1" s="1099"/>
      <c r="BH1" s="1099"/>
      <c r="BI1" s="1099"/>
      <c r="BJ1" s="1099"/>
      <c r="BK1" s="1099"/>
      <c r="BL1" s="1099"/>
      <c r="BM1" s="1099"/>
      <c r="BN1" s="1099"/>
      <c r="BO1" s="1099"/>
      <c r="BP1" s="1099"/>
      <c r="BQ1" s="1099"/>
      <c r="BR1" s="1099"/>
      <c r="BS1" s="1099"/>
      <c r="BT1" s="1099"/>
      <c r="BU1" s="1099"/>
      <c r="BV1" s="1099"/>
      <c r="BW1" s="1099"/>
      <c r="BX1" s="1099"/>
      <c r="BY1" s="1099"/>
      <c r="BZ1" s="1099"/>
      <c r="CA1" s="1099"/>
      <c r="CB1" s="1099"/>
      <c r="CC1" s="1099"/>
      <c r="CD1" s="1099"/>
      <c r="CE1" s="1099"/>
      <c r="CF1" s="1099"/>
      <c r="CG1" s="1099"/>
      <c r="CH1" s="1099"/>
      <c r="CI1" s="1099"/>
      <c r="CJ1" s="1099"/>
      <c r="CK1" s="1099"/>
      <c r="CL1" s="1099"/>
      <c r="CM1" s="1099"/>
      <c r="CN1" s="1099"/>
      <c r="CO1" s="1099"/>
      <c r="CP1" s="1099"/>
      <c r="CQ1" s="1099"/>
      <c r="CR1" s="1099"/>
      <c r="CS1" s="1099"/>
      <c r="CT1" s="1099"/>
      <c r="CU1" s="1099"/>
      <c r="CV1" s="1099"/>
      <c r="CW1" s="1099"/>
      <c r="CX1" s="1099"/>
      <c r="CY1" s="1099"/>
      <c r="CZ1" s="1099"/>
      <c r="DA1" s="1099"/>
      <c r="DB1" s="1099"/>
      <c r="DC1" s="1099"/>
      <c r="DD1" s="1099"/>
      <c r="DE1" s="1099"/>
      <c r="DF1" s="1099"/>
      <c r="DG1" s="1099"/>
      <c r="DH1" s="1099"/>
      <c r="DI1" s="1099"/>
      <c r="DJ1" s="1099"/>
      <c r="DK1" s="1099"/>
      <c r="DL1" s="1099"/>
      <c r="DM1" s="1099"/>
      <c r="DN1" s="1099"/>
      <c r="DO1" s="1099"/>
      <c r="DP1" s="1099"/>
      <c r="DQ1" s="1099"/>
      <c r="DR1" s="1099"/>
      <c r="DS1" s="1099"/>
      <c r="DT1" s="1099"/>
      <c r="DU1" s="1099"/>
      <c r="DV1" s="1099"/>
      <c r="DW1" s="1099"/>
      <c r="DX1" s="1099"/>
      <c r="DY1" s="1099"/>
      <c r="DZ1" s="1099"/>
      <c r="EA1" s="1099"/>
      <c r="EB1" s="1099"/>
      <c r="EC1" s="1099"/>
      <c r="ED1" s="1099"/>
      <c r="EE1" s="1099"/>
      <c r="EF1" s="1099"/>
      <c r="EG1" s="1099"/>
      <c r="EH1" s="1099"/>
      <c r="EI1" s="1099"/>
      <c r="EJ1" s="1099"/>
      <c r="EK1" s="1099"/>
      <c r="EL1" s="1099"/>
      <c r="EM1" s="1099"/>
      <c r="EN1" s="1099"/>
      <c r="EO1" s="1099"/>
      <c r="EP1" s="1099"/>
      <c r="EQ1" s="1099"/>
      <c r="ER1" s="1099"/>
      <c r="ES1" s="1099"/>
      <c r="ET1" s="1099"/>
      <c r="EU1" s="1099"/>
      <c r="EV1" s="1099"/>
      <c r="EW1" s="1099"/>
      <c r="EX1" s="1099"/>
      <c r="EY1" s="1099"/>
      <c r="EZ1" s="1099"/>
      <c r="FA1" s="1099"/>
      <c r="FB1" s="1099"/>
      <c r="FC1" s="1099"/>
      <c r="FD1" s="1099"/>
      <c r="FE1" s="1099"/>
      <c r="FF1" s="1099"/>
      <c r="FG1" s="1099"/>
      <c r="FH1" s="1099"/>
      <c r="FI1" s="1099"/>
      <c r="FJ1" s="1099"/>
      <c r="FK1" s="1099"/>
      <c r="FL1" s="1099"/>
      <c r="FM1" s="1099"/>
      <c r="FN1" s="1099"/>
      <c r="FO1" s="1099"/>
      <c r="FP1" s="1099"/>
      <c r="FQ1" s="1099"/>
      <c r="FR1" s="1099"/>
      <c r="FS1" s="1099"/>
      <c r="FT1" s="1099"/>
      <c r="FU1" s="1099"/>
      <c r="FV1" s="1099"/>
      <c r="FW1" s="1099"/>
      <c r="FX1" s="1099"/>
      <c r="FY1" s="1099"/>
      <c r="FZ1" s="1099"/>
      <c r="GA1" s="1099"/>
      <c r="GB1" s="1099"/>
      <c r="GC1" s="1099"/>
      <c r="GD1" s="1099"/>
      <c r="GE1" s="1099"/>
      <c r="GF1" s="1099"/>
      <c r="GG1" s="1099"/>
      <c r="GH1" s="1099"/>
      <c r="GI1" s="1099"/>
      <c r="GJ1" s="1099"/>
      <c r="GK1" s="1099"/>
      <c r="GL1" s="1099"/>
      <c r="GM1" s="1099"/>
      <c r="GN1" s="1099"/>
    </row>
    <row r="2" spans="1:196" customFormat="1">
      <c r="A2" s="1393">
        <v>46146</v>
      </c>
      <c r="B2" s="140">
        <v>1</v>
      </c>
      <c r="C2" s="140">
        <v>118815</v>
      </c>
      <c r="D2" s="1166">
        <v>15733705</v>
      </c>
      <c r="E2" s="1167" t="s">
        <v>5862</v>
      </c>
      <c r="F2" s="1168">
        <v>46146</v>
      </c>
      <c r="G2" s="1169">
        <v>54</v>
      </c>
      <c r="H2" s="1168">
        <v>25884</v>
      </c>
      <c r="I2" s="1168">
        <v>46146</v>
      </c>
      <c r="J2" s="1169" t="s">
        <v>5863</v>
      </c>
      <c r="K2" s="1169"/>
      <c r="L2" s="1169" t="s">
        <v>5864</v>
      </c>
      <c r="M2" s="1170">
        <v>973442958</v>
      </c>
      <c r="N2" s="1170"/>
      <c r="O2" s="1169" t="s">
        <v>5865</v>
      </c>
      <c r="P2" s="325" t="s">
        <v>5866</v>
      </c>
      <c r="Q2" s="1061" t="s">
        <v>5867</v>
      </c>
      <c r="R2" s="1391" t="s">
        <v>238</v>
      </c>
      <c r="S2" s="1172" t="s">
        <v>5868</v>
      </c>
      <c r="T2" s="1169" t="s">
        <v>5869</v>
      </c>
      <c r="U2" s="1173">
        <v>46146</v>
      </c>
      <c r="V2" s="1174">
        <v>0.2986111111111111</v>
      </c>
      <c r="W2" s="1175">
        <v>46146</v>
      </c>
      <c r="X2" s="1204" t="s">
        <v>1670</v>
      </c>
      <c r="Y2" s="1143" t="s">
        <v>5870</v>
      </c>
      <c r="Z2" s="1203" t="s">
        <v>3105</v>
      </c>
      <c r="AA2" s="1177">
        <v>46147</v>
      </c>
      <c r="AB2" s="244"/>
      <c r="AC2" s="1178"/>
      <c r="AD2" s="1178"/>
      <c r="AE2" s="43"/>
      <c r="AF2" s="43"/>
      <c r="AG2" s="43"/>
      <c r="AH2" s="43"/>
      <c r="AI2" s="43"/>
      <c r="AJ2" s="43"/>
      <c r="AK2" s="43"/>
      <c r="AL2" s="43"/>
      <c r="AM2" s="43"/>
      <c r="AN2" s="43"/>
      <c r="AO2" s="43"/>
      <c r="AP2" s="43"/>
      <c r="AQ2" s="43"/>
      <c r="AR2" s="434"/>
      <c r="AS2" s="434"/>
      <c r="AT2" s="434"/>
      <c r="AU2" s="434"/>
      <c r="AV2" s="434"/>
      <c r="AW2" s="434"/>
      <c r="AX2" s="434"/>
      <c r="AY2" s="434"/>
      <c r="AZ2" s="434"/>
      <c r="BA2" s="434"/>
      <c r="BB2" s="434"/>
      <c r="BC2" s="434"/>
      <c r="BD2" s="434"/>
      <c r="BE2" s="434"/>
      <c r="BF2" s="434"/>
      <c r="BG2" s="434"/>
      <c r="BH2" s="434"/>
      <c r="BI2" s="434"/>
      <c r="BJ2" s="434"/>
      <c r="BK2" s="434"/>
      <c r="BL2" s="434"/>
      <c r="BM2" s="434"/>
      <c r="BN2" s="434"/>
      <c r="BO2" s="434"/>
      <c r="BP2" s="434"/>
      <c r="BQ2" s="434"/>
      <c r="BR2" s="434"/>
      <c r="BS2" s="434"/>
      <c r="BT2" s="434"/>
      <c r="BU2" s="434"/>
      <c r="BV2" s="434"/>
      <c r="BW2" s="434"/>
      <c r="BX2" s="434"/>
      <c r="BY2" s="434"/>
      <c r="BZ2" s="434"/>
      <c r="CA2" s="434"/>
      <c r="CB2" s="434"/>
      <c r="CC2" s="434"/>
      <c r="CD2" s="434"/>
      <c r="CE2" s="434"/>
      <c r="CF2" s="434"/>
      <c r="CG2" s="434"/>
      <c r="CH2" s="434"/>
      <c r="CI2" s="434"/>
      <c r="CJ2" s="434"/>
      <c r="CK2" s="434"/>
      <c r="CL2" s="434"/>
      <c r="CM2" s="434"/>
      <c r="CN2" s="434"/>
      <c r="CO2" s="434"/>
      <c r="CP2" s="434"/>
      <c r="CQ2" s="434"/>
      <c r="CR2" s="434"/>
      <c r="CS2" s="434"/>
      <c r="CT2" s="434"/>
      <c r="CU2" s="434"/>
      <c r="CV2" s="434"/>
      <c r="CW2" s="434"/>
      <c r="CX2" s="434"/>
      <c r="CY2" s="434"/>
      <c r="CZ2" s="434"/>
      <c r="DA2" s="434"/>
      <c r="DB2" s="434"/>
      <c r="DC2" s="434"/>
      <c r="DD2" s="434"/>
      <c r="DE2" s="434"/>
      <c r="DF2" s="434"/>
      <c r="DG2" s="434"/>
      <c r="DH2" s="434"/>
      <c r="DI2" s="434"/>
      <c r="DJ2" s="434"/>
      <c r="DK2" s="434"/>
      <c r="DL2" s="434"/>
      <c r="DM2" s="434"/>
      <c r="DN2" s="434"/>
      <c r="DO2" s="434"/>
      <c r="DP2" s="434"/>
      <c r="DQ2" s="434"/>
      <c r="DR2" s="434"/>
      <c r="DS2" s="434"/>
      <c r="DT2" s="434"/>
      <c r="DU2" s="434"/>
      <c r="DV2" s="434"/>
      <c r="DW2" s="434"/>
      <c r="DX2" s="434"/>
      <c r="DY2" s="434"/>
      <c r="DZ2" s="434"/>
      <c r="EA2" s="434"/>
      <c r="EB2" s="434"/>
      <c r="EC2" s="434"/>
      <c r="ED2" s="434"/>
      <c r="EE2" s="434"/>
      <c r="EF2" s="434"/>
      <c r="EG2" s="434"/>
      <c r="EH2" s="434"/>
      <c r="EI2" s="434"/>
      <c r="EJ2" s="434"/>
      <c r="EK2" s="434"/>
      <c r="EL2" s="434"/>
      <c r="EM2" s="434"/>
      <c r="EN2" s="434"/>
      <c r="EO2" s="434"/>
      <c r="EP2" s="434"/>
      <c r="EQ2" s="434"/>
      <c r="ER2" s="434"/>
      <c r="ES2" s="434"/>
      <c r="ET2" s="434"/>
      <c r="EU2" s="434"/>
      <c r="EV2" s="434"/>
      <c r="EW2" s="434"/>
      <c r="EX2" s="434"/>
      <c r="EY2" s="434"/>
      <c r="EZ2" s="434"/>
      <c r="FA2" s="434"/>
      <c r="FB2" s="434"/>
      <c r="FC2" s="434"/>
      <c r="FD2" s="434"/>
      <c r="FE2" s="434"/>
      <c r="FF2" s="434"/>
      <c r="FG2" s="434"/>
      <c r="FH2" s="434"/>
      <c r="FI2" s="434"/>
      <c r="FJ2" s="434"/>
      <c r="FK2" s="434"/>
      <c r="FL2" s="434"/>
      <c r="FM2" s="434"/>
      <c r="FN2" s="434"/>
      <c r="FO2" s="434"/>
      <c r="FP2" s="434"/>
      <c r="FQ2" s="434"/>
      <c r="FR2" s="434"/>
      <c r="FS2" s="434"/>
      <c r="FT2" s="434"/>
      <c r="FU2" s="434"/>
      <c r="FV2" s="434"/>
      <c r="FW2" s="434"/>
      <c r="FX2" s="434"/>
      <c r="FY2" s="434"/>
      <c r="FZ2" s="434"/>
      <c r="GA2" s="434"/>
      <c r="GB2" s="434"/>
      <c r="GC2" s="434"/>
      <c r="GD2" s="434"/>
      <c r="GE2" s="434"/>
      <c r="GF2" s="434"/>
      <c r="GG2" s="434"/>
      <c r="GH2" s="434"/>
      <c r="GI2" s="434"/>
      <c r="GJ2" s="434"/>
      <c r="GK2" s="434"/>
      <c r="GL2" s="434"/>
      <c r="GM2" s="434"/>
      <c r="GN2" s="434"/>
    </row>
    <row r="3" spans="1:196" customFormat="1">
      <c r="A3" s="1179"/>
      <c r="B3" s="140">
        <v>2</v>
      </c>
      <c r="C3" s="140">
        <v>71886</v>
      </c>
      <c r="D3" s="1166">
        <v>15756769</v>
      </c>
      <c r="E3" s="1167" t="s">
        <v>5871</v>
      </c>
      <c r="F3" s="1168">
        <v>46142</v>
      </c>
      <c r="G3" s="1169">
        <v>65</v>
      </c>
      <c r="H3" s="1168">
        <v>22309</v>
      </c>
      <c r="I3" s="1168">
        <v>46146</v>
      </c>
      <c r="J3" s="1169" t="s">
        <v>5872</v>
      </c>
      <c r="K3" s="1169"/>
      <c r="L3" s="1169" t="s">
        <v>222</v>
      </c>
      <c r="M3" s="1169">
        <v>968218670</v>
      </c>
      <c r="N3" s="1169"/>
      <c r="O3" s="1169" t="s">
        <v>5865</v>
      </c>
      <c r="P3" s="325" t="s">
        <v>5866</v>
      </c>
      <c r="Q3" s="1061" t="s">
        <v>5867</v>
      </c>
      <c r="R3" s="1391" t="s">
        <v>283</v>
      </c>
      <c r="S3" s="1169" t="s">
        <v>5868</v>
      </c>
      <c r="T3" s="1169" t="s">
        <v>5873</v>
      </c>
      <c r="U3" s="1173">
        <v>46146</v>
      </c>
      <c r="V3" s="1174">
        <v>0.3125</v>
      </c>
      <c r="W3" s="1175">
        <v>46146</v>
      </c>
      <c r="X3" s="1204" t="s">
        <v>4891</v>
      </c>
      <c r="Y3" s="1143" t="s">
        <v>5874</v>
      </c>
      <c r="Z3" s="1203" t="s">
        <v>317</v>
      </c>
      <c r="AA3" s="1180">
        <v>46147</v>
      </c>
      <c r="AB3" s="244"/>
      <c r="AC3" s="1178" t="s">
        <v>5875</v>
      </c>
      <c r="AD3" s="1178"/>
      <c r="AE3" s="43"/>
      <c r="AF3" s="43"/>
      <c r="AG3" s="43"/>
      <c r="AH3" s="43"/>
      <c r="AI3" s="43"/>
      <c r="AJ3" s="43"/>
      <c r="AK3" s="43"/>
      <c r="AL3" s="43"/>
      <c r="AM3" s="43"/>
      <c r="AN3" s="43"/>
      <c r="AO3" s="43"/>
      <c r="AP3" s="43"/>
      <c r="AQ3" s="43"/>
      <c r="AR3" s="434"/>
      <c r="AS3" s="434"/>
      <c r="AT3" s="434"/>
      <c r="AU3" s="434"/>
      <c r="AV3" s="434"/>
      <c r="AW3" s="434"/>
      <c r="AX3" s="434"/>
      <c r="AY3" s="434"/>
      <c r="AZ3" s="434"/>
      <c r="BA3" s="434"/>
      <c r="BB3" s="434"/>
      <c r="BC3" s="434"/>
      <c r="BD3" s="434"/>
      <c r="BE3" s="434"/>
      <c r="BF3" s="434"/>
      <c r="BG3" s="434"/>
      <c r="BH3" s="434"/>
      <c r="BI3" s="434"/>
      <c r="BJ3" s="434"/>
      <c r="BK3" s="434"/>
      <c r="BL3" s="434"/>
      <c r="BM3" s="434"/>
      <c r="BN3" s="434"/>
      <c r="BO3" s="434"/>
      <c r="BP3" s="434"/>
      <c r="BQ3" s="434"/>
      <c r="BR3" s="434"/>
      <c r="BS3" s="434"/>
      <c r="BT3" s="434"/>
      <c r="BU3" s="434"/>
      <c r="BV3" s="434"/>
      <c r="BW3" s="434"/>
      <c r="BX3" s="434"/>
      <c r="BY3" s="434"/>
      <c r="BZ3" s="434"/>
      <c r="CA3" s="434"/>
      <c r="CB3" s="434"/>
      <c r="CC3" s="434"/>
      <c r="CD3" s="434"/>
      <c r="CE3" s="434"/>
      <c r="CF3" s="434"/>
      <c r="CG3" s="434"/>
      <c r="CH3" s="434"/>
      <c r="CI3" s="434"/>
      <c r="CJ3" s="434"/>
      <c r="CK3" s="434"/>
      <c r="CL3" s="434"/>
      <c r="CM3" s="434"/>
      <c r="CN3" s="434"/>
      <c r="CO3" s="434"/>
      <c r="CP3" s="434"/>
      <c r="CQ3" s="434"/>
      <c r="CR3" s="434"/>
      <c r="CS3" s="434"/>
      <c r="CT3" s="434"/>
      <c r="CU3" s="434"/>
      <c r="CV3" s="434"/>
      <c r="CW3" s="434"/>
      <c r="CX3" s="434"/>
      <c r="CY3" s="434"/>
      <c r="CZ3" s="434"/>
      <c r="DA3" s="434"/>
      <c r="DB3" s="434"/>
      <c r="DC3" s="434"/>
      <c r="DD3" s="434"/>
      <c r="DE3" s="434"/>
      <c r="DF3" s="434"/>
      <c r="DG3" s="434"/>
      <c r="DH3" s="434"/>
      <c r="DI3" s="434"/>
      <c r="DJ3" s="434"/>
      <c r="DK3" s="434"/>
      <c r="DL3" s="434"/>
      <c r="DM3" s="434"/>
      <c r="DN3" s="434"/>
      <c r="DO3" s="434"/>
      <c r="DP3" s="434"/>
      <c r="DQ3" s="434"/>
      <c r="DR3" s="434"/>
      <c r="DS3" s="434"/>
      <c r="DT3" s="434"/>
      <c r="DU3" s="434"/>
      <c r="DV3" s="434"/>
      <c r="DW3" s="434"/>
      <c r="DX3" s="434"/>
      <c r="DY3" s="434"/>
      <c r="DZ3" s="434"/>
      <c r="EA3" s="434"/>
      <c r="EB3" s="434"/>
      <c r="EC3" s="434"/>
      <c r="ED3" s="434"/>
      <c r="EE3" s="434"/>
      <c r="EF3" s="434"/>
      <c r="EG3" s="434"/>
      <c r="EH3" s="434"/>
      <c r="EI3" s="434"/>
      <c r="EJ3" s="434"/>
      <c r="EK3" s="434"/>
      <c r="EL3" s="434"/>
      <c r="EM3" s="434"/>
      <c r="EN3" s="434"/>
      <c r="EO3" s="434"/>
      <c r="EP3" s="434"/>
      <c r="EQ3" s="434"/>
      <c r="ER3" s="434"/>
      <c r="ES3" s="434"/>
      <c r="ET3" s="434"/>
      <c r="EU3" s="434"/>
      <c r="EV3" s="434"/>
      <c r="EW3" s="434"/>
      <c r="EX3" s="434"/>
      <c r="EY3" s="434"/>
      <c r="EZ3" s="434"/>
      <c r="FA3" s="434"/>
      <c r="FB3" s="434"/>
      <c r="FC3" s="434"/>
      <c r="FD3" s="434"/>
      <c r="FE3" s="434"/>
      <c r="FF3" s="434"/>
      <c r="FG3" s="434"/>
      <c r="FH3" s="434"/>
      <c r="FI3" s="434"/>
      <c r="FJ3" s="434"/>
      <c r="FK3" s="434"/>
      <c r="FL3" s="434"/>
      <c r="FM3" s="434"/>
      <c r="FN3" s="434"/>
      <c r="FO3" s="434"/>
      <c r="FP3" s="434"/>
      <c r="FQ3" s="434"/>
      <c r="FR3" s="434"/>
      <c r="FS3" s="434"/>
      <c r="FT3" s="434"/>
      <c r="FU3" s="434"/>
      <c r="FV3" s="434"/>
      <c r="FW3" s="434"/>
      <c r="FX3" s="434"/>
      <c r="FY3" s="434"/>
      <c r="FZ3" s="434"/>
      <c r="GA3" s="434"/>
      <c r="GB3" s="434"/>
      <c r="GC3" s="434"/>
      <c r="GD3" s="434"/>
      <c r="GE3" s="434"/>
      <c r="GF3" s="434"/>
      <c r="GG3" s="434"/>
      <c r="GH3" s="434"/>
      <c r="GI3" s="434"/>
      <c r="GJ3" s="434"/>
      <c r="GK3" s="434"/>
      <c r="GL3" s="434"/>
      <c r="GM3" s="434"/>
      <c r="GN3" s="434"/>
    </row>
    <row r="4" spans="1:196" customFormat="1" ht="15" customHeight="1">
      <c r="A4" s="1179"/>
      <c r="B4" s="140">
        <v>3</v>
      </c>
      <c r="C4" s="140">
        <v>216516</v>
      </c>
      <c r="D4" s="1166">
        <v>15586222</v>
      </c>
      <c r="E4" s="1167" t="s">
        <v>5876</v>
      </c>
      <c r="F4" s="1168">
        <v>46141</v>
      </c>
      <c r="G4" s="1169">
        <v>43</v>
      </c>
      <c r="H4" s="1168">
        <v>22378</v>
      </c>
      <c r="I4" s="1168">
        <v>46146</v>
      </c>
      <c r="J4" s="1169" t="s">
        <v>5877</v>
      </c>
      <c r="K4" s="1169"/>
      <c r="L4" s="1169" t="s">
        <v>278</v>
      </c>
      <c r="M4" s="1169">
        <v>9455324771</v>
      </c>
      <c r="N4" s="1169"/>
      <c r="O4" s="1169" t="s">
        <v>5865</v>
      </c>
      <c r="P4" s="325" t="s">
        <v>5866</v>
      </c>
      <c r="Q4" s="1061" t="s">
        <v>5867</v>
      </c>
      <c r="R4" s="1391" t="s">
        <v>238</v>
      </c>
      <c r="S4" s="1169" t="s">
        <v>5868</v>
      </c>
      <c r="T4" s="1169" t="s">
        <v>5869</v>
      </c>
      <c r="U4" s="1168">
        <v>46146</v>
      </c>
      <c r="V4" s="1174">
        <v>0.31944444444444442</v>
      </c>
      <c r="W4" s="1175">
        <v>46146</v>
      </c>
      <c r="X4" s="1143" t="s">
        <v>5878</v>
      </c>
      <c r="Y4" s="1143" t="s">
        <v>5879</v>
      </c>
      <c r="Z4" s="1176" t="s">
        <v>3105</v>
      </c>
      <c r="AA4" s="1177">
        <v>46147</v>
      </c>
      <c r="AB4" s="244"/>
      <c r="AC4" s="1178"/>
      <c r="AD4" s="1178"/>
      <c r="AE4" s="43"/>
      <c r="AF4" s="43"/>
      <c r="AG4" s="43"/>
      <c r="AH4" s="43"/>
      <c r="AI4" s="43"/>
      <c r="AJ4" s="43"/>
      <c r="AK4" s="43"/>
      <c r="AL4" s="43"/>
      <c r="AM4" s="43"/>
      <c r="AN4" s="43"/>
      <c r="AO4" s="43"/>
      <c r="AP4" s="43"/>
      <c r="AQ4" s="43"/>
      <c r="AR4" s="434"/>
      <c r="AS4" s="434"/>
      <c r="AT4" s="434"/>
      <c r="AU4" s="434"/>
      <c r="AV4" s="434"/>
      <c r="AW4" s="434"/>
      <c r="AX4" s="434"/>
      <c r="AY4" s="434"/>
      <c r="AZ4" s="434"/>
      <c r="BA4" s="434"/>
      <c r="BB4" s="434"/>
      <c r="BC4" s="434"/>
      <c r="BD4" s="434"/>
      <c r="BE4" s="434"/>
      <c r="BF4" s="434"/>
      <c r="BG4" s="434"/>
      <c r="BH4" s="434"/>
      <c r="BI4" s="434"/>
      <c r="BJ4" s="434"/>
      <c r="BK4" s="434"/>
      <c r="BL4" s="434"/>
      <c r="BM4" s="434"/>
      <c r="BN4" s="434"/>
      <c r="BO4" s="434"/>
      <c r="BP4" s="434"/>
      <c r="BQ4" s="434"/>
      <c r="BR4" s="434"/>
      <c r="BS4" s="434"/>
      <c r="BT4" s="434"/>
      <c r="BU4" s="434"/>
      <c r="BV4" s="434"/>
      <c r="BW4" s="434"/>
      <c r="BX4" s="434"/>
      <c r="BY4" s="434"/>
      <c r="BZ4" s="434"/>
      <c r="CA4" s="434"/>
      <c r="CB4" s="434"/>
      <c r="CC4" s="434"/>
      <c r="CD4" s="434"/>
      <c r="CE4" s="434"/>
      <c r="CF4" s="434"/>
      <c r="CG4" s="434"/>
      <c r="CH4" s="434"/>
      <c r="CI4" s="434"/>
      <c r="CJ4" s="434"/>
      <c r="CK4" s="434"/>
      <c r="CL4" s="434"/>
      <c r="CM4" s="434"/>
      <c r="CN4" s="434"/>
      <c r="CO4" s="434"/>
      <c r="CP4" s="434"/>
      <c r="CQ4" s="434"/>
      <c r="CR4" s="434"/>
      <c r="CS4" s="434"/>
      <c r="CT4" s="434"/>
      <c r="CU4" s="434"/>
      <c r="CV4" s="434"/>
      <c r="CW4" s="434"/>
      <c r="CX4" s="434"/>
      <c r="CY4" s="434"/>
      <c r="CZ4" s="434"/>
      <c r="DA4" s="434"/>
      <c r="DB4" s="434"/>
      <c r="DC4" s="434"/>
      <c r="DD4" s="434"/>
      <c r="DE4" s="434"/>
      <c r="DF4" s="434"/>
      <c r="DG4" s="434"/>
      <c r="DH4" s="434"/>
      <c r="DI4" s="434"/>
      <c r="DJ4" s="434"/>
      <c r="DK4" s="434"/>
      <c r="DL4" s="434"/>
      <c r="DM4" s="434"/>
      <c r="DN4" s="434"/>
      <c r="DO4" s="434"/>
      <c r="DP4" s="434"/>
      <c r="DQ4" s="434"/>
      <c r="DR4" s="434"/>
      <c r="DS4" s="434"/>
      <c r="DT4" s="434"/>
      <c r="DU4" s="434"/>
      <c r="DV4" s="434"/>
      <c r="DW4" s="434"/>
      <c r="DX4" s="434"/>
      <c r="DY4" s="434"/>
      <c r="DZ4" s="434"/>
      <c r="EA4" s="434"/>
      <c r="EB4" s="434"/>
      <c r="EC4" s="434"/>
      <c r="ED4" s="434"/>
      <c r="EE4" s="434"/>
      <c r="EF4" s="434"/>
      <c r="EG4" s="434"/>
      <c r="EH4" s="434"/>
      <c r="EI4" s="434"/>
      <c r="EJ4" s="434"/>
      <c r="EK4" s="434"/>
      <c r="EL4" s="434"/>
      <c r="EM4" s="434"/>
      <c r="EN4" s="434"/>
      <c r="EO4" s="434"/>
      <c r="EP4" s="434"/>
      <c r="EQ4" s="434"/>
      <c r="ER4" s="434"/>
      <c r="ES4" s="434"/>
      <c r="ET4" s="434"/>
      <c r="EU4" s="434"/>
      <c r="EV4" s="434"/>
      <c r="EW4" s="434"/>
      <c r="EX4" s="434"/>
      <c r="EY4" s="434"/>
      <c r="EZ4" s="434"/>
      <c r="FA4" s="434"/>
      <c r="FB4" s="434"/>
      <c r="FC4" s="434"/>
      <c r="FD4" s="434"/>
      <c r="FE4" s="434"/>
      <c r="FF4" s="434"/>
      <c r="FG4" s="434"/>
      <c r="FH4" s="434"/>
      <c r="FI4" s="434"/>
      <c r="FJ4" s="434"/>
      <c r="FK4" s="434"/>
      <c r="FL4" s="434"/>
      <c r="FM4" s="434"/>
      <c r="FN4" s="434"/>
      <c r="FO4" s="434"/>
      <c r="FP4" s="434"/>
      <c r="FQ4" s="434"/>
      <c r="FR4" s="434"/>
      <c r="FS4" s="434"/>
      <c r="FT4" s="434"/>
      <c r="FU4" s="434"/>
      <c r="FV4" s="434"/>
      <c r="FW4" s="434"/>
      <c r="FX4" s="434"/>
      <c r="FY4" s="434"/>
      <c r="FZ4" s="434"/>
      <c r="GA4" s="434"/>
      <c r="GB4" s="434"/>
      <c r="GC4" s="434"/>
      <c r="GD4" s="434"/>
      <c r="GE4" s="434"/>
      <c r="GF4" s="434"/>
      <c r="GG4" s="434"/>
      <c r="GH4" s="434"/>
      <c r="GI4" s="434"/>
      <c r="GJ4" s="434"/>
      <c r="GK4" s="434"/>
      <c r="GL4" s="434"/>
      <c r="GM4" s="434"/>
      <c r="GN4" s="434"/>
    </row>
    <row r="5" spans="1:196" ht="15" customHeight="1">
      <c r="A5" s="1179"/>
      <c r="B5" s="140">
        <v>4</v>
      </c>
      <c r="C5" s="140">
        <v>525553</v>
      </c>
      <c r="D5" s="1181">
        <v>41265773</v>
      </c>
      <c r="E5" s="1182" t="s">
        <v>5880</v>
      </c>
      <c r="F5" s="1168">
        <v>46146</v>
      </c>
      <c r="G5" s="1183">
        <v>44</v>
      </c>
      <c r="H5" s="1184">
        <v>30034</v>
      </c>
      <c r="I5" s="1168">
        <v>46146</v>
      </c>
      <c r="J5" s="1169" t="s">
        <v>5872</v>
      </c>
      <c r="K5" s="1169"/>
      <c r="L5" s="1183" t="s">
        <v>2724</v>
      </c>
      <c r="M5" s="1183">
        <v>946182084</v>
      </c>
      <c r="N5" s="1183"/>
      <c r="O5" s="1169" t="s">
        <v>5865</v>
      </c>
      <c r="P5" s="325" t="s">
        <v>5866</v>
      </c>
      <c r="Q5" s="1061" t="s">
        <v>5867</v>
      </c>
      <c r="R5" s="1183" t="s">
        <v>5452</v>
      </c>
      <c r="S5" s="1169" t="s">
        <v>5868</v>
      </c>
      <c r="T5" s="1169" t="s">
        <v>5873</v>
      </c>
      <c r="U5" s="1168">
        <v>46146</v>
      </c>
      <c r="V5" s="1174">
        <v>0.33333333333333331</v>
      </c>
      <c r="W5" s="1175">
        <v>46146</v>
      </c>
      <c r="X5" s="1143" t="s">
        <v>1156</v>
      </c>
      <c r="Y5" s="1143" t="s">
        <v>260</v>
      </c>
      <c r="Z5" s="1176" t="s">
        <v>3105</v>
      </c>
      <c r="AA5" s="1177">
        <v>46147</v>
      </c>
      <c r="AB5" s="244"/>
      <c r="AC5" s="1178" t="s">
        <v>5881</v>
      </c>
      <c r="AD5" s="1178"/>
      <c r="AE5" s="43"/>
      <c r="AF5" s="43"/>
      <c r="AG5" s="43"/>
      <c r="AH5" s="43"/>
      <c r="AI5" s="43"/>
      <c r="AJ5" s="43"/>
      <c r="AK5" s="43"/>
      <c r="AL5" s="43"/>
      <c r="AM5" s="43"/>
      <c r="AN5" s="43"/>
      <c r="AO5" s="43"/>
      <c r="AP5" s="43"/>
      <c r="AQ5" s="43"/>
      <c r="AR5" s="434"/>
      <c r="AS5" s="434"/>
      <c r="AT5" s="434"/>
      <c r="AU5" s="434"/>
      <c r="AV5" s="434"/>
      <c r="AW5" s="434"/>
      <c r="AX5" s="434"/>
      <c r="AY5" s="434"/>
      <c r="AZ5" s="434"/>
      <c r="BA5" s="434"/>
      <c r="BB5" s="434"/>
      <c r="BC5" s="434"/>
      <c r="BD5" s="434"/>
      <c r="BE5" s="434"/>
      <c r="BF5" s="434"/>
      <c r="BG5" s="434"/>
      <c r="BH5" s="434"/>
      <c r="BI5" s="434"/>
      <c r="BJ5" s="434"/>
      <c r="BK5" s="434"/>
      <c r="BL5" s="434"/>
      <c r="BM5" s="434"/>
      <c r="BN5" s="434"/>
      <c r="BO5" s="434"/>
      <c r="BP5" s="434"/>
      <c r="BQ5" s="434"/>
      <c r="BR5" s="434"/>
      <c r="BS5" s="434"/>
      <c r="BT5" s="434"/>
      <c r="BU5" s="434"/>
      <c r="BV5" s="434"/>
      <c r="BW5" s="434"/>
      <c r="BX5" s="434"/>
      <c r="BY5" s="434"/>
      <c r="BZ5" s="434"/>
      <c r="CA5" s="434"/>
      <c r="CB5" s="434"/>
      <c r="CC5" s="434"/>
      <c r="CD5" s="434"/>
      <c r="CE5" s="434"/>
      <c r="CF5" s="434"/>
      <c r="CG5" s="434"/>
      <c r="CH5" s="434"/>
      <c r="CI5" s="434"/>
      <c r="CJ5" s="434"/>
      <c r="CK5" s="434"/>
      <c r="CL5" s="434"/>
      <c r="CM5" s="434"/>
      <c r="CN5" s="434"/>
      <c r="CO5" s="434"/>
      <c r="CP5" s="434"/>
      <c r="CQ5" s="434"/>
      <c r="CR5" s="434"/>
      <c r="CS5" s="434"/>
      <c r="CT5" s="434"/>
      <c r="CU5" s="434"/>
      <c r="CV5" s="434"/>
      <c r="CW5" s="434"/>
      <c r="CX5" s="434"/>
      <c r="CY5" s="434"/>
      <c r="CZ5" s="434"/>
      <c r="DA5" s="434"/>
      <c r="DB5" s="434"/>
      <c r="DC5" s="434"/>
      <c r="DD5" s="434"/>
      <c r="DE5" s="434"/>
      <c r="DF5" s="434"/>
      <c r="DG5" s="434"/>
      <c r="DH5" s="434"/>
      <c r="DI5" s="434"/>
      <c r="DJ5" s="434"/>
      <c r="DK5" s="434"/>
      <c r="DL5" s="434"/>
      <c r="DM5" s="434"/>
      <c r="DN5" s="434"/>
      <c r="DO5" s="434"/>
      <c r="DP5" s="434"/>
      <c r="DQ5" s="434"/>
      <c r="DR5" s="434"/>
      <c r="DS5" s="434"/>
      <c r="DT5" s="434"/>
      <c r="DU5" s="434"/>
      <c r="DV5" s="434"/>
      <c r="DW5" s="434"/>
      <c r="DX5" s="434"/>
      <c r="DY5" s="434"/>
      <c r="DZ5" s="434"/>
      <c r="EA5" s="434"/>
      <c r="EB5" s="434"/>
      <c r="EC5" s="434"/>
      <c r="ED5" s="434"/>
      <c r="EE5" s="434"/>
      <c r="EF5" s="434"/>
      <c r="EG5" s="434"/>
      <c r="EH5" s="434"/>
      <c r="EI5" s="434"/>
      <c r="EJ5" s="434"/>
      <c r="EK5" s="434"/>
      <c r="EL5" s="434"/>
      <c r="EM5" s="434"/>
      <c r="EN5" s="434"/>
      <c r="EO5" s="434"/>
      <c r="EP5" s="434"/>
      <c r="EQ5" s="434"/>
      <c r="ER5" s="434"/>
      <c r="ES5" s="434"/>
      <c r="ET5" s="434"/>
      <c r="EU5" s="434"/>
      <c r="EV5" s="434"/>
      <c r="EW5" s="434"/>
      <c r="EX5" s="434"/>
      <c r="EY5" s="434"/>
      <c r="EZ5" s="434"/>
      <c r="FA5" s="434"/>
      <c r="FB5" s="434"/>
      <c r="FC5" s="434"/>
      <c r="FD5" s="434"/>
      <c r="FE5" s="434"/>
      <c r="FF5" s="434"/>
      <c r="FG5" s="434"/>
      <c r="FH5" s="434"/>
      <c r="FI5" s="434"/>
      <c r="FJ5" s="434"/>
      <c r="FK5" s="434"/>
      <c r="FL5" s="434"/>
      <c r="FM5" s="434"/>
      <c r="FN5" s="434"/>
      <c r="FO5" s="434"/>
      <c r="FP5" s="434"/>
      <c r="FQ5" s="434"/>
      <c r="FR5" s="434"/>
      <c r="FS5" s="434"/>
      <c r="FT5" s="434"/>
      <c r="FU5" s="434"/>
      <c r="FV5" s="434"/>
      <c r="FW5" s="434"/>
      <c r="FX5" s="434"/>
      <c r="FY5" s="434"/>
      <c r="FZ5" s="434"/>
      <c r="GA5" s="434"/>
      <c r="GB5" s="434"/>
      <c r="GC5" s="434"/>
      <c r="GD5" s="434"/>
      <c r="GE5" s="434"/>
      <c r="GF5" s="434"/>
      <c r="GG5" s="434"/>
      <c r="GH5" s="434"/>
      <c r="GI5" s="434"/>
      <c r="GJ5" s="434"/>
      <c r="GK5" s="434"/>
      <c r="GL5" s="434"/>
      <c r="GM5" s="434"/>
      <c r="GN5" s="434"/>
    </row>
    <row r="6" spans="1:196" ht="15" customHeight="1">
      <c r="A6" s="1179"/>
      <c r="B6" s="140">
        <v>5</v>
      </c>
      <c r="C6" s="140">
        <v>160987</v>
      </c>
      <c r="D6" s="1185" t="s">
        <v>5882</v>
      </c>
      <c r="E6" s="1186" t="s">
        <v>5883</v>
      </c>
      <c r="F6" s="1173">
        <v>46146</v>
      </c>
      <c r="G6" s="1172">
        <v>66</v>
      </c>
      <c r="H6" s="1173">
        <v>21929</v>
      </c>
      <c r="I6" s="1173">
        <v>46146</v>
      </c>
      <c r="J6" s="1169" t="s">
        <v>5872</v>
      </c>
      <c r="K6" s="1172"/>
      <c r="L6" s="1172" t="s">
        <v>237</v>
      </c>
      <c r="M6" s="1172">
        <v>963241973</v>
      </c>
      <c r="N6" s="1172"/>
      <c r="O6" s="1169" t="s">
        <v>5865</v>
      </c>
      <c r="P6" s="325" t="s">
        <v>5866</v>
      </c>
      <c r="Q6" s="1061" t="s">
        <v>5867</v>
      </c>
      <c r="R6" s="1172" t="s">
        <v>238</v>
      </c>
      <c r="S6" s="1172" t="s">
        <v>5868</v>
      </c>
      <c r="T6" s="1172" t="s">
        <v>5869</v>
      </c>
      <c r="U6" s="1173">
        <v>46146</v>
      </c>
      <c r="V6" s="1187">
        <v>0.34027777777777779</v>
      </c>
      <c r="W6" s="1175">
        <v>46146</v>
      </c>
      <c r="X6" s="1143" t="s">
        <v>747</v>
      </c>
      <c r="Y6" s="1143" t="s">
        <v>5884</v>
      </c>
      <c r="Z6" s="1176" t="s">
        <v>317</v>
      </c>
      <c r="AA6" s="1177">
        <v>46147</v>
      </c>
      <c r="AB6" s="244"/>
      <c r="AC6" s="1178"/>
      <c r="AD6" s="1178"/>
      <c r="AE6" s="43"/>
      <c r="AF6" s="43"/>
      <c r="AG6" s="43"/>
      <c r="AH6" s="43"/>
      <c r="AI6" s="43"/>
      <c r="AJ6" s="43"/>
      <c r="AK6" s="43"/>
      <c r="AL6" s="43"/>
      <c r="AM6" s="43"/>
      <c r="AN6" s="43"/>
      <c r="AO6" s="43"/>
      <c r="AP6" s="43"/>
      <c r="AQ6" s="43"/>
      <c r="AR6" s="434"/>
      <c r="AS6" s="434"/>
      <c r="AT6" s="434"/>
      <c r="AU6" s="434"/>
      <c r="AV6" s="434"/>
      <c r="AW6" s="434"/>
      <c r="AX6" s="434"/>
      <c r="AY6" s="434"/>
      <c r="AZ6" s="434"/>
      <c r="BA6" s="434"/>
      <c r="BB6" s="434"/>
      <c r="BC6" s="434"/>
      <c r="BD6" s="434"/>
      <c r="BE6" s="434"/>
      <c r="BF6" s="434"/>
      <c r="BG6" s="434"/>
      <c r="BH6" s="434"/>
      <c r="BI6" s="434"/>
      <c r="BJ6" s="434"/>
      <c r="BK6" s="434"/>
      <c r="BL6" s="434"/>
      <c r="BM6" s="434"/>
      <c r="BN6" s="434"/>
      <c r="BO6" s="434"/>
      <c r="BP6" s="434"/>
      <c r="BQ6" s="434"/>
      <c r="BR6" s="434"/>
      <c r="BS6" s="434"/>
      <c r="BT6" s="434"/>
      <c r="BU6" s="434"/>
      <c r="BV6" s="434"/>
      <c r="BW6" s="434"/>
      <c r="BX6" s="434"/>
      <c r="BY6" s="434"/>
      <c r="BZ6" s="434"/>
      <c r="CA6" s="434"/>
      <c r="CB6" s="434"/>
      <c r="CC6" s="434"/>
      <c r="CD6" s="434"/>
      <c r="CE6" s="434"/>
      <c r="CF6" s="434"/>
      <c r="CG6" s="434"/>
      <c r="CH6" s="434"/>
      <c r="CI6" s="434"/>
      <c r="CJ6" s="434"/>
      <c r="CK6" s="434"/>
      <c r="CL6" s="434"/>
      <c r="CM6" s="434"/>
      <c r="CN6" s="434"/>
      <c r="CO6" s="434"/>
      <c r="CP6" s="434"/>
      <c r="CQ6" s="434"/>
      <c r="CR6" s="434"/>
      <c r="CS6" s="434"/>
      <c r="CT6" s="434"/>
      <c r="CU6" s="434"/>
      <c r="CV6" s="434"/>
      <c r="CW6" s="434"/>
      <c r="CX6" s="434"/>
      <c r="CY6" s="434"/>
      <c r="CZ6" s="434"/>
      <c r="DA6" s="434"/>
      <c r="DB6" s="434"/>
      <c r="DC6" s="434"/>
      <c r="DD6" s="434"/>
      <c r="DE6" s="434"/>
      <c r="DF6" s="434"/>
      <c r="DG6" s="434"/>
      <c r="DH6" s="434"/>
      <c r="DI6" s="434"/>
      <c r="DJ6" s="434"/>
      <c r="DK6" s="434"/>
      <c r="DL6" s="434"/>
      <c r="DM6" s="434"/>
      <c r="DN6" s="434"/>
      <c r="DO6" s="434"/>
      <c r="DP6" s="434"/>
      <c r="DQ6" s="434"/>
      <c r="DR6" s="434"/>
      <c r="DS6" s="434"/>
      <c r="DT6" s="434"/>
      <c r="DU6" s="434"/>
      <c r="DV6" s="434"/>
      <c r="DW6" s="434"/>
      <c r="DX6" s="434"/>
      <c r="DY6" s="434"/>
      <c r="DZ6" s="434"/>
      <c r="EA6" s="434"/>
      <c r="EB6" s="434"/>
      <c r="EC6" s="434"/>
      <c r="ED6" s="434"/>
      <c r="EE6" s="434"/>
      <c r="EF6" s="434"/>
      <c r="EG6" s="434"/>
      <c r="EH6" s="434"/>
      <c r="EI6" s="434"/>
      <c r="EJ6" s="434"/>
      <c r="EK6" s="434"/>
      <c r="EL6" s="434"/>
      <c r="EM6" s="434"/>
      <c r="EN6" s="434"/>
      <c r="EO6" s="434"/>
      <c r="EP6" s="434"/>
      <c r="EQ6" s="434"/>
      <c r="ER6" s="434"/>
      <c r="ES6" s="434"/>
      <c r="ET6" s="434"/>
      <c r="EU6" s="434"/>
      <c r="EV6" s="434"/>
      <c r="EW6" s="434"/>
      <c r="EX6" s="434"/>
      <c r="EY6" s="434"/>
      <c r="EZ6" s="434"/>
      <c r="FA6" s="434"/>
      <c r="FB6" s="434"/>
      <c r="FC6" s="434"/>
      <c r="FD6" s="434"/>
      <c r="FE6" s="434"/>
      <c r="FF6" s="434"/>
      <c r="FG6" s="434"/>
      <c r="FH6" s="434"/>
      <c r="FI6" s="434"/>
      <c r="FJ6" s="434"/>
      <c r="FK6" s="434"/>
      <c r="FL6" s="434"/>
      <c r="FM6" s="434"/>
      <c r="FN6" s="434"/>
      <c r="FO6" s="434"/>
      <c r="FP6" s="434"/>
      <c r="FQ6" s="434"/>
      <c r="FR6" s="434"/>
      <c r="FS6" s="434"/>
      <c r="FT6" s="434"/>
      <c r="FU6" s="434"/>
      <c r="FV6" s="434"/>
      <c r="FW6" s="434"/>
      <c r="FX6" s="434"/>
      <c r="FY6" s="434"/>
      <c r="FZ6" s="434"/>
      <c r="GA6" s="434"/>
      <c r="GB6" s="434"/>
      <c r="GC6" s="434"/>
      <c r="GD6" s="434"/>
      <c r="GE6" s="434"/>
      <c r="GF6" s="434"/>
      <c r="GG6" s="434"/>
      <c r="GH6" s="434"/>
      <c r="GI6" s="434"/>
      <c r="GJ6" s="434"/>
      <c r="GK6" s="434"/>
      <c r="GL6" s="434"/>
      <c r="GM6" s="434"/>
      <c r="GN6" s="434"/>
    </row>
    <row r="7" spans="1:196" ht="15" customHeight="1">
      <c r="A7" s="1179"/>
      <c r="B7" s="140">
        <v>6</v>
      </c>
      <c r="C7" s="140">
        <v>107988</v>
      </c>
      <c r="D7" s="1166">
        <v>41461291</v>
      </c>
      <c r="E7" s="1167" t="s">
        <v>5885</v>
      </c>
      <c r="F7" s="1168">
        <v>46141</v>
      </c>
      <c r="G7" s="1169">
        <v>43</v>
      </c>
      <c r="H7" s="1168">
        <v>30138</v>
      </c>
      <c r="I7" s="1168">
        <v>46146</v>
      </c>
      <c r="J7" s="1169" t="s">
        <v>5872</v>
      </c>
      <c r="K7" s="1169"/>
      <c r="L7" s="1169" t="s">
        <v>222</v>
      </c>
      <c r="M7" s="1169">
        <v>980611991</v>
      </c>
      <c r="N7" s="1169"/>
      <c r="O7" s="1169" t="s">
        <v>5865</v>
      </c>
      <c r="P7" s="325" t="s">
        <v>5866</v>
      </c>
      <c r="Q7" s="1061" t="s">
        <v>5867</v>
      </c>
      <c r="R7" s="1171" t="s">
        <v>223</v>
      </c>
      <c r="S7" s="1169" t="s">
        <v>5868</v>
      </c>
      <c r="T7" s="1169" t="s">
        <v>5869</v>
      </c>
      <c r="U7" s="1168">
        <v>46146</v>
      </c>
      <c r="V7" s="1174">
        <v>0.34722222222222221</v>
      </c>
      <c r="W7" s="1175">
        <v>46146</v>
      </c>
      <c r="X7" s="1143" t="s">
        <v>5886</v>
      </c>
      <c r="Y7" s="1143" t="s">
        <v>5887</v>
      </c>
      <c r="Z7" s="1176" t="s">
        <v>3105</v>
      </c>
      <c r="AA7" s="1180">
        <v>46147</v>
      </c>
      <c r="AB7" s="244"/>
      <c r="AC7" s="1178" t="s">
        <v>5888</v>
      </c>
      <c r="AD7" s="1178"/>
      <c r="AE7" s="43"/>
      <c r="AF7" s="43"/>
      <c r="AG7" s="43"/>
      <c r="AH7" s="43"/>
      <c r="AI7" s="43"/>
      <c r="AJ7" s="43"/>
      <c r="AK7" s="43"/>
      <c r="AL7" s="43"/>
      <c r="AM7" s="43"/>
      <c r="AN7" s="43"/>
      <c r="AO7" s="43"/>
      <c r="AP7" s="43"/>
      <c r="AQ7" s="43"/>
      <c r="AR7" s="434"/>
      <c r="AS7" s="434"/>
      <c r="AT7" s="434"/>
      <c r="AU7" s="434"/>
      <c r="AV7" s="434"/>
      <c r="AW7" s="434"/>
      <c r="AX7" s="434"/>
      <c r="AY7" s="434"/>
      <c r="AZ7" s="434"/>
      <c r="BA7" s="434"/>
      <c r="BB7" s="434"/>
      <c r="BC7" s="434"/>
      <c r="BD7" s="434"/>
      <c r="BE7" s="434"/>
      <c r="BF7" s="434"/>
      <c r="BG7" s="434"/>
      <c r="BH7" s="434"/>
      <c r="BI7" s="434"/>
      <c r="BJ7" s="434"/>
      <c r="BK7" s="434"/>
      <c r="BL7" s="434"/>
      <c r="BM7" s="434"/>
      <c r="BN7" s="434"/>
      <c r="BO7" s="434"/>
      <c r="BP7" s="434"/>
      <c r="BQ7" s="434"/>
      <c r="BR7" s="434"/>
      <c r="BS7" s="434"/>
      <c r="BT7" s="434"/>
      <c r="BU7" s="434"/>
      <c r="BV7" s="434"/>
      <c r="BW7" s="434"/>
      <c r="BX7" s="434"/>
      <c r="BY7" s="434"/>
      <c r="BZ7" s="434"/>
      <c r="CA7" s="434"/>
      <c r="CB7" s="434"/>
      <c r="CC7" s="434"/>
      <c r="CD7" s="434"/>
      <c r="CE7" s="434"/>
      <c r="CF7" s="434"/>
      <c r="CG7" s="434"/>
      <c r="CH7" s="434"/>
      <c r="CI7" s="434"/>
      <c r="CJ7" s="434"/>
      <c r="CK7" s="434"/>
      <c r="CL7" s="434"/>
      <c r="CM7" s="434"/>
      <c r="CN7" s="434"/>
      <c r="CO7" s="434"/>
      <c r="CP7" s="434"/>
      <c r="CQ7" s="434"/>
      <c r="CR7" s="434"/>
      <c r="CS7" s="434"/>
      <c r="CT7" s="434"/>
      <c r="CU7" s="434"/>
      <c r="CV7" s="434"/>
      <c r="CW7" s="434"/>
      <c r="CX7" s="434"/>
      <c r="CY7" s="434"/>
      <c r="CZ7" s="434"/>
      <c r="DA7" s="434"/>
      <c r="DB7" s="434"/>
      <c r="DC7" s="434"/>
      <c r="DD7" s="434"/>
      <c r="DE7" s="434"/>
      <c r="DF7" s="434"/>
      <c r="DG7" s="434"/>
      <c r="DH7" s="434"/>
      <c r="DI7" s="434"/>
      <c r="DJ7" s="434"/>
      <c r="DK7" s="434"/>
      <c r="DL7" s="434"/>
      <c r="DM7" s="434"/>
      <c r="DN7" s="434"/>
      <c r="DO7" s="434"/>
      <c r="DP7" s="434"/>
      <c r="DQ7" s="434"/>
      <c r="DR7" s="434"/>
      <c r="DS7" s="434"/>
      <c r="DT7" s="434"/>
      <c r="DU7" s="434"/>
      <c r="DV7" s="434"/>
      <c r="DW7" s="434"/>
      <c r="DX7" s="434"/>
      <c r="DY7" s="434"/>
      <c r="DZ7" s="434"/>
      <c r="EA7" s="434"/>
      <c r="EB7" s="434"/>
      <c r="EC7" s="434"/>
      <c r="ED7" s="434"/>
      <c r="EE7" s="434"/>
      <c r="EF7" s="434"/>
      <c r="EG7" s="434"/>
      <c r="EH7" s="434"/>
      <c r="EI7" s="434"/>
      <c r="EJ7" s="434"/>
      <c r="EK7" s="434"/>
      <c r="EL7" s="434"/>
      <c r="EM7" s="434"/>
      <c r="EN7" s="434"/>
      <c r="EO7" s="434"/>
      <c r="EP7" s="434"/>
      <c r="EQ7" s="434"/>
      <c r="ER7" s="434"/>
      <c r="ES7" s="434"/>
      <c r="ET7" s="434"/>
      <c r="EU7" s="434"/>
      <c r="EV7" s="434"/>
      <c r="EW7" s="434"/>
      <c r="EX7" s="434"/>
      <c r="EY7" s="434"/>
      <c r="EZ7" s="434"/>
      <c r="FA7" s="434"/>
      <c r="FB7" s="434"/>
      <c r="FC7" s="434"/>
      <c r="FD7" s="434"/>
      <c r="FE7" s="434"/>
      <c r="FF7" s="434"/>
      <c r="FG7" s="434"/>
      <c r="FH7" s="434"/>
      <c r="FI7" s="434"/>
      <c r="FJ7" s="434"/>
      <c r="FK7" s="434"/>
      <c r="FL7" s="434"/>
      <c r="FM7" s="434"/>
      <c r="FN7" s="434"/>
      <c r="FO7" s="434"/>
      <c r="FP7" s="434"/>
      <c r="FQ7" s="434"/>
      <c r="FR7" s="434"/>
      <c r="FS7" s="434"/>
      <c r="FT7" s="434"/>
      <c r="FU7" s="434"/>
      <c r="FV7" s="434"/>
      <c r="FW7" s="434"/>
      <c r="FX7" s="434"/>
      <c r="FY7" s="434"/>
      <c r="FZ7" s="434"/>
      <c r="GA7" s="434"/>
      <c r="GB7" s="434"/>
      <c r="GC7" s="434"/>
      <c r="GD7" s="434"/>
      <c r="GE7" s="434"/>
      <c r="GF7" s="434"/>
      <c r="GG7" s="434"/>
      <c r="GH7" s="434"/>
      <c r="GI7" s="434"/>
      <c r="GJ7" s="434"/>
      <c r="GK7" s="434"/>
      <c r="GL7" s="434"/>
      <c r="GM7" s="434"/>
      <c r="GN7" s="434"/>
    </row>
    <row r="8" spans="1:196" ht="15" customHeight="1">
      <c r="A8" s="1179"/>
      <c r="B8" s="140">
        <v>7</v>
      </c>
      <c r="C8" s="140">
        <v>525552</v>
      </c>
      <c r="D8" s="1185" t="s">
        <v>5889</v>
      </c>
      <c r="E8" s="1186" t="s">
        <v>5890</v>
      </c>
      <c r="F8" s="1173">
        <v>46146</v>
      </c>
      <c r="G8" s="1172">
        <v>53</v>
      </c>
      <c r="H8" s="1173">
        <v>26674</v>
      </c>
      <c r="I8" s="1173">
        <v>46146</v>
      </c>
      <c r="J8" s="1169" t="s">
        <v>5872</v>
      </c>
      <c r="K8" s="1172"/>
      <c r="L8" s="1172" t="s">
        <v>461</v>
      </c>
      <c r="M8" s="1172">
        <v>979583616</v>
      </c>
      <c r="N8" s="1172"/>
      <c r="O8" s="1169" t="s">
        <v>5865</v>
      </c>
      <c r="P8" s="325" t="s">
        <v>5866</v>
      </c>
      <c r="Q8" s="1061" t="s">
        <v>5867</v>
      </c>
      <c r="R8" s="1172" t="s">
        <v>164</v>
      </c>
      <c r="S8" s="1172" t="s">
        <v>5868</v>
      </c>
      <c r="T8" s="1172" t="s">
        <v>5873</v>
      </c>
      <c r="U8" s="1173">
        <v>46146</v>
      </c>
      <c r="V8" s="1187">
        <v>0.35416666666666669</v>
      </c>
      <c r="W8" s="1175">
        <v>46146</v>
      </c>
      <c r="X8" s="1143" t="s">
        <v>1156</v>
      </c>
      <c r="Y8" s="1143" t="s">
        <v>5887</v>
      </c>
      <c r="Z8" s="1176" t="s">
        <v>3105</v>
      </c>
      <c r="AA8" s="1177">
        <v>46147</v>
      </c>
      <c r="AB8" s="244"/>
      <c r="AC8" s="1178" t="s">
        <v>5881</v>
      </c>
      <c r="AD8" s="1178"/>
      <c r="AE8" s="43"/>
      <c r="AF8" s="43"/>
      <c r="AG8" s="43"/>
      <c r="AH8" s="43"/>
      <c r="AI8" s="43"/>
      <c r="AJ8" s="43"/>
      <c r="AK8" s="43"/>
      <c r="AL8" s="43"/>
      <c r="AM8" s="43"/>
      <c r="AN8" s="43"/>
      <c r="AO8" s="43"/>
      <c r="AP8" s="43"/>
      <c r="AQ8" s="43"/>
      <c r="AR8" s="434"/>
      <c r="AS8" s="434"/>
      <c r="AT8" s="434"/>
      <c r="AU8" s="434"/>
      <c r="AV8" s="434"/>
      <c r="AW8" s="434"/>
      <c r="AX8" s="434"/>
      <c r="AY8" s="434"/>
      <c r="AZ8" s="434"/>
      <c r="BA8" s="434"/>
      <c r="BB8" s="434"/>
      <c r="BC8" s="434"/>
      <c r="BD8" s="434"/>
      <c r="BE8" s="434"/>
      <c r="BF8" s="434"/>
      <c r="BG8" s="434"/>
      <c r="BH8" s="434"/>
      <c r="BI8" s="434"/>
      <c r="BJ8" s="434"/>
      <c r="BK8" s="434"/>
      <c r="BL8" s="434"/>
      <c r="BM8" s="434"/>
      <c r="BN8" s="434"/>
      <c r="BO8" s="434"/>
      <c r="BP8" s="434"/>
      <c r="BQ8" s="434"/>
      <c r="BR8" s="434"/>
      <c r="BS8" s="434"/>
      <c r="BT8" s="434"/>
      <c r="BU8" s="434"/>
      <c r="BV8" s="434"/>
      <c r="BW8" s="434"/>
      <c r="BX8" s="434"/>
      <c r="BY8" s="434"/>
      <c r="BZ8" s="434"/>
      <c r="CA8" s="434"/>
      <c r="CB8" s="434"/>
      <c r="CC8" s="434"/>
      <c r="CD8" s="434"/>
      <c r="CE8" s="434"/>
      <c r="CF8" s="434"/>
      <c r="CG8" s="434"/>
      <c r="CH8" s="434"/>
      <c r="CI8" s="434"/>
      <c r="CJ8" s="434"/>
      <c r="CK8" s="434"/>
      <c r="CL8" s="434"/>
      <c r="CM8" s="434"/>
      <c r="CN8" s="434"/>
      <c r="CO8" s="434"/>
      <c r="CP8" s="434"/>
      <c r="CQ8" s="434"/>
      <c r="CR8" s="434"/>
      <c r="CS8" s="434"/>
      <c r="CT8" s="434"/>
      <c r="CU8" s="434"/>
      <c r="CV8" s="434"/>
      <c r="CW8" s="434"/>
      <c r="CX8" s="434"/>
      <c r="CY8" s="434"/>
      <c r="CZ8" s="434"/>
      <c r="DA8" s="434"/>
      <c r="DB8" s="434"/>
      <c r="DC8" s="434"/>
      <c r="DD8" s="434"/>
      <c r="DE8" s="434"/>
      <c r="DF8" s="434"/>
      <c r="DG8" s="434"/>
      <c r="DH8" s="434"/>
      <c r="DI8" s="434"/>
      <c r="DJ8" s="434"/>
      <c r="DK8" s="434"/>
      <c r="DL8" s="434"/>
      <c r="DM8" s="434"/>
      <c r="DN8" s="434"/>
      <c r="DO8" s="434"/>
      <c r="DP8" s="434"/>
      <c r="DQ8" s="434"/>
      <c r="DR8" s="434"/>
      <c r="DS8" s="434"/>
      <c r="DT8" s="434"/>
      <c r="DU8" s="434"/>
      <c r="DV8" s="434"/>
      <c r="DW8" s="434"/>
      <c r="DX8" s="434"/>
      <c r="DY8" s="434"/>
      <c r="DZ8" s="434"/>
      <c r="EA8" s="434"/>
      <c r="EB8" s="434"/>
      <c r="EC8" s="434"/>
      <c r="ED8" s="434"/>
      <c r="EE8" s="434"/>
      <c r="EF8" s="434"/>
      <c r="EG8" s="434"/>
      <c r="EH8" s="434"/>
      <c r="EI8" s="434"/>
      <c r="EJ8" s="434"/>
      <c r="EK8" s="434"/>
      <c r="EL8" s="434"/>
      <c r="EM8" s="434"/>
      <c r="EN8" s="434"/>
      <c r="EO8" s="434"/>
      <c r="EP8" s="434"/>
      <c r="EQ8" s="434"/>
      <c r="ER8" s="434"/>
      <c r="ES8" s="434"/>
      <c r="ET8" s="434"/>
      <c r="EU8" s="434"/>
      <c r="EV8" s="434"/>
      <c r="EW8" s="434"/>
      <c r="EX8" s="434"/>
      <c r="EY8" s="434"/>
      <c r="EZ8" s="434"/>
      <c r="FA8" s="434"/>
      <c r="FB8" s="434"/>
      <c r="FC8" s="434"/>
      <c r="FD8" s="434"/>
      <c r="FE8" s="434"/>
      <c r="FF8" s="434"/>
      <c r="FG8" s="434"/>
      <c r="FH8" s="434"/>
      <c r="FI8" s="434"/>
      <c r="FJ8" s="434"/>
      <c r="FK8" s="434"/>
      <c r="FL8" s="434"/>
      <c r="FM8" s="434"/>
      <c r="FN8" s="434"/>
      <c r="FO8" s="434"/>
      <c r="FP8" s="434"/>
      <c r="FQ8" s="434"/>
      <c r="FR8" s="434"/>
      <c r="FS8" s="434"/>
      <c r="FT8" s="434"/>
      <c r="FU8" s="434"/>
      <c r="FV8" s="434"/>
      <c r="FW8" s="434"/>
      <c r="FX8" s="434"/>
      <c r="FY8" s="434"/>
      <c r="FZ8" s="434"/>
      <c r="GA8" s="434"/>
      <c r="GB8" s="434"/>
      <c r="GC8" s="434"/>
      <c r="GD8" s="434"/>
      <c r="GE8" s="434"/>
      <c r="GF8" s="434"/>
      <c r="GG8" s="434"/>
      <c r="GH8" s="434"/>
      <c r="GI8" s="434"/>
      <c r="GJ8" s="434"/>
      <c r="GK8" s="434"/>
      <c r="GL8" s="434"/>
      <c r="GM8" s="434"/>
      <c r="GN8" s="434"/>
    </row>
    <row r="9" spans="1:196" ht="15" customHeight="1">
      <c r="A9" s="1179"/>
      <c r="B9" s="140">
        <v>8</v>
      </c>
      <c r="C9" s="140">
        <v>125995</v>
      </c>
      <c r="D9" s="1185" t="s">
        <v>5891</v>
      </c>
      <c r="E9" s="1186" t="s">
        <v>5892</v>
      </c>
      <c r="F9" s="1173">
        <v>46146</v>
      </c>
      <c r="G9" s="1172">
        <v>58</v>
      </c>
      <c r="H9" s="1173">
        <v>24664</v>
      </c>
      <c r="I9" s="1173">
        <v>46146</v>
      </c>
      <c r="J9" s="1172" t="s">
        <v>5877</v>
      </c>
      <c r="K9" s="1172"/>
      <c r="L9" s="1172" t="s">
        <v>278</v>
      </c>
      <c r="M9" s="1172">
        <v>934100037</v>
      </c>
      <c r="N9" s="1172"/>
      <c r="O9" s="1169" t="s">
        <v>5865</v>
      </c>
      <c r="P9" s="325" t="s">
        <v>5866</v>
      </c>
      <c r="Q9" s="1061" t="s">
        <v>5867</v>
      </c>
      <c r="R9" s="1172" t="s">
        <v>238</v>
      </c>
      <c r="S9" s="1172" t="s">
        <v>5868</v>
      </c>
      <c r="T9" s="1172" t="s">
        <v>5869</v>
      </c>
      <c r="U9" s="1173">
        <v>46146</v>
      </c>
      <c r="V9" s="1187">
        <v>0.3611111111111111</v>
      </c>
      <c r="W9" s="1175">
        <v>46146</v>
      </c>
      <c r="X9" s="1143" t="s">
        <v>1156</v>
      </c>
      <c r="Y9" s="1143" t="s">
        <v>5893</v>
      </c>
      <c r="Z9" s="1176" t="s">
        <v>3105</v>
      </c>
      <c r="AA9" s="1177">
        <v>46147</v>
      </c>
      <c r="AB9" s="244"/>
      <c r="AC9" s="1178"/>
      <c r="AD9" s="1178"/>
      <c r="AE9" s="43"/>
      <c r="AF9" s="43"/>
      <c r="AG9" s="43"/>
      <c r="AH9" s="43"/>
      <c r="AI9" s="43"/>
      <c r="AJ9" s="43"/>
      <c r="AK9" s="43"/>
      <c r="AL9" s="43"/>
      <c r="AM9" s="43"/>
      <c r="AN9" s="43"/>
      <c r="AO9" s="43"/>
      <c r="AP9" s="43"/>
      <c r="AQ9" s="43"/>
      <c r="AR9" s="434"/>
      <c r="AS9" s="434"/>
      <c r="AT9" s="434"/>
      <c r="AU9" s="434"/>
      <c r="AV9" s="434"/>
      <c r="AW9" s="434"/>
      <c r="AX9" s="434"/>
      <c r="AY9" s="434"/>
      <c r="AZ9" s="434"/>
      <c r="BA9" s="434"/>
      <c r="BB9" s="434"/>
      <c r="BC9" s="434"/>
      <c r="BD9" s="434"/>
      <c r="BE9" s="434"/>
      <c r="BF9" s="434"/>
      <c r="BG9" s="434"/>
      <c r="BH9" s="434"/>
      <c r="BI9" s="434"/>
      <c r="BJ9" s="434"/>
      <c r="BK9" s="434"/>
      <c r="BL9" s="434"/>
      <c r="BM9" s="434"/>
      <c r="BN9" s="434"/>
      <c r="BO9" s="434"/>
      <c r="BP9" s="434"/>
      <c r="BQ9" s="434"/>
      <c r="BR9" s="434"/>
      <c r="BS9" s="434"/>
      <c r="BT9" s="434"/>
      <c r="BU9" s="434"/>
      <c r="BV9" s="434"/>
      <c r="BW9" s="434"/>
      <c r="BX9" s="434"/>
      <c r="BY9" s="434"/>
      <c r="BZ9" s="434"/>
      <c r="CA9" s="434"/>
      <c r="CB9" s="434"/>
      <c r="CC9" s="434"/>
      <c r="CD9" s="434"/>
      <c r="CE9" s="434"/>
      <c r="CF9" s="434"/>
      <c r="CG9" s="434"/>
      <c r="CH9" s="434"/>
      <c r="CI9" s="434"/>
      <c r="CJ9" s="434"/>
      <c r="CK9" s="434"/>
      <c r="CL9" s="434"/>
      <c r="CM9" s="434"/>
      <c r="CN9" s="434"/>
      <c r="CO9" s="434"/>
      <c r="CP9" s="434"/>
      <c r="CQ9" s="434"/>
      <c r="CR9" s="434"/>
      <c r="CS9" s="434"/>
      <c r="CT9" s="434"/>
      <c r="CU9" s="434"/>
      <c r="CV9" s="434"/>
      <c r="CW9" s="434"/>
      <c r="CX9" s="434"/>
      <c r="CY9" s="434"/>
      <c r="CZ9" s="434"/>
      <c r="DA9" s="434"/>
      <c r="DB9" s="434"/>
      <c r="DC9" s="434"/>
      <c r="DD9" s="434"/>
      <c r="DE9" s="434"/>
      <c r="DF9" s="434"/>
      <c r="DG9" s="434"/>
      <c r="DH9" s="434"/>
      <c r="DI9" s="434"/>
      <c r="DJ9" s="434"/>
      <c r="DK9" s="434"/>
      <c r="DL9" s="434"/>
      <c r="DM9" s="434"/>
      <c r="DN9" s="434"/>
      <c r="DO9" s="434"/>
      <c r="DP9" s="434"/>
      <c r="DQ9" s="434"/>
      <c r="DR9" s="434"/>
      <c r="DS9" s="434"/>
      <c r="DT9" s="434"/>
      <c r="DU9" s="434"/>
      <c r="DV9" s="434"/>
      <c r="DW9" s="434"/>
      <c r="DX9" s="434"/>
      <c r="DY9" s="434"/>
      <c r="DZ9" s="434"/>
      <c r="EA9" s="434"/>
      <c r="EB9" s="434"/>
      <c r="EC9" s="434"/>
      <c r="ED9" s="434"/>
      <c r="EE9" s="434"/>
      <c r="EF9" s="434"/>
      <c r="EG9" s="434"/>
      <c r="EH9" s="434"/>
      <c r="EI9" s="434"/>
      <c r="EJ9" s="434"/>
      <c r="EK9" s="434"/>
      <c r="EL9" s="434"/>
      <c r="EM9" s="434"/>
      <c r="EN9" s="434"/>
      <c r="EO9" s="434"/>
      <c r="EP9" s="434"/>
      <c r="EQ9" s="434"/>
      <c r="ER9" s="434"/>
      <c r="ES9" s="434"/>
      <c r="ET9" s="434"/>
      <c r="EU9" s="434"/>
      <c r="EV9" s="434"/>
      <c r="EW9" s="434"/>
      <c r="EX9" s="434"/>
      <c r="EY9" s="434"/>
      <c r="EZ9" s="434"/>
      <c r="FA9" s="434"/>
      <c r="FB9" s="434"/>
      <c r="FC9" s="434"/>
      <c r="FD9" s="434"/>
      <c r="FE9" s="434"/>
      <c r="FF9" s="434"/>
      <c r="FG9" s="434"/>
      <c r="FH9" s="434"/>
      <c r="FI9" s="434"/>
      <c r="FJ9" s="434"/>
      <c r="FK9" s="434"/>
      <c r="FL9" s="434"/>
      <c r="FM9" s="434"/>
      <c r="FN9" s="434"/>
      <c r="FO9" s="434"/>
      <c r="FP9" s="434"/>
      <c r="FQ9" s="434"/>
      <c r="FR9" s="434"/>
      <c r="FS9" s="434"/>
      <c r="FT9" s="434"/>
      <c r="FU9" s="434"/>
      <c r="FV9" s="434"/>
      <c r="FW9" s="434"/>
      <c r="FX9" s="434"/>
      <c r="FY9" s="434"/>
      <c r="FZ9" s="434"/>
      <c r="GA9" s="434"/>
      <c r="GB9" s="434"/>
      <c r="GC9" s="434"/>
      <c r="GD9" s="434"/>
      <c r="GE9" s="434"/>
      <c r="GF9" s="434"/>
      <c r="GG9" s="434"/>
      <c r="GH9" s="434"/>
      <c r="GI9" s="434"/>
      <c r="GJ9" s="434"/>
      <c r="GK9" s="434"/>
      <c r="GL9" s="434"/>
      <c r="GM9" s="434"/>
      <c r="GN9" s="434"/>
    </row>
    <row r="10" spans="1:196" ht="15" customHeight="1">
      <c r="A10" s="1179"/>
      <c r="B10" s="140">
        <v>9</v>
      </c>
      <c r="C10" s="140">
        <v>223626</v>
      </c>
      <c r="D10" s="1185" t="s">
        <v>5894</v>
      </c>
      <c r="E10" s="1186" t="s">
        <v>5895</v>
      </c>
      <c r="F10" s="1173">
        <v>46146</v>
      </c>
      <c r="G10" s="1172">
        <v>48</v>
      </c>
      <c r="H10" s="1173">
        <v>28304</v>
      </c>
      <c r="I10" s="1173">
        <v>46146</v>
      </c>
      <c r="J10" s="1172" t="s">
        <v>5872</v>
      </c>
      <c r="K10" s="1172"/>
      <c r="L10" s="1172" t="s">
        <v>278</v>
      </c>
      <c r="M10" s="1172">
        <v>929373543</v>
      </c>
      <c r="N10" s="1172"/>
      <c r="O10" s="1169" t="s">
        <v>5865</v>
      </c>
      <c r="P10" s="325" t="s">
        <v>5866</v>
      </c>
      <c r="Q10" s="1061" t="s">
        <v>5867</v>
      </c>
      <c r="R10" s="1172" t="s">
        <v>238</v>
      </c>
      <c r="S10" s="1172" t="s">
        <v>5868</v>
      </c>
      <c r="T10" s="1172" t="s">
        <v>5869</v>
      </c>
      <c r="U10" s="1173">
        <v>46146</v>
      </c>
      <c r="V10" s="1187">
        <v>0.36805555555555558</v>
      </c>
      <c r="W10" s="1175">
        <v>46146</v>
      </c>
      <c r="X10" s="1143" t="s">
        <v>1109</v>
      </c>
      <c r="Y10" s="1143" t="s">
        <v>5887</v>
      </c>
      <c r="Z10" s="1176" t="s">
        <v>3105</v>
      </c>
      <c r="AA10" s="1177">
        <v>46147</v>
      </c>
      <c r="AB10" s="244"/>
      <c r="AC10" s="1178"/>
      <c r="AD10" s="1178"/>
      <c r="AE10" s="43"/>
      <c r="AF10" s="43"/>
      <c r="AG10" s="43"/>
      <c r="AH10" s="43"/>
      <c r="AI10" s="43"/>
      <c r="AJ10" s="43"/>
      <c r="AK10" s="43"/>
      <c r="AL10" s="43"/>
      <c r="AM10" s="43"/>
      <c r="AN10" s="43"/>
      <c r="AO10" s="43"/>
      <c r="AP10" s="43"/>
      <c r="AQ10" s="43"/>
      <c r="AR10" s="434"/>
      <c r="AS10" s="434"/>
      <c r="AT10" s="434"/>
      <c r="AU10" s="434"/>
      <c r="AV10" s="434"/>
      <c r="AW10" s="434"/>
      <c r="AX10" s="434"/>
      <c r="AY10" s="434"/>
      <c r="AZ10" s="434"/>
      <c r="BA10" s="434"/>
      <c r="BB10" s="434"/>
      <c r="BC10" s="434"/>
      <c r="BD10" s="434"/>
      <c r="BE10" s="434"/>
      <c r="BF10" s="434"/>
      <c r="BG10" s="434"/>
      <c r="BH10" s="434"/>
      <c r="BI10" s="434"/>
      <c r="BJ10" s="434"/>
      <c r="BK10" s="434"/>
      <c r="BL10" s="434"/>
      <c r="BM10" s="434"/>
      <c r="BN10" s="434"/>
      <c r="BO10" s="434"/>
      <c r="BP10" s="434"/>
      <c r="BQ10" s="434"/>
      <c r="BR10" s="434"/>
      <c r="BS10" s="434"/>
      <c r="BT10" s="434"/>
      <c r="BU10" s="434"/>
      <c r="BV10" s="434"/>
      <c r="BW10" s="434"/>
      <c r="BX10" s="434"/>
      <c r="BY10" s="434"/>
      <c r="BZ10" s="434"/>
      <c r="CA10" s="434"/>
      <c r="CB10" s="434"/>
      <c r="CC10" s="434"/>
      <c r="CD10" s="434"/>
      <c r="CE10" s="434"/>
      <c r="CF10" s="434"/>
      <c r="CG10" s="434"/>
      <c r="CH10" s="434"/>
      <c r="CI10" s="434"/>
      <c r="CJ10" s="434"/>
      <c r="CK10" s="434"/>
      <c r="CL10" s="434"/>
      <c r="CM10" s="434"/>
      <c r="CN10" s="434"/>
      <c r="CO10" s="434"/>
      <c r="CP10" s="434"/>
      <c r="CQ10" s="434"/>
      <c r="CR10" s="434"/>
      <c r="CS10" s="434"/>
      <c r="CT10" s="434"/>
      <c r="CU10" s="434"/>
      <c r="CV10" s="434"/>
      <c r="CW10" s="434"/>
      <c r="CX10" s="434"/>
      <c r="CY10" s="434"/>
      <c r="CZ10" s="434"/>
      <c r="DA10" s="434"/>
      <c r="DB10" s="434"/>
      <c r="DC10" s="434"/>
      <c r="DD10" s="434"/>
      <c r="DE10" s="434"/>
      <c r="DF10" s="434"/>
      <c r="DG10" s="434"/>
      <c r="DH10" s="434"/>
      <c r="DI10" s="434"/>
      <c r="DJ10" s="434"/>
      <c r="DK10" s="434"/>
      <c r="DL10" s="434"/>
      <c r="DM10" s="434"/>
      <c r="DN10" s="434"/>
      <c r="DO10" s="434"/>
      <c r="DP10" s="434"/>
      <c r="DQ10" s="434"/>
      <c r="DR10" s="434"/>
      <c r="DS10" s="434"/>
      <c r="DT10" s="434"/>
      <c r="DU10" s="434"/>
      <c r="DV10" s="434"/>
      <c r="DW10" s="434"/>
      <c r="DX10" s="434"/>
      <c r="DY10" s="434"/>
      <c r="DZ10" s="434"/>
      <c r="EA10" s="434"/>
      <c r="EB10" s="434"/>
      <c r="EC10" s="434"/>
      <c r="ED10" s="434"/>
      <c r="EE10" s="434"/>
      <c r="EF10" s="434"/>
      <c r="EG10" s="434"/>
      <c r="EH10" s="434"/>
      <c r="EI10" s="434"/>
      <c r="EJ10" s="434"/>
      <c r="EK10" s="434"/>
      <c r="EL10" s="434"/>
      <c r="EM10" s="434"/>
      <c r="EN10" s="434"/>
      <c r="EO10" s="434"/>
      <c r="EP10" s="434"/>
      <c r="EQ10" s="434"/>
      <c r="ER10" s="434"/>
      <c r="ES10" s="434"/>
      <c r="ET10" s="434"/>
      <c r="EU10" s="434"/>
      <c r="EV10" s="434"/>
      <c r="EW10" s="434"/>
      <c r="EX10" s="434"/>
      <c r="EY10" s="434"/>
      <c r="EZ10" s="434"/>
      <c r="FA10" s="434"/>
      <c r="FB10" s="434"/>
      <c r="FC10" s="434"/>
      <c r="FD10" s="434"/>
      <c r="FE10" s="434"/>
      <c r="FF10" s="434"/>
      <c r="FG10" s="434"/>
      <c r="FH10" s="434"/>
      <c r="FI10" s="434"/>
      <c r="FJ10" s="434"/>
      <c r="FK10" s="434"/>
      <c r="FL10" s="434"/>
      <c r="FM10" s="434"/>
      <c r="FN10" s="434"/>
      <c r="FO10" s="434"/>
      <c r="FP10" s="434"/>
      <c r="FQ10" s="434"/>
      <c r="FR10" s="434"/>
      <c r="FS10" s="434"/>
      <c r="FT10" s="434"/>
      <c r="FU10" s="434"/>
      <c r="FV10" s="434"/>
      <c r="FW10" s="434"/>
      <c r="FX10" s="434"/>
      <c r="FY10" s="434"/>
      <c r="FZ10" s="434"/>
      <c r="GA10" s="434"/>
      <c r="GB10" s="434"/>
      <c r="GC10" s="434"/>
      <c r="GD10" s="434"/>
      <c r="GE10" s="434"/>
      <c r="GF10" s="434"/>
      <c r="GG10" s="434"/>
      <c r="GH10" s="434"/>
      <c r="GI10" s="434"/>
      <c r="GJ10" s="434"/>
      <c r="GK10" s="434"/>
      <c r="GL10" s="434"/>
      <c r="GM10" s="434"/>
      <c r="GN10" s="434"/>
    </row>
    <row r="11" spans="1:196" ht="15" customHeight="1">
      <c r="A11" s="1179"/>
      <c r="B11" s="140">
        <v>10</v>
      </c>
      <c r="C11" s="140">
        <v>117062</v>
      </c>
      <c r="D11" s="1185" t="s">
        <v>5896</v>
      </c>
      <c r="E11" s="1186" t="s">
        <v>5897</v>
      </c>
      <c r="F11" s="1173">
        <v>46146</v>
      </c>
      <c r="G11" s="1172">
        <v>44</v>
      </c>
      <c r="H11" s="1173">
        <v>29965</v>
      </c>
      <c r="I11" s="1173">
        <v>46146</v>
      </c>
      <c r="J11" s="1172" t="s">
        <v>5872</v>
      </c>
      <c r="K11" s="1172"/>
      <c r="L11" s="1172" t="s">
        <v>278</v>
      </c>
      <c r="M11" s="1172">
        <v>95979946</v>
      </c>
      <c r="N11" s="1172"/>
      <c r="O11" s="1169" t="s">
        <v>5865</v>
      </c>
      <c r="P11" s="325" t="s">
        <v>5866</v>
      </c>
      <c r="Q11" s="1061" t="s">
        <v>5867</v>
      </c>
      <c r="R11" s="1172" t="s">
        <v>429</v>
      </c>
      <c r="S11" s="1172" t="s">
        <v>5868</v>
      </c>
      <c r="T11" s="1172" t="s">
        <v>5873</v>
      </c>
      <c r="U11" s="1173">
        <v>46146</v>
      </c>
      <c r="V11" s="1187">
        <v>0.375</v>
      </c>
      <c r="W11" s="1175">
        <v>46146</v>
      </c>
      <c r="X11" s="1143" t="s">
        <v>1156</v>
      </c>
      <c r="Y11" s="1143" t="s">
        <v>5884</v>
      </c>
      <c r="Z11" s="1176" t="s">
        <v>2187</v>
      </c>
      <c r="AA11" s="1180">
        <v>46147</v>
      </c>
      <c r="AB11" s="244"/>
      <c r="AC11" s="1178" t="s">
        <v>5898</v>
      </c>
      <c r="AD11" s="1178"/>
      <c r="AE11" s="43"/>
      <c r="AF11" s="43"/>
      <c r="AG11" s="43"/>
      <c r="AH11" s="43"/>
      <c r="AI11" s="43"/>
      <c r="AJ11" s="43"/>
      <c r="AK11" s="43"/>
      <c r="AL11" s="43"/>
      <c r="AM11" s="43"/>
      <c r="AN11" s="43"/>
      <c r="AO11" s="43"/>
      <c r="AP11" s="43"/>
      <c r="AQ11" s="43"/>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4"/>
      <c r="BW11" s="434"/>
      <c r="BX11" s="434"/>
      <c r="BY11" s="434"/>
      <c r="BZ11" s="434"/>
      <c r="CA11" s="434"/>
      <c r="CB11" s="434"/>
      <c r="CC11" s="434"/>
      <c r="CD11" s="434"/>
      <c r="CE11" s="434"/>
      <c r="CF11" s="434"/>
      <c r="CG11" s="434"/>
      <c r="CH11" s="434"/>
      <c r="CI11" s="434"/>
      <c r="CJ11" s="434"/>
      <c r="CK11" s="434"/>
      <c r="CL11" s="434"/>
      <c r="CM11" s="434"/>
      <c r="CN11" s="434"/>
      <c r="CO11" s="434"/>
      <c r="CP11" s="434"/>
      <c r="CQ11" s="434"/>
      <c r="CR11" s="434"/>
      <c r="CS11" s="434"/>
      <c r="CT11" s="434"/>
      <c r="CU11" s="434"/>
      <c r="CV11" s="434"/>
      <c r="CW11" s="434"/>
      <c r="CX11" s="434"/>
      <c r="CY11" s="434"/>
      <c r="CZ11" s="434"/>
      <c r="DA11" s="434"/>
      <c r="DB11" s="434"/>
      <c r="DC11" s="434"/>
      <c r="DD11" s="434"/>
      <c r="DE11" s="434"/>
      <c r="DF11" s="434"/>
      <c r="DG11" s="434"/>
      <c r="DH11" s="434"/>
      <c r="DI11" s="434"/>
      <c r="DJ11" s="434"/>
      <c r="DK11" s="434"/>
      <c r="DL11" s="434"/>
      <c r="DM11" s="434"/>
      <c r="DN11" s="434"/>
      <c r="DO11" s="434"/>
      <c r="DP11" s="434"/>
      <c r="DQ11" s="434"/>
      <c r="DR11" s="434"/>
      <c r="DS11" s="434"/>
      <c r="DT11" s="434"/>
      <c r="DU11" s="434"/>
      <c r="DV11" s="434"/>
      <c r="DW11" s="434"/>
      <c r="DX11" s="434"/>
      <c r="DY11" s="434"/>
      <c r="DZ11" s="434"/>
      <c r="EA11" s="434"/>
      <c r="EB11" s="434"/>
      <c r="EC11" s="434"/>
      <c r="ED11" s="434"/>
      <c r="EE11" s="434"/>
      <c r="EF11" s="434"/>
      <c r="EG11" s="434"/>
      <c r="EH11" s="434"/>
      <c r="EI11" s="434"/>
      <c r="EJ11" s="434"/>
      <c r="EK11" s="434"/>
      <c r="EL11" s="434"/>
      <c r="EM11" s="434"/>
      <c r="EN11" s="434"/>
      <c r="EO11" s="434"/>
      <c r="EP11" s="434"/>
      <c r="EQ11" s="434"/>
      <c r="ER11" s="434"/>
      <c r="ES11" s="434"/>
      <c r="ET11" s="434"/>
      <c r="EU11" s="434"/>
      <c r="EV11" s="434"/>
      <c r="EW11" s="434"/>
      <c r="EX11" s="434"/>
      <c r="EY11" s="434"/>
      <c r="EZ11" s="434"/>
      <c r="FA11" s="434"/>
      <c r="FB11" s="434"/>
      <c r="FC11" s="434"/>
      <c r="FD11" s="434"/>
      <c r="FE11" s="434"/>
      <c r="FF11" s="434"/>
      <c r="FG11" s="434"/>
      <c r="FH11" s="434"/>
      <c r="FI11" s="434"/>
      <c r="FJ11" s="434"/>
      <c r="FK11" s="434"/>
      <c r="FL11" s="434"/>
      <c r="FM11" s="434"/>
      <c r="FN11" s="434"/>
      <c r="FO11" s="434"/>
      <c r="FP11" s="434"/>
      <c r="FQ11" s="434"/>
      <c r="FR11" s="434"/>
      <c r="FS11" s="434"/>
      <c r="FT11" s="434"/>
      <c r="FU11" s="434"/>
      <c r="FV11" s="434"/>
      <c r="FW11" s="434"/>
      <c r="FX11" s="434"/>
      <c r="FY11" s="434"/>
      <c r="FZ11" s="434"/>
      <c r="GA11" s="434"/>
      <c r="GB11" s="434"/>
      <c r="GC11" s="434"/>
      <c r="GD11" s="434"/>
      <c r="GE11" s="434"/>
      <c r="GF11" s="434"/>
      <c r="GG11" s="434"/>
      <c r="GH11" s="434"/>
      <c r="GI11" s="434"/>
      <c r="GJ11" s="434"/>
      <c r="GK11" s="434"/>
      <c r="GL11" s="434"/>
      <c r="GM11" s="434"/>
      <c r="GN11" s="434"/>
    </row>
    <row r="12" spans="1:196" ht="15" customHeight="1">
      <c r="A12" s="1179"/>
      <c r="B12" s="140">
        <v>11</v>
      </c>
      <c r="C12" s="140">
        <v>439495</v>
      </c>
      <c r="D12" s="1166">
        <v>31666926</v>
      </c>
      <c r="E12" s="1167" t="s">
        <v>5899</v>
      </c>
      <c r="F12" s="1168">
        <v>46141</v>
      </c>
      <c r="G12" s="1169">
        <v>51</v>
      </c>
      <c r="H12" s="1168">
        <v>27471</v>
      </c>
      <c r="I12" s="1168">
        <v>46146</v>
      </c>
      <c r="J12" s="1169" t="s">
        <v>5872</v>
      </c>
      <c r="K12" s="1169" t="s">
        <v>5900</v>
      </c>
      <c r="L12" s="1169" t="s">
        <v>237</v>
      </c>
      <c r="M12" s="1169">
        <v>956368973</v>
      </c>
      <c r="N12" s="1169"/>
      <c r="O12" s="1169" t="s">
        <v>5865</v>
      </c>
      <c r="P12" s="325" t="s">
        <v>5866</v>
      </c>
      <c r="Q12" s="1061" t="s">
        <v>5867</v>
      </c>
      <c r="R12" s="1171" t="s">
        <v>238</v>
      </c>
      <c r="S12" s="1169" t="s">
        <v>5868</v>
      </c>
      <c r="T12" s="1169" t="s">
        <v>5869</v>
      </c>
      <c r="U12" s="1168">
        <v>46146</v>
      </c>
      <c r="V12" s="1174">
        <v>0.38194444444444442</v>
      </c>
      <c r="W12" s="1175">
        <v>46146</v>
      </c>
      <c r="X12" s="1143" t="s">
        <v>1156</v>
      </c>
      <c r="Y12" s="1143" t="s">
        <v>5901</v>
      </c>
      <c r="Z12" s="1176" t="s">
        <v>2187</v>
      </c>
      <c r="AA12" s="1177">
        <v>46147</v>
      </c>
      <c r="AB12" s="244"/>
      <c r="AC12" s="1178"/>
      <c r="AD12" s="1178"/>
      <c r="AE12" s="43"/>
      <c r="AF12" s="43"/>
      <c r="AG12" s="43"/>
      <c r="AH12" s="43"/>
      <c r="AI12" s="43"/>
      <c r="AJ12" s="43"/>
      <c r="AK12" s="43"/>
      <c r="AL12" s="43"/>
      <c r="AM12" s="43"/>
      <c r="AN12" s="43"/>
      <c r="AO12" s="43"/>
      <c r="AP12" s="43"/>
      <c r="AQ12" s="43"/>
      <c r="AR12" s="434"/>
      <c r="AS12" s="434"/>
      <c r="AT12" s="434"/>
      <c r="AU12" s="434"/>
      <c r="AV12" s="434"/>
      <c r="AW12" s="434"/>
      <c r="AX12" s="434"/>
      <c r="AY12" s="434"/>
      <c r="AZ12" s="434"/>
      <c r="BA12" s="434"/>
      <c r="BB12" s="434"/>
      <c r="BC12" s="434"/>
      <c r="BD12" s="434"/>
      <c r="BE12" s="434"/>
      <c r="BF12" s="434"/>
      <c r="BG12" s="434"/>
      <c r="BH12" s="434"/>
      <c r="BI12" s="434"/>
      <c r="BJ12" s="434"/>
      <c r="BK12" s="434"/>
      <c r="BL12" s="434"/>
      <c r="BM12" s="434"/>
      <c r="BN12" s="434"/>
      <c r="BO12" s="434"/>
      <c r="BP12" s="434"/>
      <c r="BQ12" s="434"/>
      <c r="BR12" s="434"/>
      <c r="BS12" s="434"/>
      <c r="BT12" s="434"/>
      <c r="BU12" s="434"/>
      <c r="BV12" s="434"/>
      <c r="BW12" s="434"/>
      <c r="BX12" s="434"/>
      <c r="BY12" s="434"/>
      <c r="BZ12" s="434"/>
      <c r="CA12" s="434"/>
      <c r="CB12" s="434"/>
      <c r="CC12" s="434"/>
      <c r="CD12" s="434"/>
      <c r="CE12" s="434"/>
      <c r="CF12" s="434"/>
      <c r="CG12" s="434"/>
      <c r="CH12" s="434"/>
      <c r="CI12" s="434"/>
      <c r="CJ12" s="434"/>
      <c r="CK12" s="434"/>
      <c r="CL12" s="434"/>
      <c r="CM12" s="434"/>
      <c r="CN12" s="434"/>
      <c r="CO12" s="434"/>
      <c r="CP12" s="434"/>
      <c r="CQ12" s="434"/>
      <c r="CR12" s="434"/>
      <c r="CS12" s="434"/>
      <c r="CT12" s="434"/>
      <c r="CU12" s="434"/>
      <c r="CV12" s="434"/>
      <c r="CW12" s="434"/>
      <c r="CX12" s="434"/>
      <c r="CY12" s="434"/>
      <c r="CZ12" s="434"/>
      <c r="DA12" s="434"/>
      <c r="DB12" s="434"/>
      <c r="DC12" s="434"/>
      <c r="DD12" s="434"/>
      <c r="DE12" s="434"/>
      <c r="DF12" s="434"/>
      <c r="DG12" s="434"/>
      <c r="DH12" s="434"/>
      <c r="DI12" s="434"/>
      <c r="DJ12" s="434"/>
      <c r="DK12" s="434"/>
      <c r="DL12" s="434"/>
      <c r="DM12" s="434"/>
      <c r="DN12" s="434"/>
      <c r="DO12" s="434"/>
      <c r="DP12" s="434"/>
      <c r="DQ12" s="434"/>
      <c r="DR12" s="434"/>
      <c r="DS12" s="434"/>
      <c r="DT12" s="434"/>
      <c r="DU12" s="434"/>
      <c r="DV12" s="434"/>
      <c r="DW12" s="434"/>
      <c r="DX12" s="434"/>
      <c r="DY12" s="434"/>
      <c r="DZ12" s="434"/>
      <c r="EA12" s="434"/>
      <c r="EB12" s="434"/>
      <c r="EC12" s="434"/>
      <c r="ED12" s="434"/>
      <c r="EE12" s="434"/>
      <c r="EF12" s="434"/>
      <c r="EG12" s="434"/>
      <c r="EH12" s="434"/>
      <c r="EI12" s="434"/>
      <c r="EJ12" s="434"/>
      <c r="EK12" s="434"/>
      <c r="EL12" s="434"/>
      <c r="EM12" s="434"/>
      <c r="EN12" s="434"/>
      <c r="EO12" s="434"/>
      <c r="EP12" s="434"/>
      <c r="EQ12" s="434"/>
      <c r="ER12" s="434"/>
      <c r="ES12" s="434"/>
      <c r="ET12" s="434"/>
      <c r="EU12" s="434"/>
      <c r="EV12" s="434"/>
      <c r="EW12" s="434"/>
      <c r="EX12" s="434"/>
      <c r="EY12" s="434"/>
      <c r="EZ12" s="434"/>
      <c r="FA12" s="434"/>
      <c r="FB12" s="434"/>
      <c r="FC12" s="434"/>
      <c r="FD12" s="434"/>
      <c r="FE12" s="434"/>
      <c r="FF12" s="434"/>
      <c r="FG12" s="434"/>
      <c r="FH12" s="434"/>
      <c r="FI12" s="434"/>
      <c r="FJ12" s="434"/>
      <c r="FK12" s="434"/>
      <c r="FL12" s="434"/>
      <c r="FM12" s="434"/>
      <c r="FN12" s="434"/>
      <c r="FO12" s="434"/>
      <c r="FP12" s="434"/>
      <c r="FQ12" s="434"/>
      <c r="FR12" s="434"/>
      <c r="FS12" s="434"/>
      <c r="FT12" s="434"/>
      <c r="FU12" s="434"/>
      <c r="FV12" s="434"/>
      <c r="FW12" s="434"/>
      <c r="FX12" s="434"/>
      <c r="FY12" s="434"/>
      <c r="FZ12" s="434"/>
      <c r="GA12" s="434"/>
      <c r="GB12" s="434"/>
      <c r="GC12" s="434"/>
      <c r="GD12" s="434"/>
      <c r="GE12" s="434"/>
      <c r="GF12" s="434"/>
      <c r="GG12" s="434"/>
      <c r="GH12" s="434"/>
      <c r="GI12" s="434"/>
      <c r="GJ12" s="434"/>
      <c r="GK12" s="434"/>
      <c r="GL12" s="434"/>
      <c r="GM12" s="434"/>
      <c r="GN12" s="434"/>
    </row>
    <row r="13" spans="1:196" ht="15" customHeight="1">
      <c r="A13" s="1179"/>
      <c r="B13" s="140">
        <v>12</v>
      </c>
      <c r="C13" s="140">
        <v>129055</v>
      </c>
      <c r="D13" s="1185" t="s">
        <v>5902</v>
      </c>
      <c r="E13" s="1186" t="s">
        <v>5903</v>
      </c>
      <c r="F13" s="1173">
        <v>46146</v>
      </c>
      <c r="G13" s="1172">
        <v>41</v>
      </c>
      <c r="H13" s="1173">
        <v>31166</v>
      </c>
      <c r="I13" s="1173">
        <v>46146</v>
      </c>
      <c r="J13" s="1169" t="s">
        <v>5872</v>
      </c>
      <c r="K13" s="1172" t="s">
        <v>5904</v>
      </c>
      <c r="L13" s="1172" t="s">
        <v>246</v>
      </c>
      <c r="M13" s="1172">
        <v>943527401</v>
      </c>
      <c r="N13" s="1172"/>
      <c r="O13" s="1169" t="s">
        <v>5865</v>
      </c>
      <c r="P13" s="325" t="s">
        <v>5866</v>
      </c>
      <c r="Q13" s="1061" t="s">
        <v>5867</v>
      </c>
      <c r="R13" s="1172" t="s">
        <v>1312</v>
      </c>
      <c r="S13" s="1172" t="s">
        <v>5868</v>
      </c>
      <c r="T13" s="1172" t="s">
        <v>5869</v>
      </c>
      <c r="U13" s="1173">
        <v>46146</v>
      </c>
      <c r="V13" s="1187">
        <v>0.3888888888888889</v>
      </c>
      <c r="W13" s="1175">
        <v>46146</v>
      </c>
      <c r="X13" s="1143" t="s">
        <v>1109</v>
      </c>
      <c r="Y13" s="1143" t="s">
        <v>260</v>
      </c>
      <c r="Z13" s="1176" t="s">
        <v>3105</v>
      </c>
      <c r="AA13" s="1177">
        <v>46147</v>
      </c>
      <c r="AB13" s="244"/>
      <c r="AC13" s="1178" t="s">
        <v>5881</v>
      </c>
      <c r="AD13" s="1178"/>
      <c r="AE13" s="43"/>
      <c r="AF13" s="43"/>
      <c r="AG13" s="43"/>
      <c r="AH13" s="43"/>
      <c r="AI13" s="43"/>
      <c r="AJ13" s="43"/>
      <c r="AK13" s="43"/>
      <c r="AL13" s="43"/>
      <c r="AM13" s="43"/>
      <c r="AN13" s="43"/>
      <c r="AO13" s="43"/>
      <c r="AP13" s="43"/>
      <c r="AQ13" s="43"/>
      <c r="AR13" s="434"/>
      <c r="AS13" s="434"/>
      <c r="AT13" s="434"/>
      <c r="AU13" s="434"/>
      <c r="AV13" s="434"/>
      <c r="AW13" s="434"/>
      <c r="AX13" s="434"/>
      <c r="AY13" s="434"/>
      <c r="AZ13" s="434"/>
      <c r="BA13" s="434"/>
      <c r="BB13" s="434"/>
      <c r="BC13" s="434"/>
      <c r="BD13" s="434"/>
      <c r="BE13" s="434"/>
      <c r="BF13" s="434"/>
      <c r="BG13" s="434"/>
      <c r="BH13" s="434"/>
      <c r="BI13" s="434"/>
      <c r="BJ13" s="434"/>
      <c r="BK13" s="434"/>
      <c r="BL13" s="434"/>
      <c r="BM13" s="434"/>
      <c r="BN13" s="434"/>
      <c r="BO13" s="434"/>
      <c r="BP13" s="434"/>
      <c r="BQ13" s="434"/>
      <c r="BR13" s="434"/>
      <c r="BS13" s="434"/>
      <c r="BT13" s="434"/>
      <c r="BU13" s="434"/>
      <c r="BV13" s="434"/>
      <c r="BW13" s="434"/>
      <c r="BX13" s="434"/>
      <c r="BY13" s="434"/>
      <c r="BZ13" s="434"/>
      <c r="CA13" s="434"/>
      <c r="CB13" s="434"/>
      <c r="CC13" s="434"/>
      <c r="CD13" s="434"/>
      <c r="CE13" s="434"/>
      <c r="CF13" s="434"/>
      <c r="CG13" s="434"/>
      <c r="CH13" s="434"/>
      <c r="CI13" s="434"/>
      <c r="CJ13" s="434"/>
      <c r="CK13" s="434"/>
      <c r="CL13" s="434"/>
      <c r="CM13" s="434"/>
      <c r="CN13" s="434"/>
      <c r="CO13" s="434"/>
      <c r="CP13" s="434"/>
      <c r="CQ13" s="434"/>
      <c r="CR13" s="434"/>
      <c r="CS13" s="434"/>
      <c r="CT13" s="434"/>
      <c r="CU13" s="434"/>
      <c r="CV13" s="434"/>
      <c r="CW13" s="434"/>
      <c r="CX13" s="434"/>
      <c r="CY13" s="434"/>
      <c r="CZ13" s="434"/>
      <c r="DA13" s="434"/>
      <c r="DB13" s="434"/>
      <c r="DC13" s="434"/>
      <c r="DD13" s="434"/>
      <c r="DE13" s="434"/>
      <c r="DF13" s="434"/>
      <c r="DG13" s="434"/>
      <c r="DH13" s="434"/>
      <c r="DI13" s="434"/>
      <c r="DJ13" s="434"/>
      <c r="DK13" s="434"/>
      <c r="DL13" s="434"/>
      <c r="DM13" s="434"/>
      <c r="DN13" s="434"/>
      <c r="DO13" s="434"/>
      <c r="DP13" s="434"/>
      <c r="DQ13" s="434"/>
      <c r="DR13" s="434"/>
      <c r="DS13" s="434"/>
      <c r="DT13" s="434"/>
      <c r="DU13" s="434"/>
      <c r="DV13" s="434"/>
      <c r="DW13" s="434"/>
      <c r="DX13" s="434"/>
      <c r="DY13" s="434"/>
      <c r="DZ13" s="434"/>
      <c r="EA13" s="434"/>
      <c r="EB13" s="434"/>
      <c r="EC13" s="434"/>
      <c r="ED13" s="434"/>
      <c r="EE13" s="434"/>
      <c r="EF13" s="434"/>
      <c r="EG13" s="434"/>
      <c r="EH13" s="434"/>
      <c r="EI13" s="434"/>
      <c r="EJ13" s="434"/>
      <c r="EK13" s="434"/>
      <c r="EL13" s="434"/>
      <c r="EM13" s="434"/>
      <c r="EN13" s="434"/>
      <c r="EO13" s="434"/>
      <c r="EP13" s="434"/>
      <c r="EQ13" s="434"/>
      <c r="ER13" s="434"/>
      <c r="ES13" s="434"/>
      <c r="ET13" s="434"/>
      <c r="EU13" s="434"/>
      <c r="EV13" s="434"/>
      <c r="EW13" s="434"/>
      <c r="EX13" s="434"/>
      <c r="EY13" s="434"/>
      <c r="EZ13" s="434"/>
      <c r="FA13" s="434"/>
      <c r="FB13" s="434"/>
      <c r="FC13" s="434"/>
      <c r="FD13" s="434"/>
      <c r="FE13" s="434"/>
      <c r="FF13" s="434"/>
      <c r="FG13" s="434"/>
      <c r="FH13" s="434"/>
      <c r="FI13" s="434"/>
      <c r="FJ13" s="434"/>
      <c r="FK13" s="434"/>
      <c r="FL13" s="434"/>
      <c r="FM13" s="434"/>
      <c r="FN13" s="434"/>
      <c r="FO13" s="434"/>
      <c r="FP13" s="434"/>
      <c r="FQ13" s="434"/>
      <c r="FR13" s="434"/>
      <c r="FS13" s="434"/>
      <c r="FT13" s="434"/>
      <c r="FU13" s="434"/>
      <c r="FV13" s="434"/>
      <c r="FW13" s="434"/>
      <c r="FX13" s="434"/>
      <c r="FY13" s="434"/>
      <c r="FZ13" s="434"/>
      <c r="GA13" s="434"/>
      <c r="GB13" s="434"/>
      <c r="GC13" s="434"/>
      <c r="GD13" s="434"/>
      <c r="GE13" s="434"/>
      <c r="GF13" s="434"/>
      <c r="GG13" s="434"/>
      <c r="GH13" s="434"/>
      <c r="GI13" s="434"/>
      <c r="GJ13" s="434"/>
      <c r="GK13" s="434"/>
      <c r="GL13" s="434"/>
      <c r="GM13" s="434"/>
      <c r="GN13" s="434"/>
    </row>
    <row r="14" spans="1:196" ht="15" customHeight="1">
      <c r="A14" s="1179"/>
      <c r="B14" s="140">
        <v>13</v>
      </c>
      <c r="C14" s="140">
        <v>81969</v>
      </c>
      <c r="D14" s="1185" t="s">
        <v>5905</v>
      </c>
      <c r="E14" s="1186" t="s">
        <v>5906</v>
      </c>
      <c r="F14" s="1173">
        <v>46146</v>
      </c>
      <c r="G14" s="1172">
        <v>64</v>
      </c>
      <c r="H14" s="1173">
        <v>22491</v>
      </c>
      <c r="I14" s="1173">
        <v>46146</v>
      </c>
      <c r="J14" s="1169" t="s">
        <v>5872</v>
      </c>
      <c r="K14" s="1172" t="s">
        <v>5907</v>
      </c>
      <c r="L14" s="1172" t="s">
        <v>326</v>
      </c>
      <c r="M14" s="1169">
        <v>963841466</v>
      </c>
      <c r="N14" s="1169"/>
      <c r="O14" s="1169" t="s">
        <v>5865</v>
      </c>
      <c r="P14" s="325" t="s">
        <v>5866</v>
      </c>
      <c r="Q14" s="1061" t="s">
        <v>5867</v>
      </c>
      <c r="R14" s="1169" t="s">
        <v>238</v>
      </c>
      <c r="S14" s="1169" t="s">
        <v>5868</v>
      </c>
      <c r="T14" s="1169" t="s">
        <v>5869</v>
      </c>
      <c r="U14" s="1168">
        <v>46146</v>
      </c>
      <c r="V14" s="1187">
        <v>0.3888888888888889</v>
      </c>
      <c r="W14" s="1175">
        <v>46146</v>
      </c>
      <c r="X14" s="1143" t="s">
        <v>5908</v>
      </c>
      <c r="Y14" s="1143" t="s">
        <v>323</v>
      </c>
      <c r="Z14" s="1176" t="s">
        <v>3105</v>
      </c>
      <c r="AA14" s="1177">
        <v>46147</v>
      </c>
      <c r="AB14" s="244"/>
      <c r="AC14" s="1178"/>
      <c r="AD14" s="1178"/>
      <c r="AE14" s="43"/>
      <c r="AF14" s="43"/>
      <c r="AG14" s="43"/>
      <c r="AH14" s="43"/>
      <c r="AI14" s="43"/>
      <c r="AJ14" s="43"/>
      <c r="AK14" s="43"/>
      <c r="AL14" s="43"/>
      <c r="AM14" s="43"/>
      <c r="AN14" s="43"/>
      <c r="AO14" s="43"/>
      <c r="AP14" s="43"/>
      <c r="AQ14" s="43"/>
      <c r="AR14" s="434"/>
      <c r="AS14" s="434"/>
      <c r="AT14" s="434"/>
      <c r="AU14" s="434"/>
      <c r="AV14" s="434"/>
      <c r="AW14" s="434"/>
      <c r="AX14" s="434"/>
      <c r="AY14" s="434"/>
      <c r="AZ14" s="434"/>
      <c r="BA14" s="434"/>
      <c r="BB14" s="434"/>
      <c r="BC14" s="434"/>
      <c r="BD14" s="434"/>
      <c r="BE14" s="434"/>
      <c r="BF14" s="434"/>
      <c r="BG14" s="434"/>
      <c r="BH14" s="434"/>
      <c r="BI14" s="434"/>
      <c r="BJ14" s="434"/>
      <c r="BK14" s="434"/>
      <c r="BL14" s="434"/>
      <c r="BM14" s="434"/>
      <c r="BN14" s="434"/>
      <c r="BO14" s="434"/>
      <c r="BP14" s="434"/>
      <c r="BQ14" s="434"/>
      <c r="BR14" s="434"/>
      <c r="BS14" s="434"/>
      <c r="BT14" s="434"/>
      <c r="BU14" s="434"/>
      <c r="BV14" s="434"/>
      <c r="BW14" s="434"/>
      <c r="BX14" s="434"/>
      <c r="BY14" s="434"/>
      <c r="BZ14" s="434"/>
      <c r="CA14" s="434"/>
      <c r="CB14" s="434"/>
      <c r="CC14" s="434"/>
      <c r="CD14" s="434"/>
      <c r="CE14" s="434"/>
      <c r="CF14" s="434"/>
      <c r="CG14" s="434"/>
      <c r="CH14" s="434"/>
      <c r="CI14" s="434"/>
      <c r="CJ14" s="434"/>
      <c r="CK14" s="434"/>
      <c r="CL14" s="434"/>
      <c r="CM14" s="434"/>
      <c r="CN14" s="434"/>
      <c r="CO14" s="434"/>
      <c r="CP14" s="434"/>
      <c r="CQ14" s="434"/>
      <c r="CR14" s="434"/>
      <c r="CS14" s="434"/>
      <c r="CT14" s="434"/>
      <c r="CU14" s="434"/>
      <c r="CV14" s="434"/>
      <c r="CW14" s="434"/>
      <c r="CX14" s="434"/>
      <c r="CY14" s="434"/>
      <c r="CZ14" s="434"/>
      <c r="DA14" s="434"/>
      <c r="DB14" s="434"/>
      <c r="DC14" s="434"/>
      <c r="DD14" s="434"/>
      <c r="DE14" s="434"/>
      <c r="DF14" s="434"/>
      <c r="DG14" s="434"/>
      <c r="DH14" s="434"/>
      <c r="DI14" s="434"/>
      <c r="DJ14" s="434"/>
      <c r="DK14" s="434"/>
      <c r="DL14" s="434"/>
      <c r="DM14" s="434"/>
      <c r="DN14" s="434"/>
      <c r="DO14" s="434"/>
      <c r="DP14" s="434"/>
      <c r="DQ14" s="434"/>
      <c r="DR14" s="434"/>
      <c r="DS14" s="434"/>
      <c r="DT14" s="434"/>
      <c r="DU14" s="434"/>
      <c r="DV14" s="434"/>
      <c r="DW14" s="434"/>
      <c r="DX14" s="434"/>
      <c r="DY14" s="434"/>
      <c r="DZ14" s="434"/>
      <c r="EA14" s="434"/>
      <c r="EB14" s="434"/>
      <c r="EC14" s="434"/>
      <c r="ED14" s="434"/>
      <c r="EE14" s="434"/>
      <c r="EF14" s="434"/>
      <c r="EG14" s="434"/>
      <c r="EH14" s="434"/>
      <c r="EI14" s="434"/>
      <c r="EJ14" s="434"/>
      <c r="EK14" s="434"/>
      <c r="EL14" s="434"/>
      <c r="EM14" s="434"/>
      <c r="EN14" s="434"/>
      <c r="EO14" s="434"/>
      <c r="EP14" s="434"/>
      <c r="EQ14" s="434"/>
      <c r="ER14" s="434"/>
      <c r="ES14" s="434"/>
      <c r="ET14" s="434"/>
      <c r="EU14" s="434"/>
      <c r="EV14" s="434"/>
      <c r="EW14" s="434"/>
      <c r="EX14" s="434"/>
      <c r="EY14" s="434"/>
      <c r="EZ14" s="434"/>
      <c r="FA14" s="434"/>
      <c r="FB14" s="434"/>
      <c r="FC14" s="434"/>
      <c r="FD14" s="434"/>
      <c r="FE14" s="434"/>
      <c r="FF14" s="434"/>
      <c r="FG14" s="434"/>
      <c r="FH14" s="434"/>
      <c r="FI14" s="434"/>
      <c r="FJ14" s="434"/>
      <c r="FK14" s="434"/>
      <c r="FL14" s="434"/>
      <c r="FM14" s="434"/>
      <c r="FN14" s="434"/>
      <c r="FO14" s="434"/>
      <c r="FP14" s="434"/>
      <c r="FQ14" s="434"/>
      <c r="FR14" s="434"/>
      <c r="FS14" s="434"/>
      <c r="FT14" s="434"/>
      <c r="FU14" s="434"/>
      <c r="FV14" s="434"/>
      <c r="FW14" s="434"/>
      <c r="FX14" s="434"/>
      <c r="FY14" s="434"/>
      <c r="FZ14" s="434"/>
      <c r="GA14" s="434"/>
      <c r="GB14" s="434"/>
      <c r="GC14" s="434"/>
      <c r="GD14" s="434"/>
      <c r="GE14" s="434"/>
      <c r="GF14" s="434"/>
      <c r="GG14" s="434"/>
      <c r="GH14" s="434"/>
      <c r="GI14" s="434"/>
      <c r="GJ14" s="434"/>
      <c r="GK14" s="434"/>
      <c r="GL14" s="434"/>
      <c r="GM14" s="434"/>
      <c r="GN14" s="434"/>
    </row>
    <row r="15" spans="1:196" ht="15" customHeight="1">
      <c r="A15" s="1179"/>
      <c r="B15" s="140">
        <v>14</v>
      </c>
      <c r="C15" s="140">
        <v>525555</v>
      </c>
      <c r="D15" s="1185" t="s">
        <v>5909</v>
      </c>
      <c r="E15" s="1186" t="s">
        <v>5910</v>
      </c>
      <c r="F15" s="1173">
        <v>46146</v>
      </c>
      <c r="G15" s="1172">
        <v>49</v>
      </c>
      <c r="H15" s="1173">
        <v>27952</v>
      </c>
      <c r="I15" s="1173">
        <v>46146</v>
      </c>
      <c r="J15" s="1169" t="s">
        <v>5872</v>
      </c>
      <c r="K15" s="1172" t="s">
        <v>5911</v>
      </c>
      <c r="L15" s="1172" t="s">
        <v>271</v>
      </c>
      <c r="M15" s="1172">
        <v>920143178</v>
      </c>
      <c r="N15" s="1172"/>
      <c r="O15" s="1169" t="s">
        <v>5865</v>
      </c>
      <c r="P15" s="325" t="s">
        <v>5866</v>
      </c>
      <c r="Q15" s="1061" t="s">
        <v>5867</v>
      </c>
      <c r="R15" s="1172" t="s">
        <v>164</v>
      </c>
      <c r="S15" s="1172" t="s">
        <v>5868</v>
      </c>
      <c r="T15" s="1172" t="s">
        <v>5869</v>
      </c>
      <c r="U15" s="1173">
        <v>46146</v>
      </c>
      <c r="V15" s="1187">
        <v>0.39583333333333331</v>
      </c>
      <c r="W15" s="1175">
        <v>46146</v>
      </c>
      <c r="X15" s="1143" t="s">
        <v>5912</v>
      </c>
      <c r="Y15" s="1143" t="s">
        <v>5893</v>
      </c>
      <c r="Z15" s="1176" t="s">
        <v>3105</v>
      </c>
      <c r="AA15" s="1177">
        <v>46147</v>
      </c>
      <c r="AB15" s="244"/>
      <c r="AC15" s="1178" t="s">
        <v>5881</v>
      </c>
      <c r="AD15" s="1178"/>
      <c r="AE15" s="43"/>
      <c r="AF15" s="43"/>
      <c r="AG15" s="43"/>
      <c r="AH15" s="43"/>
      <c r="AI15" s="43"/>
      <c r="AJ15" s="43"/>
      <c r="AK15" s="43"/>
      <c r="AL15" s="43"/>
      <c r="AM15" s="43"/>
      <c r="AN15" s="43"/>
      <c r="AO15" s="43"/>
      <c r="AP15" s="43"/>
      <c r="AQ15" s="43"/>
      <c r="AR15" s="434"/>
      <c r="AS15" s="434"/>
      <c r="AT15" s="434"/>
      <c r="AU15" s="434"/>
      <c r="AV15" s="434"/>
      <c r="AW15" s="434"/>
      <c r="AX15" s="434"/>
      <c r="AY15" s="434"/>
      <c r="AZ15" s="434"/>
      <c r="BA15" s="434"/>
      <c r="BB15" s="434"/>
      <c r="BC15" s="434"/>
      <c r="BD15" s="434"/>
      <c r="BE15" s="434"/>
      <c r="BF15" s="434"/>
      <c r="BG15" s="434"/>
      <c r="BH15" s="434"/>
      <c r="BI15" s="434"/>
      <c r="BJ15" s="434"/>
      <c r="BK15" s="434"/>
      <c r="BL15" s="434"/>
      <c r="BM15" s="434"/>
      <c r="BN15" s="434"/>
      <c r="BO15" s="434"/>
      <c r="BP15" s="434"/>
      <c r="BQ15" s="434"/>
      <c r="BR15" s="434"/>
      <c r="BS15" s="434"/>
      <c r="BT15" s="434"/>
      <c r="BU15" s="434"/>
      <c r="BV15" s="434"/>
      <c r="BW15" s="434"/>
      <c r="BX15" s="434"/>
      <c r="BY15" s="434"/>
      <c r="BZ15" s="434"/>
      <c r="CA15" s="434"/>
      <c r="CB15" s="434"/>
      <c r="CC15" s="434"/>
      <c r="CD15" s="434"/>
      <c r="CE15" s="434"/>
      <c r="CF15" s="434"/>
      <c r="CG15" s="434"/>
      <c r="CH15" s="434"/>
      <c r="CI15" s="434"/>
      <c r="CJ15" s="434"/>
      <c r="CK15" s="434"/>
      <c r="CL15" s="434"/>
      <c r="CM15" s="434"/>
      <c r="CN15" s="434"/>
      <c r="CO15" s="434"/>
      <c r="CP15" s="434"/>
      <c r="CQ15" s="434"/>
      <c r="CR15" s="434"/>
      <c r="CS15" s="434"/>
      <c r="CT15" s="434"/>
      <c r="CU15" s="434"/>
      <c r="CV15" s="434"/>
      <c r="CW15" s="434"/>
      <c r="CX15" s="434"/>
      <c r="CY15" s="434"/>
      <c r="CZ15" s="434"/>
      <c r="DA15" s="434"/>
      <c r="DB15" s="434"/>
      <c r="DC15" s="434"/>
      <c r="DD15" s="434"/>
      <c r="DE15" s="434"/>
      <c r="DF15" s="434"/>
      <c r="DG15" s="434"/>
      <c r="DH15" s="434"/>
      <c r="DI15" s="434"/>
      <c r="DJ15" s="434"/>
      <c r="DK15" s="434"/>
      <c r="DL15" s="434"/>
      <c r="DM15" s="434"/>
      <c r="DN15" s="434"/>
      <c r="DO15" s="434"/>
      <c r="DP15" s="434"/>
      <c r="DQ15" s="434"/>
      <c r="DR15" s="434"/>
      <c r="DS15" s="434"/>
      <c r="DT15" s="434"/>
      <c r="DU15" s="434"/>
      <c r="DV15" s="434"/>
      <c r="DW15" s="434"/>
      <c r="DX15" s="434"/>
      <c r="DY15" s="434"/>
      <c r="DZ15" s="434"/>
      <c r="EA15" s="434"/>
      <c r="EB15" s="434"/>
      <c r="EC15" s="434"/>
      <c r="ED15" s="434"/>
      <c r="EE15" s="434"/>
      <c r="EF15" s="434"/>
      <c r="EG15" s="434"/>
      <c r="EH15" s="434"/>
      <c r="EI15" s="434"/>
      <c r="EJ15" s="434"/>
      <c r="EK15" s="434"/>
      <c r="EL15" s="434"/>
      <c r="EM15" s="434"/>
      <c r="EN15" s="434"/>
      <c r="EO15" s="434"/>
      <c r="EP15" s="434"/>
      <c r="EQ15" s="434"/>
      <c r="ER15" s="434"/>
      <c r="ES15" s="434"/>
      <c r="ET15" s="434"/>
      <c r="EU15" s="434"/>
      <c r="EV15" s="434"/>
      <c r="EW15" s="434"/>
      <c r="EX15" s="434"/>
      <c r="EY15" s="434"/>
      <c r="EZ15" s="434"/>
      <c r="FA15" s="434"/>
      <c r="FB15" s="434"/>
      <c r="FC15" s="434"/>
      <c r="FD15" s="434"/>
      <c r="FE15" s="434"/>
      <c r="FF15" s="434"/>
      <c r="FG15" s="434"/>
      <c r="FH15" s="434"/>
      <c r="FI15" s="434"/>
      <c r="FJ15" s="434"/>
      <c r="FK15" s="434"/>
      <c r="FL15" s="434"/>
      <c r="FM15" s="434"/>
      <c r="FN15" s="434"/>
      <c r="FO15" s="434"/>
      <c r="FP15" s="434"/>
      <c r="FQ15" s="434"/>
      <c r="FR15" s="434"/>
      <c r="FS15" s="434"/>
      <c r="FT15" s="434"/>
      <c r="FU15" s="434"/>
      <c r="FV15" s="434"/>
      <c r="FW15" s="434"/>
      <c r="FX15" s="434"/>
      <c r="FY15" s="434"/>
      <c r="FZ15" s="434"/>
      <c r="GA15" s="434"/>
      <c r="GB15" s="434"/>
      <c r="GC15" s="434"/>
      <c r="GD15" s="434"/>
      <c r="GE15" s="434"/>
      <c r="GF15" s="434"/>
      <c r="GG15" s="434"/>
      <c r="GH15" s="434"/>
      <c r="GI15" s="434"/>
      <c r="GJ15" s="434"/>
      <c r="GK15" s="434"/>
      <c r="GL15" s="434"/>
      <c r="GM15" s="434"/>
      <c r="GN15" s="434"/>
    </row>
    <row r="16" spans="1:196" ht="15" customHeight="1">
      <c r="A16" s="1179"/>
      <c r="B16" s="140">
        <v>15</v>
      </c>
      <c r="C16" s="140">
        <v>88551</v>
      </c>
      <c r="D16" s="1185" t="s">
        <v>5913</v>
      </c>
      <c r="E16" s="1186" t="s">
        <v>5914</v>
      </c>
      <c r="F16" s="1173">
        <v>46146</v>
      </c>
      <c r="G16" s="1172">
        <v>56</v>
      </c>
      <c r="H16" s="1173">
        <v>25596</v>
      </c>
      <c r="I16" s="1173">
        <v>46146</v>
      </c>
      <c r="J16" s="1169" t="s">
        <v>5872</v>
      </c>
      <c r="K16" s="1172" t="s">
        <v>5915</v>
      </c>
      <c r="L16" s="1172" t="s">
        <v>301</v>
      </c>
      <c r="M16" s="1170">
        <v>997723199</v>
      </c>
      <c r="N16" s="1172"/>
      <c r="O16" s="1169" t="s">
        <v>5865</v>
      </c>
      <c r="P16" s="325" t="s">
        <v>5866</v>
      </c>
      <c r="Q16" s="1061" t="s">
        <v>5867</v>
      </c>
      <c r="R16" s="1172" t="s">
        <v>380</v>
      </c>
      <c r="S16" s="1172" t="s">
        <v>5868</v>
      </c>
      <c r="T16" s="1172" t="s">
        <v>5869</v>
      </c>
      <c r="U16" s="1173">
        <v>46146</v>
      </c>
      <c r="V16" s="1187">
        <v>0.40277777777777779</v>
      </c>
      <c r="W16" s="1175">
        <v>46146</v>
      </c>
      <c r="X16" s="1143" t="s">
        <v>5916</v>
      </c>
      <c r="Y16" s="1143" t="s">
        <v>3104</v>
      </c>
      <c r="Z16" s="1176" t="s">
        <v>3105</v>
      </c>
      <c r="AA16" s="1180">
        <v>46147</v>
      </c>
      <c r="AB16" s="244"/>
      <c r="AC16" s="1178" t="s">
        <v>5917</v>
      </c>
      <c r="AD16" s="1178"/>
      <c r="AE16" s="43"/>
      <c r="AF16" s="43"/>
      <c r="AG16" s="43"/>
      <c r="AH16" s="43"/>
      <c r="AI16" s="43"/>
      <c r="AJ16" s="43"/>
      <c r="AK16" s="43"/>
      <c r="AL16" s="43"/>
      <c r="AM16" s="43"/>
      <c r="AN16" s="43"/>
      <c r="AO16" s="43"/>
      <c r="AP16" s="43"/>
      <c r="AQ16" s="43"/>
      <c r="AR16" s="434"/>
      <c r="AS16" s="434"/>
      <c r="AT16" s="434"/>
      <c r="AU16" s="434"/>
      <c r="AV16" s="434"/>
      <c r="AW16" s="434"/>
      <c r="AX16" s="434"/>
      <c r="AY16" s="434"/>
      <c r="AZ16" s="434"/>
      <c r="BA16" s="434"/>
      <c r="BB16" s="434"/>
      <c r="BC16" s="434"/>
      <c r="BD16" s="434"/>
      <c r="BE16" s="434"/>
      <c r="BF16" s="434"/>
      <c r="BG16" s="434"/>
      <c r="BH16" s="434"/>
      <c r="BI16" s="434"/>
      <c r="BJ16" s="434"/>
      <c r="BK16" s="434"/>
      <c r="BL16" s="434"/>
      <c r="BM16" s="434"/>
      <c r="BN16" s="434"/>
      <c r="BO16" s="434"/>
      <c r="BP16" s="434"/>
      <c r="BQ16" s="434"/>
      <c r="BR16" s="434"/>
      <c r="BS16" s="434"/>
      <c r="BT16" s="434"/>
      <c r="BU16" s="434"/>
      <c r="BV16" s="434"/>
      <c r="BW16" s="434"/>
      <c r="BX16" s="434"/>
      <c r="BY16" s="434"/>
      <c r="BZ16" s="434"/>
      <c r="CA16" s="434"/>
      <c r="CB16" s="434"/>
      <c r="CC16" s="434"/>
      <c r="CD16" s="434"/>
      <c r="CE16" s="434"/>
      <c r="CF16" s="434"/>
      <c r="CG16" s="434"/>
      <c r="CH16" s="434"/>
      <c r="CI16" s="434"/>
      <c r="CJ16" s="434"/>
      <c r="CK16" s="434"/>
      <c r="CL16" s="434"/>
      <c r="CM16" s="434"/>
      <c r="CN16" s="434"/>
      <c r="CO16" s="434"/>
      <c r="CP16" s="434"/>
      <c r="CQ16" s="434"/>
      <c r="CR16" s="434"/>
      <c r="CS16" s="434"/>
      <c r="CT16" s="434"/>
      <c r="CU16" s="434"/>
      <c r="CV16" s="434"/>
      <c r="CW16" s="434"/>
      <c r="CX16" s="434"/>
      <c r="CY16" s="434"/>
      <c r="CZ16" s="434"/>
      <c r="DA16" s="434"/>
      <c r="DB16" s="434"/>
      <c r="DC16" s="434"/>
      <c r="DD16" s="434"/>
      <c r="DE16" s="434"/>
      <c r="DF16" s="434"/>
      <c r="DG16" s="434"/>
      <c r="DH16" s="434"/>
      <c r="DI16" s="434"/>
      <c r="DJ16" s="434"/>
      <c r="DK16" s="434"/>
      <c r="DL16" s="434"/>
      <c r="DM16" s="434"/>
      <c r="DN16" s="434"/>
      <c r="DO16" s="434"/>
      <c r="DP16" s="434"/>
      <c r="DQ16" s="434"/>
      <c r="DR16" s="434"/>
      <c r="DS16" s="434"/>
      <c r="DT16" s="434"/>
      <c r="DU16" s="434"/>
      <c r="DV16" s="434"/>
      <c r="DW16" s="434"/>
      <c r="DX16" s="434"/>
      <c r="DY16" s="434"/>
      <c r="DZ16" s="434"/>
      <c r="EA16" s="434"/>
      <c r="EB16" s="434"/>
      <c r="EC16" s="434"/>
      <c r="ED16" s="434"/>
      <c r="EE16" s="434"/>
      <c r="EF16" s="434"/>
      <c r="EG16" s="434"/>
      <c r="EH16" s="434"/>
      <c r="EI16" s="434"/>
      <c r="EJ16" s="434"/>
      <c r="EK16" s="434"/>
      <c r="EL16" s="434"/>
      <c r="EM16" s="434"/>
      <c r="EN16" s="434"/>
      <c r="EO16" s="434"/>
      <c r="EP16" s="434"/>
      <c r="EQ16" s="434"/>
      <c r="ER16" s="434"/>
      <c r="ES16" s="434"/>
      <c r="ET16" s="434"/>
      <c r="EU16" s="434"/>
      <c r="EV16" s="434"/>
      <c r="EW16" s="434"/>
      <c r="EX16" s="434"/>
      <c r="EY16" s="434"/>
      <c r="EZ16" s="434"/>
      <c r="FA16" s="434"/>
      <c r="FB16" s="434"/>
      <c r="FC16" s="434"/>
      <c r="FD16" s="434"/>
      <c r="FE16" s="434"/>
      <c r="FF16" s="434"/>
      <c r="FG16" s="434"/>
      <c r="FH16" s="434"/>
      <c r="FI16" s="434"/>
      <c r="FJ16" s="434"/>
      <c r="FK16" s="434"/>
      <c r="FL16" s="434"/>
      <c r="FM16" s="434"/>
      <c r="FN16" s="434"/>
      <c r="FO16" s="434"/>
      <c r="FP16" s="434"/>
      <c r="FQ16" s="434"/>
      <c r="FR16" s="434"/>
      <c r="FS16" s="434"/>
      <c r="FT16" s="434"/>
      <c r="FU16" s="434"/>
      <c r="FV16" s="434"/>
      <c r="FW16" s="434"/>
      <c r="FX16" s="434"/>
      <c r="FY16" s="434"/>
      <c r="FZ16" s="434"/>
      <c r="GA16" s="434"/>
      <c r="GB16" s="434"/>
      <c r="GC16" s="434"/>
      <c r="GD16" s="434"/>
      <c r="GE16" s="434"/>
      <c r="GF16" s="434"/>
      <c r="GG16" s="434"/>
      <c r="GH16" s="434"/>
      <c r="GI16" s="434"/>
      <c r="GJ16" s="434"/>
      <c r="GK16" s="434"/>
      <c r="GL16" s="434"/>
      <c r="GM16" s="434"/>
      <c r="GN16" s="434"/>
    </row>
    <row r="17" spans="1:196" ht="15" customHeight="1">
      <c r="A17" s="1179"/>
      <c r="B17" s="140">
        <v>16</v>
      </c>
      <c r="C17" s="140">
        <v>525556</v>
      </c>
      <c r="D17" s="1185" t="s">
        <v>5918</v>
      </c>
      <c r="E17" s="1186" t="s">
        <v>5919</v>
      </c>
      <c r="F17" s="1173">
        <v>46146</v>
      </c>
      <c r="G17" s="1172">
        <v>55</v>
      </c>
      <c r="H17" s="1173">
        <v>25756</v>
      </c>
      <c r="I17" s="1173">
        <v>46146</v>
      </c>
      <c r="J17" s="1169" t="s">
        <v>5872</v>
      </c>
      <c r="K17" s="1172" t="s">
        <v>5920</v>
      </c>
      <c r="L17" s="1172" t="s">
        <v>5921</v>
      </c>
      <c r="M17" s="1172">
        <v>900907757</v>
      </c>
      <c r="N17" s="1172"/>
      <c r="O17" s="1169" t="s">
        <v>5865</v>
      </c>
      <c r="P17" s="325" t="s">
        <v>5866</v>
      </c>
      <c r="Q17" s="1061" t="s">
        <v>5867</v>
      </c>
      <c r="R17" s="1172" t="s">
        <v>5922</v>
      </c>
      <c r="S17" s="1172" t="s">
        <v>5868</v>
      </c>
      <c r="T17" s="1172" t="s">
        <v>5873</v>
      </c>
      <c r="U17" s="1173">
        <v>46146</v>
      </c>
      <c r="V17" s="1187">
        <v>0.41666666666666669</v>
      </c>
      <c r="W17" s="1175">
        <v>46146</v>
      </c>
      <c r="X17" s="1143" t="s">
        <v>5923</v>
      </c>
      <c r="Y17" s="1143" t="s">
        <v>3104</v>
      </c>
      <c r="Z17" s="1176" t="s">
        <v>3105</v>
      </c>
      <c r="AA17" s="1180">
        <v>46147</v>
      </c>
      <c r="AB17" s="244"/>
      <c r="AC17" s="1178" t="s">
        <v>5924</v>
      </c>
      <c r="AD17" s="1178"/>
      <c r="AE17" s="43"/>
      <c r="AF17" s="43"/>
      <c r="AG17" s="43"/>
      <c r="AH17" s="43"/>
      <c r="AI17" s="43"/>
      <c r="AJ17" s="43"/>
      <c r="AK17" s="43"/>
      <c r="AL17" s="43"/>
      <c r="AM17" s="43"/>
      <c r="AN17" s="43"/>
      <c r="AO17" s="43"/>
      <c r="AP17" s="43"/>
      <c r="AQ17" s="43"/>
      <c r="AR17" s="434"/>
      <c r="AS17" s="434"/>
      <c r="AT17" s="434"/>
      <c r="AU17" s="434"/>
      <c r="AV17" s="434"/>
      <c r="AW17" s="434"/>
      <c r="AX17" s="434"/>
      <c r="AY17" s="434"/>
      <c r="AZ17" s="434"/>
      <c r="BA17" s="434"/>
      <c r="BB17" s="434"/>
      <c r="BC17" s="434"/>
      <c r="BD17" s="434"/>
      <c r="BE17" s="434"/>
      <c r="BF17" s="434"/>
      <c r="BG17" s="434"/>
      <c r="BH17" s="434"/>
      <c r="BI17" s="434"/>
      <c r="BJ17" s="434"/>
      <c r="BK17" s="434"/>
      <c r="BL17" s="434"/>
      <c r="BM17" s="434"/>
      <c r="BN17" s="434"/>
      <c r="BO17" s="434"/>
      <c r="BP17" s="434"/>
      <c r="BQ17" s="434"/>
      <c r="BR17" s="434"/>
      <c r="BS17" s="434"/>
      <c r="BT17" s="434"/>
      <c r="BU17" s="434"/>
      <c r="BV17" s="434"/>
      <c r="BW17" s="434"/>
      <c r="BX17" s="434"/>
      <c r="BY17" s="434"/>
      <c r="BZ17" s="434"/>
      <c r="CA17" s="434"/>
      <c r="CB17" s="434"/>
      <c r="CC17" s="434"/>
      <c r="CD17" s="434"/>
      <c r="CE17" s="434"/>
      <c r="CF17" s="434"/>
      <c r="CG17" s="434"/>
      <c r="CH17" s="434"/>
      <c r="CI17" s="434"/>
      <c r="CJ17" s="434"/>
      <c r="CK17" s="434"/>
      <c r="CL17" s="434"/>
      <c r="CM17" s="434"/>
      <c r="CN17" s="434"/>
      <c r="CO17" s="434"/>
      <c r="CP17" s="434"/>
      <c r="CQ17" s="434"/>
      <c r="CR17" s="434"/>
      <c r="CS17" s="434"/>
      <c r="CT17" s="434"/>
      <c r="CU17" s="434"/>
      <c r="CV17" s="434"/>
      <c r="CW17" s="434"/>
      <c r="CX17" s="434"/>
      <c r="CY17" s="434"/>
      <c r="CZ17" s="434"/>
      <c r="DA17" s="434"/>
      <c r="DB17" s="434"/>
      <c r="DC17" s="434"/>
      <c r="DD17" s="434"/>
      <c r="DE17" s="434"/>
      <c r="DF17" s="434"/>
      <c r="DG17" s="434"/>
      <c r="DH17" s="434"/>
      <c r="DI17" s="434"/>
      <c r="DJ17" s="434"/>
      <c r="DK17" s="434"/>
      <c r="DL17" s="434"/>
      <c r="DM17" s="434"/>
      <c r="DN17" s="434"/>
      <c r="DO17" s="434"/>
      <c r="DP17" s="434"/>
      <c r="DQ17" s="434"/>
      <c r="DR17" s="434"/>
      <c r="DS17" s="434"/>
      <c r="DT17" s="434"/>
      <c r="DU17" s="434"/>
      <c r="DV17" s="434"/>
      <c r="DW17" s="434"/>
      <c r="DX17" s="434"/>
      <c r="DY17" s="434"/>
      <c r="DZ17" s="434"/>
      <c r="EA17" s="434"/>
      <c r="EB17" s="434"/>
      <c r="EC17" s="434"/>
      <c r="ED17" s="434"/>
      <c r="EE17" s="434"/>
      <c r="EF17" s="434"/>
      <c r="EG17" s="434"/>
      <c r="EH17" s="434"/>
      <c r="EI17" s="434"/>
      <c r="EJ17" s="434"/>
      <c r="EK17" s="434"/>
      <c r="EL17" s="434"/>
      <c r="EM17" s="434"/>
      <c r="EN17" s="434"/>
      <c r="EO17" s="434"/>
      <c r="EP17" s="434"/>
      <c r="EQ17" s="434"/>
      <c r="ER17" s="434"/>
      <c r="ES17" s="434"/>
      <c r="ET17" s="434"/>
      <c r="EU17" s="434"/>
      <c r="EV17" s="434"/>
      <c r="EW17" s="434"/>
      <c r="EX17" s="434"/>
      <c r="EY17" s="434"/>
      <c r="EZ17" s="434"/>
      <c r="FA17" s="434"/>
      <c r="FB17" s="434"/>
      <c r="FC17" s="434"/>
      <c r="FD17" s="434"/>
      <c r="FE17" s="434"/>
      <c r="FF17" s="434"/>
      <c r="FG17" s="434"/>
      <c r="FH17" s="434"/>
      <c r="FI17" s="434"/>
      <c r="FJ17" s="434"/>
      <c r="FK17" s="434"/>
      <c r="FL17" s="434"/>
      <c r="FM17" s="434"/>
      <c r="FN17" s="434"/>
      <c r="FO17" s="434"/>
      <c r="FP17" s="434"/>
      <c r="FQ17" s="434"/>
      <c r="FR17" s="434"/>
      <c r="FS17" s="434"/>
      <c r="FT17" s="434"/>
      <c r="FU17" s="434"/>
      <c r="FV17" s="434"/>
      <c r="FW17" s="434"/>
      <c r="FX17" s="434"/>
      <c r="FY17" s="434"/>
      <c r="FZ17" s="434"/>
      <c r="GA17" s="434"/>
      <c r="GB17" s="434"/>
      <c r="GC17" s="434"/>
      <c r="GD17" s="434"/>
      <c r="GE17" s="434"/>
      <c r="GF17" s="434"/>
      <c r="GG17" s="434"/>
      <c r="GH17" s="434"/>
      <c r="GI17" s="434"/>
      <c r="GJ17" s="434"/>
      <c r="GK17" s="434"/>
      <c r="GL17" s="434"/>
      <c r="GM17" s="434"/>
      <c r="GN17" s="434"/>
    </row>
    <row r="18" spans="1:196" ht="15" customHeight="1">
      <c r="A18" s="1179"/>
      <c r="B18" s="140">
        <v>17</v>
      </c>
      <c r="C18" s="140">
        <v>129633</v>
      </c>
      <c r="D18" s="1185" t="s">
        <v>5925</v>
      </c>
      <c r="E18" s="1186" t="s">
        <v>5926</v>
      </c>
      <c r="F18" s="1173">
        <v>46146</v>
      </c>
      <c r="G18" s="1172">
        <v>40</v>
      </c>
      <c r="H18" s="1173">
        <v>31195</v>
      </c>
      <c r="I18" s="1173">
        <v>46146</v>
      </c>
      <c r="J18" s="1169" t="s">
        <v>5872</v>
      </c>
      <c r="K18" s="1172" t="s">
        <v>5927</v>
      </c>
      <c r="L18" s="1172" t="s">
        <v>222</v>
      </c>
      <c r="M18" s="1172">
        <v>986585125</v>
      </c>
      <c r="N18" s="1172"/>
      <c r="O18" s="1169" t="s">
        <v>5865</v>
      </c>
      <c r="P18" s="325" t="s">
        <v>5866</v>
      </c>
      <c r="Q18" s="1061" t="s">
        <v>5867</v>
      </c>
      <c r="R18" s="1172" t="s">
        <v>223</v>
      </c>
      <c r="S18" s="1172" t="s">
        <v>5868</v>
      </c>
      <c r="T18" s="1172" t="s">
        <v>5869</v>
      </c>
      <c r="U18" s="1173">
        <v>46146</v>
      </c>
      <c r="V18" s="1187">
        <v>0.4236111111111111</v>
      </c>
      <c r="W18" s="1175">
        <v>46146</v>
      </c>
      <c r="X18" s="1143" t="s">
        <v>1156</v>
      </c>
      <c r="Y18" s="1143" t="s">
        <v>5893</v>
      </c>
      <c r="Z18" s="1176" t="s">
        <v>3105</v>
      </c>
      <c r="AA18" s="1180">
        <v>46147</v>
      </c>
      <c r="AB18" s="244"/>
      <c r="AC18" s="1178" t="s">
        <v>5888</v>
      </c>
      <c r="AD18" s="1178"/>
      <c r="AE18" s="43"/>
      <c r="AF18" s="43"/>
      <c r="AG18" s="43"/>
      <c r="AH18" s="43"/>
      <c r="AI18" s="43"/>
      <c r="AJ18" s="43"/>
      <c r="AK18" s="43"/>
      <c r="AL18" s="43"/>
      <c r="AM18" s="43"/>
      <c r="AN18" s="43"/>
      <c r="AO18" s="43"/>
      <c r="AP18" s="43"/>
      <c r="AQ18" s="43"/>
      <c r="AR18" s="434"/>
      <c r="AS18" s="434"/>
      <c r="AT18" s="434"/>
      <c r="AU18" s="434"/>
      <c r="AV18" s="434"/>
      <c r="AW18" s="434"/>
      <c r="AX18" s="434"/>
      <c r="AY18" s="434"/>
      <c r="AZ18" s="434"/>
      <c r="BA18" s="434"/>
      <c r="BB18" s="434"/>
      <c r="BC18" s="434"/>
      <c r="BD18" s="434"/>
      <c r="BE18" s="434"/>
      <c r="BF18" s="434"/>
      <c r="BG18" s="434"/>
      <c r="BH18" s="434"/>
      <c r="BI18" s="434"/>
      <c r="BJ18" s="434"/>
      <c r="BK18" s="434"/>
      <c r="BL18" s="434"/>
      <c r="BM18" s="434"/>
      <c r="BN18" s="434"/>
      <c r="BO18" s="434"/>
      <c r="BP18" s="434"/>
      <c r="BQ18" s="434"/>
      <c r="BR18" s="434"/>
      <c r="BS18" s="434"/>
      <c r="BT18" s="434"/>
      <c r="BU18" s="434"/>
      <c r="BV18" s="434"/>
      <c r="BW18" s="434"/>
      <c r="BX18" s="434"/>
      <c r="BY18" s="434"/>
      <c r="BZ18" s="434"/>
      <c r="CA18" s="434"/>
      <c r="CB18" s="434"/>
      <c r="CC18" s="434"/>
      <c r="CD18" s="434"/>
      <c r="CE18" s="434"/>
      <c r="CF18" s="434"/>
      <c r="CG18" s="434"/>
      <c r="CH18" s="434"/>
      <c r="CI18" s="434"/>
      <c r="CJ18" s="434"/>
      <c r="CK18" s="434"/>
      <c r="CL18" s="434"/>
      <c r="CM18" s="434"/>
      <c r="CN18" s="434"/>
      <c r="CO18" s="434"/>
      <c r="CP18" s="434"/>
      <c r="CQ18" s="434"/>
      <c r="CR18" s="434"/>
      <c r="CS18" s="434"/>
      <c r="CT18" s="434"/>
      <c r="CU18" s="434"/>
      <c r="CV18" s="434"/>
      <c r="CW18" s="434"/>
      <c r="CX18" s="434"/>
      <c r="CY18" s="434"/>
      <c r="CZ18" s="434"/>
      <c r="DA18" s="434"/>
      <c r="DB18" s="434"/>
      <c r="DC18" s="434"/>
      <c r="DD18" s="434"/>
      <c r="DE18" s="434"/>
      <c r="DF18" s="434"/>
      <c r="DG18" s="434"/>
      <c r="DH18" s="434"/>
      <c r="DI18" s="434"/>
      <c r="DJ18" s="434"/>
      <c r="DK18" s="434"/>
      <c r="DL18" s="434"/>
      <c r="DM18" s="434"/>
      <c r="DN18" s="434"/>
      <c r="DO18" s="434"/>
      <c r="DP18" s="434"/>
      <c r="DQ18" s="434"/>
      <c r="DR18" s="434"/>
      <c r="DS18" s="434"/>
      <c r="DT18" s="434"/>
      <c r="DU18" s="434"/>
      <c r="DV18" s="434"/>
      <c r="DW18" s="434"/>
      <c r="DX18" s="434"/>
      <c r="DY18" s="434"/>
      <c r="DZ18" s="434"/>
      <c r="EA18" s="434"/>
      <c r="EB18" s="434"/>
      <c r="EC18" s="434"/>
      <c r="ED18" s="434"/>
      <c r="EE18" s="434"/>
      <c r="EF18" s="434"/>
      <c r="EG18" s="434"/>
      <c r="EH18" s="434"/>
      <c r="EI18" s="434"/>
      <c r="EJ18" s="434"/>
      <c r="EK18" s="434"/>
      <c r="EL18" s="434"/>
      <c r="EM18" s="434"/>
      <c r="EN18" s="434"/>
      <c r="EO18" s="434"/>
      <c r="EP18" s="434"/>
      <c r="EQ18" s="434"/>
      <c r="ER18" s="434"/>
      <c r="ES18" s="434"/>
      <c r="ET18" s="434"/>
      <c r="EU18" s="434"/>
      <c r="EV18" s="434"/>
      <c r="EW18" s="434"/>
      <c r="EX18" s="434"/>
      <c r="EY18" s="434"/>
      <c r="EZ18" s="434"/>
      <c r="FA18" s="434"/>
      <c r="FB18" s="434"/>
      <c r="FC18" s="434"/>
      <c r="FD18" s="434"/>
      <c r="FE18" s="434"/>
      <c r="FF18" s="434"/>
      <c r="FG18" s="434"/>
      <c r="FH18" s="434"/>
      <c r="FI18" s="434"/>
      <c r="FJ18" s="434"/>
      <c r="FK18" s="434"/>
      <c r="FL18" s="434"/>
      <c r="FM18" s="434"/>
      <c r="FN18" s="434"/>
      <c r="FO18" s="434"/>
      <c r="FP18" s="434"/>
      <c r="FQ18" s="434"/>
      <c r="FR18" s="434"/>
      <c r="FS18" s="434"/>
      <c r="FT18" s="434"/>
      <c r="FU18" s="434"/>
      <c r="FV18" s="434"/>
      <c r="FW18" s="434"/>
      <c r="FX18" s="434"/>
      <c r="FY18" s="434"/>
      <c r="FZ18" s="434"/>
      <c r="GA18" s="434"/>
      <c r="GB18" s="434"/>
      <c r="GC18" s="434"/>
      <c r="GD18" s="434"/>
      <c r="GE18" s="434"/>
      <c r="GF18" s="434"/>
      <c r="GG18" s="434"/>
      <c r="GH18" s="434"/>
      <c r="GI18" s="434"/>
      <c r="GJ18" s="434"/>
      <c r="GK18" s="434"/>
      <c r="GL18" s="434"/>
      <c r="GM18" s="434"/>
      <c r="GN18" s="434"/>
    </row>
    <row r="19" spans="1:196" ht="15" customHeight="1">
      <c r="A19" s="1179"/>
      <c r="B19" s="140">
        <v>18</v>
      </c>
      <c r="C19" s="140">
        <v>302278</v>
      </c>
      <c r="D19" s="1185" t="s">
        <v>5928</v>
      </c>
      <c r="E19" s="1186" t="s">
        <v>5929</v>
      </c>
      <c r="F19" s="1173">
        <v>46146</v>
      </c>
      <c r="G19" s="1172">
        <v>43</v>
      </c>
      <c r="H19" s="1173">
        <v>30385</v>
      </c>
      <c r="I19" s="1173">
        <v>46146</v>
      </c>
      <c r="J19" s="1169" t="s">
        <v>5872</v>
      </c>
      <c r="K19" s="1172" t="s">
        <v>5930</v>
      </c>
      <c r="L19" s="1172" t="s">
        <v>237</v>
      </c>
      <c r="M19" s="1172">
        <v>955227319</v>
      </c>
      <c r="N19" s="1172"/>
      <c r="O19" s="1169" t="s">
        <v>5865</v>
      </c>
      <c r="P19" s="325" t="s">
        <v>5866</v>
      </c>
      <c r="Q19" s="1061" t="s">
        <v>5867</v>
      </c>
      <c r="R19" s="1172" t="s">
        <v>238</v>
      </c>
      <c r="S19" s="1172" t="s">
        <v>5868</v>
      </c>
      <c r="T19" s="1172" t="s">
        <v>5869</v>
      </c>
      <c r="U19" s="1173">
        <v>46146</v>
      </c>
      <c r="V19" s="1187">
        <v>0.43055555555555558</v>
      </c>
      <c r="W19" s="1175">
        <v>46146</v>
      </c>
      <c r="X19" s="1143" t="s">
        <v>1156</v>
      </c>
      <c r="Y19" s="1143" t="s">
        <v>3111</v>
      </c>
      <c r="Z19" s="1176" t="s">
        <v>3105</v>
      </c>
      <c r="AA19" s="1177">
        <v>46147</v>
      </c>
      <c r="AB19" s="244"/>
      <c r="AC19" s="1178"/>
      <c r="AD19" s="1178"/>
      <c r="AE19" s="43"/>
      <c r="AF19" s="43"/>
      <c r="AG19" s="43"/>
      <c r="AH19" s="43"/>
      <c r="AI19" s="43"/>
      <c r="AJ19" s="43"/>
      <c r="AK19" s="43"/>
      <c r="AL19" s="43"/>
      <c r="AM19" s="43"/>
      <c r="AN19" s="43"/>
      <c r="AO19" s="43"/>
      <c r="AP19" s="43"/>
      <c r="AQ19" s="43"/>
      <c r="AR19" s="434"/>
      <c r="AS19" s="434"/>
      <c r="AT19" s="434"/>
      <c r="AU19" s="434"/>
      <c r="AV19" s="434"/>
      <c r="AW19" s="434"/>
      <c r="AX19" s="434"/>
      <c r="AY19" s="434"/>
      <c r="AZ19" s="434"/>
      <c r="BA19" s="434"/>
      <c r="BB19" s="434"/>
      <c r="BC19" s="434"/>
      <c r="BD19" s="434"/>
      <c r="BE19" s="434"/>
      <c r="BF19" s="434"/>
      <c r="BG19" s="434"/>
      <c r="BH19" s="434"/>
      <c r="BI19" s="434"/>
      <c r="BJ19" s="434"/>
      <c r="BK19" s="434"/>
      <c r="BL19" s="434"/>
      <c r="BM19" s="434"/>
      <c r="BN19" s="434"/>
      <c r="BO19" s="434"/>
      <c r="BP19" s="434"/>
      <c r="BQ19" s="434"/>
      <c r="BR19" s="434"/>
      <c r="BS19" s="434"/>
      <c r="BT19" s="434"/>
      <c r="BU19" s="434"/>
      <c r="BV19" s="434"/>
      <c r="BW19" s="434"/>
      <c r="BX19" s="434"/>
      <c r="BY19" s="434"/>
      <c r="BZ19" s="434"/>
      <c r="CA19" s="434"/>
      <c r="CB19" s="434"/>
      <c r="CC19" s="434"/>
      <c r="CD19" s="434"/>
      <c r="CE19" s="434"/>
      <c r="CF19" s="434"/>
      <c r="CG19" s="434"/>
      <c r="CH19" s="434"/>
      <c r="CI19" s="434"/>
      <c r="CJ19" s="434"/>
      <c r="CK19" s="434"/>
      <c r="CL19" s="434"/>
      <c r="CM19" s="434"/>
      <c r="CN19" s="434"/>
      <c r="CO19" s="434"/>
      <c r="CP19" s="434"/>
      <c r="CQ19" s="434"/>
      <c r="CR19" s="434"/>
      <c r="CS19" s="434"/>
      <c r="CT19" s="434"/>
      <c r="CU19" s="434"/>
      <c r="CV19" s="434"/>
      <c r="CW19" s="434"/>
      <c r="CX19" s="434"/>
      <c r="CY19" s="434"/>
      <c r="CZ19" s="434"/>
      <c r="DA19" s="434"/>
      <c r="DB19" s="434"/>
      <c r="DC19" s="434"/>
      <c r="DD19" s="434"/>
      <c r="DE19" s="434"/>
      <c r="DF19" s="434"/>
      <c r="DG19" s="434"/>
      <c r="DH19" s="434"/>
      <c r="DI19" s="434"/>
      <c r="DJ19" s="434"/>
      <c r="DK19" s="434"/>
      <c r="DL19" s="434"/>
      <c r="DM19" s="434"/>
      <c r="DN19" s="434"/>
      <c r="DO19" s="434"/>
      <c r="DP19" s="434"/>
      <c r="DQ19" s="434"/>
      <c r="DR19" s="434"/>
      <c r="DS19" s="434"/>
      <c r="DT19" s="434"/>
      <c r="DU19" s="434"/>
      <c r="DV19" s="434"/>
      <c r="DW19" s="434"/>
      <c r="DX19" s="434"/>
      <c r="DY19" s="434"/>
      <c r="DZ19" s="434"/>
      <c r="EA19" s="434"/>
      <c r="EB19" s="434"/>
      <c r="EC19" s="434"/>
      <c r="ED19" s="434"/>
      <c r="EE19" s="434"/>
      <c r="EF19" s="434"/>
      <c r="EG19" s="434"/>
      <c r="EH19" s="434"/>
      <c r="EI19" s="434"/>
      <c r="EJ19" s="434"/>
      <c r="EK19" s="434"/>
      <c r="EL19" s="434"/>
      <c r="EM19" s="434"/>
      <c r="EN19" s="434"/>
      <c r="EO19" s="434"/>
      <c r="EP19" s="434"/>
      <c r="EQ19" s="434"/>
      <c r="ER19" s="434"/>
      <c r="ES19" s="434"/>
      <c r="ET19" s="434"/>
      <c r="EU19" s="434"/>
      <c r="EV19" s="434"/>
      <c r="EW19" s="434"/>
      <c r="EX19" s="434"/>
      <c r="EY19" s="434"/>
      <c r="EZ19" s="434"/>
      <c r="FA19" s="434"/>
      <c r="FB19" s="434"/>
      <c r="FC19" s="434"/>
      <c r="FD19" s="434"/>
      <c r="FE19" s="434"/>
      <c r="FF19" s="434"/>
      <c r="FG19" s="434"/>
      <c r="FH19" s="434"/>
      <c r="FI19" s="434"/>
      <c r="FJ19" s="434"/>
      <c r="FK19" s="434"/>
      <c r="FL19" s="434"/>
      <c r="FM19" s="434"/>
      <c r="FN19" s="434"/>
      <c r="FO19" s="434"/>
      <c r="FP19" s="434"/>
      <c r="FQ19" s="434"/>
      <c r="FR19" s="434"/>
      <c r="FS19" s="434"/>
      <c r="FT19" s="434"/>
      <c r="FU19" s="434"/>
      <c r="FV19" s="434"/>
      <c r="FW19" s="434"/>
      <c r="FX19" s="434"/>
      <c r="FY19" s="434"/>
      <c r="FZ19" s="434"/>
      <c r="GA19" s="434"/>
      <c r="GB19" s="434"/>
      <c r="GC19" s="434"/>
      <c r="GD19" s="434"/>
      <c r="GE19" s="434"/>
      <c r="GF19" s="434"/>
      <c r="GG19" s="434"/>
      <c r="GH19" s="434"/>
      <c r="GI19" s="434"/>
      <c r="GJ19" s="434"/>
      <c r="GK19" s="434"/>
      <c r="GL19" s="434"/>
      <c r="GM19" s="434"/>
      <c r="GN19" s="434"/>
    </row>
    <row r="20" spans="1:196" ht="15" customHeight="1">
      <c r="A20" s="1179"/>
      <c r="B20" s="140">
        <v>19</v>
      </c>
      <c r="C20" s="140">
        <v>504793</v>
      </c>
      <c r="D20" s="1185" t="s">
        <v>5931</v>
      </c>
      <c r="E20" s="1186" t="s">
        <v>5932</v>
      </c>
      <c r="F20" s="1173">
        <v>46146</v>
      </c>
      <c r="G20" s="1172">
        <v>56</v>
      </c>
      <c r="H20" s="1173">
        <v>25692</v>
      </c>
      <c r="I20" s="1173">
        <v>46146</v>
      </c>
      <c r="J20" s="1169" t="s">
        <v>5872</v>
      </c>
      <c r="K20" s="1172" t="s">
        <v>5933</v>
      </c>
      <c r="L20" s="1172" t="s">
        <v>278</v>
      </c>
      <c r="M20" s="1172">
        <v>966307467</v>
      </c>
      <c r="N20" s="1172"/>
      <c r="O20" s="1169" t="s">
        <v>5865</v>
      </c>
      <c r="P20" s="325" t="s">
        <v>5866</v>
      </c>
      <c r="Q20" s="1061" t="s">
        <v>5867</v>
      </c>
      <c r="R20" s="1172" t="s">
        <v>588</v>
      </c>
      <c r="S20" s="1172" t="s">
        <v>5868</v>
      </c>
      <c r="T20" s="1172" t="s">
        <v>5873</v>
      </c>
      <c r="U20" s="1173">
        <v>46146</v>
      </c>
      <c r="V20" s="1187">
        <v>0.4375</v>
      </c>
      <c r="W20" s="1175">
        <v>46146</v>
      </c>
      <c r="X20" s="1143" t="s">
        <v>2273</v>
      </c>
      <c r="Y20" s="1143" t="s">
        <v>5870</v>
      </c>
      <c r="Z20" s="1176" t="s">
        <v>3105</v>
      </c>
      <c r="AA20" s="1180">
        <v>46149</v>
      </c>
      <c r="AB20" s="244"/>
      <c r="AC20" s="1178" t="s">
        <v>5934</v>
      </c>
      <c r="AD20" s="1178"/>
      <c r="AE20" s="43"/>
      <c r="AF20" s="43"/>
      <c r="AG20" s="43"/>
      <c r="AH20" s="43"/>
      <c r="AI20" s="43"/>
      <c r="AJ20" s="43"/>
      <c r="AK20" s="43"/>
      <c r="AL20" s="43"/>
      <c r="AM20" s="43"/>
      <c r="AN20" s="43"/>
      <c r="AO20" s="43"/>
      <c r="AP20" s="43"/>
      <c r="AQ20" s="43"/>
      <c r="AR20" s="434"/>
      <c r="AS20" s="434"/>
      <c r="AT20" s="434"/>
      <c r="AU20" s="434"/>
      <c r="AV20" s="434"/>
      <c r="AW20" s="434"/>
      <c r="AX20" s="434"/>
      <c r="AY20" s="434"/>
      <c r="AZ20" s="434"/>
      <c r="BA20" s="434"/>
      <c r="BB20" s="434"/>
      <c r="BC20" s="434"/>
      <c r="BD20" s="434"/>
      <c r="BE20" s="434"/>
      <c r="BF20" s="434"/>
      <c r="BG20" s="434"/>
      <c r="BH20" s="434"/>
      <c r="BI20" s="434"/>
      <c r="BJ20" s="434"/>
      <c r="BK20" s="434"/>
      <c r="BL20" s="434"/>
      <c r="BM20" s="434"/>
      <c r="BN20" s="434"/>
      <c r="BO20" s="434"/>
      <c r="BP20" s="434"/>
      <c r="BQ20" s="434"/>
      <c r="BR20" s="434"/>
      <c r="BS20" s="434"/>
      <c r="BT20" s="434"/>
      <c r="BU20" s="434"/>
      <c r="BV20" s="434"/>
      <c r="BW20" s="434"/>
      <c r="BX20" s="434"/>
      <c r="BY20" s="434"/>
      <c r="BZ20" s="434"/>
      <c r="CA20" s="434"/>
      <c r="CB20" s="434"/>
      <c r="CC20" s="434"/>
      <c r="CD20" s="434"/>
      <c r="CE20" s="434"/>
      <c r="CF20" s="434"/>
      <c r="CG20" s="434"/>
      <c r="CH20" s="434"/>
      <c r="CI20" s="434"/>
      <c r="CJ20" s="434"/>
      <c r="CK20" s="434"/>
      <c r="CL20" s="434"/>
      <c r="CM20" s="434"/>
      <c r="CN20" s="434"/>
      <c r="CO20" s="434"/>
      <c r="CP20" s="434"/>
      <c r="CQ20" s="434"/>
      <c r="CR20" s="434"/>
      <c r="CS20" s="434"/>
      <c r="CT20" s="434"/>
      <c r="CU20" s="434"/>
      <c r="CV20" s="434"/>
      <c r="CW20" s="434"/>
      <c r="CX20" s="434"/>
      <c r="CY20" s="434"/>
      <c r="CZ20" s="434"/>
      <c r="DA20" s="434"/>
      <c r="DB20" s="434"/>
      <c r="DC20" s="434"/>
      <c r="DD20" s="434"/>
      <c r="DE20" s="434"/>
      <c r="DF20" s="434"/>
      <c r="DG20" s="434"/>
      <c r="DH20" s="434"/>
      <c r="DI20" s="434"/>
      <c r="DJ20" s="434"/>
      <c r="DK20" s="434"/>
      <c r="DL20" s="434"/>
      <c r="DM20" s="434"/>
      <c r="DN20" s="434"/>
      <c r="DO20" s="434"/>
      <c r="DP20" s="434"/>
      <c r="DQ20" s="434"/>
      <c r="DR20" s="434"/>
      <c r="DS20" s="434"/>
      <c r="DT20" s="434"/>
      <c r="DU20" s="434"/>
      <c r="DV20" s="434"/>
      <c r="DW20" s="434"/>
      <c r="DX20" s="434"/>
      <c r="DY20" s="434"/>
      <c r="DZ20" s="434"/>
      <c r="EA20" s="434"/>
      <c r="EB20" s="434"/>
      <c r="EC20" s="434"/>
      <c r="ED20" s="434"/>
      <c r="EE20" s="434"/>
      <c r="EF20" s="434"/>
      <c r="EG20" s="434"/>
      <c r="EH20" s="434"/>
      <c r="EI20" s="434"/>
      <c r="EJ20" s="434"/>
      <c r="EK20" s="434"/>
      <c r="EL20" s="434"/>
      <c r="EM20" s="434"/>
      <c r="EN20" s="434"/>
      <c r="EO20" s="434"/>
      <c r="EP20" s="434"/>
      <c r="EQ20" s="434"/>
      <c r="ER20" s="434"/>
      <c r="ES20" s="434"/>
      <c r="ET20" s="434"/>
      <c r="EU20" s="434"/>
      <c r="EV20" s="434"/>
      <c r="EW20" s="434"/>
      <c r="EX20" s="434"/>
      <c r="EY20" s="434"/>
      <c r="EZ20" s="434"/>
      <c r="FA20" s="434"/>
      <c r="FB20" s="434"/>
      <c r="FC20" s="434"/>
      <c r="FD20" s="434"/>
      <c r="FE20" s="434"/>
      <c r="FF20" s="434"/>
      <c r="FG20" s="434"/>
      <c r="FH20" s="434"/>
      <c r="FI20" s="434"/>
      <c r="FJ20" s="434"/>
      <c r="FK20" s="434"/>
      <c r="FL20" s="434"/>
      <c r="FM20" s="434"/>
      <c r="FN20" s="434"/>
      <c r="FO20" s="434"/>
      <c r="FP20" s="434"/>
      <c r="FQ20" s="434"/>
      <c r="FR20" s="434"/>
      <c r="FS20" s="434"/>
      <c r="FT20" s="434"/>
      <c r="FU20" s="434"/>
      <c r="FV20" s="434"/>
      <c r="FW20" s="434"/>
      <c r="FX20" s="434"/>
      <c r="FY20" s="434"/>
      <c r="FZ20" s="434"/>
      <c r="GA20" s="434"/>
      <c r="GB20" s="434"/>
      <c r="GC20" s="434"/>
      <c r="GD20" s="434"/>
      <c r="GE20" s="434"/>
      <c r="GF20" s="434"/>
      <c r="GG20" s="434"/>
      <c r="GH20" s="434"/>
      <c r="GI20" s="434"/>
      <c r="GJ20" s="434"/>
      <c r="GK20" s="434"/>
      <c r="GL20" s="434"/>
      <c r="GM20" s="434"/>
      <c r="GN20" s="434"/>
    </row>
    <row r="21" spans="1:196" ht="15" customHeight="1">
      <c r="A21" s="1188" t="s">
        <v>5935</v>
      </c>
      <c r="B21" s="140">
        <v>20</v>
      </c>
      <c r="C21" s="140">
        <v>297322</v>
      </c>
      <c r="D21" s="1189" t="s">
        <v>5936</v>
      </c>
      <c r="E21" s="1190" t="s">
        <v>5937</v>
      </c>
      <c r="F21" s="845">
        <v>46146</v>
      </c>
      <c r="G21" s="140">
        <v>41</v>
      </c>
      <c r="H21" s="845">
        <v>30916</v>
      </c>
      <c r="I21" s="845">
        <v>46146</v>
      </c>
      <c r="J21" s="1169" t="s">
        <v>5872</v>
      </c>
      <c r="K21" s="140" t="s">
        <v>5938</v>
      </c>
      <c r="L21" s="140" t="s">
        <v>326</v>
      </c>
      <c r="M21" s="140">
        <v>918578895</v>
      </c>
      <c r="N21" s="140"/>
      <c r="O21" s="1169" t="s">
        <v>5865</v>
      </c>
      <c r="P21" s="325" t="s">
        <v>5866</v>
      </c>
      <c r="Q21" s="1061" t="s">
        <v>5867</v>
      </c>
      <c r="R21" s="141" t="s">
        <v>827</v>
      </c>
      <c r="S21" s="141" t="s">
        <v>5868</v>
      </c>
      <c r="T21" s="141" t="s">
        <v>5873</v>
      </c>
      <c r="U21" s="1191">
        <v>46146</v>
      </c>
      <c r="V21" s="1192">
        <v>0.58333333333333337</v>
      </c>
      <c r="W21" s="1193">
        <v>46146</v>
      </c>
      <c r="X21" s="1194" t="s">
        <v>1156</v>
      </c>
      <c r="Y21" s="1194" t="s">
        <v>5893</v>
      </c>
      <c r="Z21" s="1195" t="s">
        <v>3105</v>
      </c>
      <c r="AA21" s="1196">
        <v>46149</v>
      </c>
      <c r="AB21" s="244"/>
      <c r="AC21" s="1178" t="s">
        <v>5939</v>
      </c>
      <c r="AD21" s="1178"/>
      <c r="AE21" s="43"/>
      <c r="AF21" s="43"/>
      <c r="AG21" s="43"/>
      <c r="AH21" s="43"/>
      <c r="AI21" s="43"/>
      <c r="AJ21" s="43"/>
      <c r="AK21" s="43"/>
      <c r="AL21" s="43"/>
      <c r="AM21" s="43"/>
      <c r="AN21" s="43"/>
      <c r="AO21" s="43"/>
      <c r="AP21" s="43"/>
      <c r="AQ21" s="43"/>
      <c r="AR21" s="434"/>
      <c r="AS21" s="434"/>
      <c r="AT21" s="434"/>
      <c r="AU21" s="434"/>
      <c r="AV21" s="434"/>
      <c r="AW21" s="434"/>
      <c r="AX21" s="434"/>
      <c r="AY21" s="434"/>
      <c r="AZ21" s="434"/>
      <c r="BA21" s="434"/>
      <c r="BB21" s="434"/>
      <c r="BC21" s="434"/>
      <c r="BD21" s="434"/>
      <c r="BE21" s="434"/>
      <c r="BF21" s="434"/>
      <c r="BG21" s="434"/>
      <c r="BH21" s="434"/>
      <c r="BI21" s="434"/>
      <c r="BJ21" s="434"/>
      <c r="BK21" s="434"/>
      <c r="BL21" s="434"/>
      <c r="BM21" s="434"/>
      <c r="BN21" s="434"/>
      <c r="BO21" s="434"/>
      <c r="BP21" s="434"/>
      <c r="BQ21" s="434"/>
      <c r="BR21" s="434"/>
      <c r="BS21" s="434"/>
      <c r="BT21" s="434"/>
      <c r="BU21" s="434"/>
      <c r="BV21" s="434"/>
      <c r="BW21" s="434"/>
      <c r="BX21" s="434"/>
      <c r="BY21" s="434"/>
      <c r="BZ21" s="434"/>
      <c r="CA21" s="434"/>
      <c r="CB21" s="434"/>
      <c r="CC21" s="434"/>
      <c r="CD21" s="434"/>
      <c r="CE21" s="434"/>
      <c r="CF21" s="434"/>
      <c r="CG21" s="434"/>
      <c r="CH21" s="434"/>
      <c r="CI21" s="434"/>
      <c r="CJ21" s="434"/>
      <c r="CK21" s="434"/>
      <c r="CL21" s="434"/>
      <c r="CM21" s="434"/>
      <c r="CN21" s="434"/>
      <c r="CO21" s="434"/>
      <c r="CP21" s="434"/>
      <c r="CQ21" s="434"/>
      <c r="CR21" s="434"/>
      <c r="CS21" s="434"/>
      <c r="CT21" s="434"/>
      <c r="CU21" s="434"/>
      <c r="CV21" s="434"/>
      <c r="CW21" s="434"/>
      <c r="CX21" s="434"/>
      <c r="CY21" s="434"/>
      <c r="CZ21" s="434"/>
      <c r="DA21" s="434"/>
      <c r="DB21" s="434"/>
      <c r="DC21" s="434"/>
      <c r="DD21" s="434"/>
      <c r="DE21" s="434"/>
      <c r="DF21" s="434"/>
      <c r="DG21" s="434"/>
      <c r="DH21" s="434"/>
      <c r="DI21" s="434"/>
      <c r="DJ21" s="434"/>
      <c r="DK21" s="434"/>
      <c r="DL21" s="434"/>
      <c r="DM21" s="434"/>
      <c r="DN21" s="434"/>
      <c r="DO21" s="434"/>
      <c r="DP21" s="434"/>
      <c r="DQ21" s="434"/>
      <c r="DR21" s="434"/>
      <c r="DS21" s="434"/>
      <c r="DT21" s="434"/>
      <c r="DU21" s="434"/>
      <c r="DV21" s="434"/>
      <c r="DW21" s="434"/>
      <c r="DX21" s="434"/>
      <c r="DY21" s="434"/>
      <c r="DZ21" s="434"/>
      <c r="EA21" s="434"/>
      <c r="EB21" s="434"/>
      <c r="EC21" s="434"/>
      <c r="ED21" s="434"/>
      <c r="EE21" s="434"/>
      <c r="EF21" s="434"/>
      <c r="EG21" s="434"/>
      <c r="EH21" s="434"/>
      <c r="EI21" s="434"/>
      <c r="EJ21" s="434"/>
      <c r="EK21" s="434"/>
      <c r="EL21" s="434"/>
      <c r="EM21" s="434"/>
      <c r="EN21" s="434"/>
      <c r="EO21" s="434"/>
      <c r="EP21" s="434"/>
      <c r="EQ21" s="434"/>
      <c r="ER21" s="434"/>
      <c r="ES21" s="434"/>
      <c r="ET21" s="434"/>
      <c r="EU21" s="434"/>
      <c r="EV21" s="434"/>
      <c r="EW21" s="434"/>
      <c r="EX21" s="434"/>
      <c r="EY21" s="434"/>
      <c r="EZ21" s="434"/>
      <c r="FA21" s="434"/>
      <c r="FB21" s="434"/>
      <c r="FC21" s="434"/>
      <c r="FD21" s="434"/>
      <c r="FE21" s="434"/>
      <c r="FF21" s="434"/>
      <c r="FG21" s="434"/>
      <c r="FH21" s="434"/>
      <c r="FI21" s="434"/>
      <c r="FJ21" s="434"/>
      <c r="FK21" s="434"/>
      <c r="FL21" s="434"/>
      <c r="FM21" s="434"/>
      <c r="FN21" s="434"/>
      <c r="FO21" s="434"/>
      <c r="FP21" s="434"/>
      <c r="FQ21" s="434"/>
      <c r="FR21" s="434"/>
      <c r="FS21" s="434"/>
      <c r="FT21" s="434"/>
      <c r="FU21" s="434"/>
      <c r="FV21" s="434"/>
      <c r="FW21" s="434"/>
      <c r="FX21" s="434"/>
      <c r="FY21" s="434"/>
      <c r="FZ21" s="434"/>
      <c r="GA21" s="434"/>
      <c r="GB21" s="434"/>
      <c r="GC21" s="434"/>
      <c r="GD21" s="434"/>
      <c r="GE21" s="434"/>
      <c r="GF21" s="434"/>
      <c r="GG21" s="434"/>
      <c r="GH21" s="434"/>
      <c r="GI21" s="434"/>
      <c r="GJ21" s="434"/>
      <c r="GK21" s="434"/>
      <c r="GL21" s="434"/>
      <c r="GM21" s="434"/>
      <c r="GN21" s="434"/>
    </row>
    <row r="22" spans="1:196" ht="15" customHeight="1">
      <c r="A22" s="1179"/>
      <c r="B22" s="140">
        <v>21</v>
      </c>
      <c r="C22" s="1169">
        <v>24471</v>
      </c>
      <c r="D22" s="1166">
        <v>15728194</v>
      </c>
      <c r="E22" s="1167" t="s">
        <v>5940</v>
      </c>
      <c r="F22" s="1168">
        <v>46142</v>
      </c>
      <c r="G22" s="1169">
        <v>53</v>
      </c>
      <c r="H22" s="1168">
        <v>26555</v>
      </c>
      <c r="I22" s="1168">
        <v>46146</v>
      </c>
      <c r="J22" s="1169" t="s">
        <v>5872</v>
      </c>
      <c r="K22" s="1169" t="s">
        <v>5941</v>
      </c>
      <c r="L22" s="1169" t="s">
        <v>278</v>
      </c>
      <c r="M22" s="1169">
        <v>998651200</v>
      </c>
      <c r="N22" s="1169"/>
      <c r="O22" s="1169" t="s">
        <v>5865</v>
      </c>
      <c r="P22" s="1197" t="s">
        <v>5866</v>
      </c>
      <c r="Q22" s="1061" t="s">
        <v>5867</v>
      </c>
      <c r="R22" s="1198" t="s">
        <v>238</v>
      </c>
      <c r="S22" s="266" t="s">
        <v>5868</v>
      </c>
      <c r="T22" s="1169" t="s">
        <v>5869</v>
      </c>
      <c r="U22" s="1168">
        <v>46146</v>
      </c>
      <c r="V22" s="1174">
        <v>0.59027777777777779</v>
      </c>
      <c r="W22" s="845">
        <v>46146</v>
      </c>
      <c r="X22" s="1143" t="s">
        <v>5942</v>
      </c>
      <c r="Y22" s="1143" t="s">
        <v>5893</v>
      </c>
      <c r="Z22" s="1176" t="s">
        <v>3105</v>
      </c>
      <c r="AA22" s="993">
        <v>46149</v>
      </c>
      <c r="AB22" s="1199"/>
      <c r="AC22" s="1178"/>
      <c r="AD22" s="1178"/>
      <c r="AE22" s="43"/>
      <c r="AF22" s="43"/>
      <c r="AG22" s="43"/>
      <c r="AH22" s="43"/>
      <c r="AI22" s="43"/>
      <c r="AJ22" s="43"/>
      <c r="AK22" s="43"/>
      <c r="AL22" s="43"/>
      <c r="AM22" s="43"/>
      <c r="AN22" s="43"/>
      <c r="AO22" s="43"/>
      <c r="AP22" s="43"/>
      <c r="AQ22" s="43"/>
      <c r="AR22" s="434"/>
      <c r="AS22" s="434"/>
      <c r="AT22" s="434"/>
      <c r="AU22" s="434"/>
      <c r="AV22" s="434"/>
      <c r="AW22" s="434"/>
      <c r="AX22" s="434"/>
      <c r="AY22" s="434"/>
      <c r="AZ22" s="434"/>
      <c r="BA22" s="434"/>
      <c r="BB22" s="434"/>
      <c r="BC22" s="434"/>
      <c r="BD22" s="434"/>
      <c r="BE22" s="434"/>
      <c r="BF22" s="434"/>
      <c r="BG22" s="434"/>
      <c r="BH22" s="434"/>
      <c r="BI22" s="434"/>
      <c r="BJ22" s="434"/>
      <c r="BK22" s="434"/>
      <c r="BL22" s="434"/>
      <c r="BM22" s="434"/>
      <c r="BN22" s="434"/>
      <c r="BO22" s="434"/>
      <c r="BP22" s="434"/>
      <c r="BQ22" s="434"/>
      <c r="BR22" s="434"/>
      <c r="BS22" s="434"/>
      <c r="BT22" s="434"/>
      <c r="BU22" s="434"/>
      <c r="BV22" s="434"/>
      <c r="BW22" s="434"/>
      <c r="BX22" s="434"/>
      <c r="BY22" s="434"/>
      <c r="BZ22" s="434"/>
      <c r="CA22" s="434"/>
      <c r="CB22" s="434"/>
      <c r="CC22" s="434"/>
      <c r="CD22" s="434"/>
      <c r="CE22" s="434"/>
      <c r="CF22" s="434"/>
      <c r="CG22" s="434"/>
      <c r="CH22" s="434"/>
      <c r="CI22" s="434"/>
      <c r="CJ22" s="434"/>
      <c r="CK22" s="434"/>
      <c r="CL22" s="434"/>
      <c r="CM22" s="434"/>
      <c r="CN22" s="434"/>
      <c r="CO22" s="434"/>
      <c r="CP22" s="434"/>
      <c r="CQ22" s="434"/>
      <c r="CR22" s="434"/>
      <c r="CS22" s="434"/>
      <c r="CT22" s="434"/>
      <c r="CU22" s="434"/>
      <c r="CV22" s="434"/>
      <c r="CW22" s="434"/>
      <c r="CX22" s="434"/>
      <c r="CY22" s="434"/>
      <c r="CZ22" s="434"/>
      <c r="DA22" s="434"/>
      <c r="DB22" s="434"/>
      <c r="DC22" s="434"/>
      <c r="DD22" s="434"/>
      <c r="DE22" s="434"/>
      <c r="DF22" s="434"/>
      <c r="DG22" s="434"/>
      <c r="DH22" s="434"/>
      <c r="DI22" s="434"/>
      <c r="DJ22" s="434"/>
      <c r="DK22" s="434"/>
      <c r="DL22" s="434"/>
      <c r="DM22" s="434"/>
      <c r="DN22" s="434"/>
      <c r="DO22" s="434"/>
      <c r="DP22" s="434"/>
      <c r="DQ22" s="434"/>
      <c r="DR22" s="434"/>
      <c r="DS22" s="434"/>
      <c r="DT22" s="434"/>
      <c r="DU22" s="434"/>
      <c r="DV22" s="434"/>
      <c r="DW22" s="434"/>
      <c r="DX22" s="434"/>
      <c r="DY22" s="434"/>
      <c r="DZ22" s="434"/>
      <c r="EA22" s="434"/>
      <c r="EB22" s="434"/>
      <c r="EC22" s="434"/>
      <c r="ED22" s="434"/>
      <c r="EE22" s="434"/>
      <c r="EF22" s="434"/>
      <c r="EG22" s="434"/>
      <c r="EH22" s="434"/>
      <c r="EI22" s="434"/>
      <c r="EJ22" s="434"/>
      <c r="EK22" s="434"/>
      <c r="EL22" s="434"/>
      <c r="EM22" s="434"/>
      <c r="EN22" s="434"/>
      <c r="EO22" s="434"/>
      <c r="EP22" s="434"/>
      <c r="EQ22" s="434"/>
      <c r="ER22" s="434"/>
      <c r="ES22" s="434"/>
      <c r="ET22" s="434"/>
      <c r="EU22" s="434"/>
      <c r="EV22" s="434"/>
      <c r="EW22" s="434"/>
      <c r="EX22" s="434"/>
      <c r="EY22" s="434"/>
      <c r="EZ22" s="434"/>
      <c r="FA22" s="434"/>
      <c r="FB22" s="434"/>
      <c r="FC22" s="434"/>
      <c r="FD22" s="434"/>
      <c r="FE22" s="434"/>
      <c r="FF22" s="434"/>
      <c r="FG22" s="434"/>
      <c r="FH22" s="434"/>
      <c r="FI22" s="434"/>
      <c r="FJ22" s="434"/>
      <c r="FK22" s="434"/>
      <c r="FL22" s="434"/>
      <c r="FM22" s="434"/>
      <c r="FN22" s="434"/>
      <c r="FO22" s="434"/>
      <c r="FP22" s="434"/>
      <c r="FQ22" s="434"/>
      <c r="FR22" s="434"/>
      <c r="FS22" s="434"/>
      <c r="FT22" s="434"/>
      <c r="FU22" s="434"/>
      <c r="FV22" s="434"/>
      <c r="FW22" s="434"/>
      <c r="FX22" s="434"/>
      <c r="FY22" s="434"/>
      <c r="FZ22" s="434"/>
      <c r="GA22" s="434"/>
      <c r="GB22" s="434"/>
      <c r="GC22" s="434"/>
      <c r="GD22" s="434"/>
      <c r="GE22" s="434"/>
      <c r="GF22" s="434"/>
      <c r="GG22" s="434"/>
      <c r="GH22" s="434"/>
      <c r="GI22" s="434"/>
      <c r="GJ22" s="434"/>
      <c r="GK22" s="434"/>
      <c r="GL22" s="434"/>
      <c r="GM22" s="434"/>
      <c r="GN22" s="434"/>
    </row>
    <row r="23" spans="1:196" ht="15" customHeight="1">
      <c r="A23" s="1179"/>
      <c r="B23" s="140">
        <v>22</v>
      </c>
      <c r="C23" s="140">
        <v>109531</v>
      </c>
      <c r="D23" s="1169">
        <v>15599323</v>
      </c>
      <c r="E23" s="1167" t="s">
        <v>5943</v>
      </c>
      <c r="F23" s="845">
        <v>22559</v>
      </c>
      <c r="G23" s="140">
        <v>65</v>
      </c>
      <c r="H23" s="845">
        <v>22559</v>
      </c>
      <c r="I23" s="845">
        <v>46146</v>
      </c>
      <c r="J23" s="1169" t="s">
        <v>5872</v>
      </c>
      <c r="K23" s="140" t="s">
        <v>5944</v>
      </c>
      <c r="L23" s="140" t="s">
        <v>278</v>
      </c>
      <c r="M23" s="140">
        <v>997423400</v>
      </c>
      <c r="N23" s="140"/>
      <c r="O23" s="1169" t="s">
        <v>5865</v>
      </c>
      <c r="P23" s="1200" t="s">
        <v>5866</v>
      </c>
      <c r="Q23" s="1061" t="s">
        <v>5867</v>
      </c>
      <c r="R23" s="140" t="s">
        <v>238</v>
      </c>
      <c r="S23" s="140" t="s">
        <v>5945</v>
      </c>
      <c r="T23" s="140" t="s">
        <v>5873</v>
      </c>
      <c r="U23" s="845">
        <v>46146</v>
      </c>
      <c r="V23" s="1201">
        <v>0.59722222222222221</v>
      </c>
      <c r="W23" s="845">
        <v>46146</v>
      </c>
      <c r="X23" s="1143" t="s">
        <v>5946</v>
      </c>
      <c r="Y23" s="1143" t="s">
        <v>3104</v>
      </c>
      <c r="Z23" s="1176" t="s">
        <v>3105</v>
      </c>
      <c r="AA23" s="993">
        <v>46149</v>
      </c>
      <c r="AB23" s="1199"/>
      <c r="AC23" s="1178"/>
      <c r="AD23" s="1178"/>
      <c r="AE23" s="43"/>
      <c r="AF23" s="43"/>
      <c r="AG23" s="43"/>
      <c r="AH23" s="43"/>
      <c r="AI23" s="43"/>
      <c r="AJ23" s="43"/>
      <c r="AK23" s="43"/>
      <c r="AL23" s="43"/>
      <c r="AM23" s="43"/>
      <c r="AN23" s="43"/>
      <c r="AO23" s="43"/>
      <c r="AP23" s="43"/>
      <c r="AQ23" s="43"/>
      <c r="AR23" s="434"/>
      <c r="AS23" s="434"/>
      <c r="AT23" s="434"/>
      <c r="AU23" s="434"/>
      <c r="AV23" s="434"/>
      <c r="AW23" s="434"/>
      <c r="AX23" s="434"/>
      <c r="AY23" s="434"/>
      <c r="AZ23" s="434"/>
      <c r="BA23" s="434"/>
      <c r="BB23" s="434"/>
      <c r="BC23" s="434"/>
      <c r="BD23" s="434"/>
      <c r="BE23" s="434"/>
      <c r="BF23" s="434"/>
      <c r="BG23" s="434"/>
      <c r="BH23" s="434"/>
      <c r="BI23" s="434"/>
      <c r="BJ23" s="434"/>
      <c r="BK23" s="434"/>
      <c r="BL23" s="434"/>
      <c r="BM23" s="434"/>
      <c r="BN23" s="434"/>
      <c r="BO23" s="434"/>
      <c r="BP23" s="434"/>
      <c r="BQ23" s="434"/>
      <c r="BR23" s="434"/>
      <c r="BS23" s="434"/>
      <c r="BT23" s="434"/>
      <c r="BU23" s="434"/>
      <c r="BV23" s="434"/>
      <c r="BW23" s="434"/>
      <c r="BX23" s="434"/>
      <c r="BY23" s="434"/>
      <c r="BZ23" s="434"/>
      <c r="CA23" s="434"/>
      <c r="CB23" s="434"/>
      <c r="CC23" s="434"/>
      <c r="CD23" s="434"/>
      <c r="CE23" s="434"/>
      <c r="CF23" s="434"/>
      <c r="CG23" s="434"/>
      <c r="CH23" s="434"/>
      <c r="CI23" s="434"/>
      <c r="CJ23" s="434"/>
      <c r="CK23" s="434"/>
      <c r="CL23" s="434"/>
      <c r="CM23" s="434"/>
      <c r="CN23" s="434"/>
      <c r="CO23" s="434"/>
      <c r="CP23" s="434"/>
      <c r="CQ23" s="434"/>
      <c r="CR23" s="434"/>
      <c r="CS23" s="434"/>
      <c r="CT23" s="434"/>
      <c r="CU23" s="434"/>
      <c r="CV23" s="434"/>
      <c r="CW23" s="434"/>
      <c r="CX23" s="434"/>
      <c r="CY23" s="434"/>
      <c r="CZ23" s="434"/>
      <c r="DA23" s="434"/>
      <c r="DB23" s="434"/>
      <c r="DC23" s="434"/>
      <c r="DD23" s="434"/>
      <c r="DE23" s="434"/>
      <c r="DF23" s="434"/>
      <c r="DG23" s="434"/>
      <c r="DH23" s="434"/>
      <c r="DI23" s="434"/>
      <c r="DJ23" s="434"/>
      <c r="DK23" s="434"/>
      <c r="DL23" s="434"/>
      <c r="DM23" s="434"/>
      <c r="DN23" s="434"/>
      <c r="DO23" s="434"/>
      <c r="DP23" s="434"/>
      <c r="DQ23" s="434"/>
      <c r="DR23" s="434"/>
      <c r="DS23" s="434"/>
      <c r="DT23" s="434"/>
      <c r="DU23" s="434"/>
      <c r="DV23" s="434"/>
      <c r="DW23" s="434"/>
      <c r="DX23" s="434"/>
      <c r="DY23" s="434"/>
      <c r="DZ23" s="434"/>
      <c r="EA23" s="434"/>
      <c r="EB23" s="434"/>
      <c r="EC23" s="434"/>
      <c r="ED23" s="434"/>
      <c r="EE23" s="434"/>
      <c r="EF23" s="434"/>
      <c r="EG23" s="434"/>
      <c r="EH23" s="434"/>
      <c r="EI23" s="434"/>
      <c r="EJ23" s="434"/>
      <c r="EK23" s="434"/>
      <c r="EL23" s="434"/>
      <c r="EM23" s="434"/>
      <c r="EN23" s="434"/>
      <c r="EO23" s="434"/>
      <c r="EP23" s="434"/>
      <c r="EQ23" s="434"/>
      <c r="ER23" s="434"/>
      <c r="ES23" s="434"/>
      <c r="ET23" s="434"/>
      <c r="EU23" s="434"/>
      <c r="EV23" s="434"/>
      <c r="EW23" s="434"/>
      <c r="EX23" s="434"/>
      <c r="EY23" s="434"/>
      <c r="EZ23" s="434"/>
      <c r="FA23" s="434"/>
      <c r="FB23" s="434"/>
      <c r="FC23" s="434"/>
      <c r="FD23" s="434"/>
      <c r="FE23" s="434"/>
      <c r="FF23" s="434"/>
      <c r="FG23" s="434"/>
      <c r="FH23" s="434"/>
      <c r="FI23" s="434"/>
      <c r="FJ23" s="434"/>
      <c r="FK23" s="434"/>
      <c r="FL23" s="434"/>
      <c r="FM23" s="434"/>
      <c r="FN23" s="434"/>
      <c r="FO23" s="434"/>
      <c r="FP23" s="434"/>
      <c r="FQ23" s="434"/>
      <c r="FR23" s="434"/>
      <c r="FS23" s="434"/>
      <c r="FT23" s="434"/>
      <c r="FU23" s="434"/>
      <c r="FV23" s="434"/>
      <c r="FW23" s="434"/>
      <c r="FX23" s="434"/>
      <c r="FY23" s="434"/>
      <c r="FZ23" s="434"/>
      <c r="GA23" s="434"/>
      <c r="GB23" s="434"/>
      <c r="GC23" s="434"/>
      <c r="GD23" s="434"/>
      <c r="GE23" s="434"/>
      <c r="GF23" s="434"/>
      <c r="GG23" s="434"/>
      <c r="GH23" s="434"/>
      <c r="GI23" s="434"/>
      <c r="GJ23" s="434"/>
      <c r="GK23" s="434"/>
      <c r="GL23" s="434"/>
      <c r="GM23" s="434"/>
      <c r="GN23" s="434"/>
    </row>
    <row r="24" spans="1:196" ht="15" customHeight="1">
      <c r="A24" s="206"/>
      <c r="B24" s="140">
        <v>23</v>
      </c>
      <c r="C24" s="43">
        <v>525569</v>
      </c>
      <c r="D24" s="1054" t="s">
        <v>5947</v>
      </c>
      <c r="E24" s="648" t="s">
        <v>5948</v>
      </c>
      <c r="F24" s="845">
        <v>27691</v>
      </c>
      <c r="G24" s="140">
        <v>50</v>
      </c>
      <c r="H24" s="845">
        <v>27691</v>
      </c>
      <c r="I24" s="845">
        <v>46146</v>
      </c>
      <c r="J24" s="1169" t="s">
        <v>5872</v>
      </c>
      <c r="K24" s="140" t="s">
        <v>5949</v>
      </c>
      <c r="L24" s="140" t="s">
        <v>2724</v>
      </c>
      <c r="M24" s="140">
        <v>952242476</v>
      </c>
      <c r="N24" s="140" t="s">
        <v>175</v>
      </c>
      <c r="O24" s="1169" t="s">
        <v>5865</v>
      </c>
      <c r="P24" s="1202" t="s">
        <v>5866</v>
      </c>
      <c r="Q24" s="1061" t="s">
        <v>5867</v>
      </c>
      <c r="R24" s="140" t="s">
        <v>175</v>
      </c>
      <c r="S24" s="43" t="s">
        <v>5868</v>
      </c>
      <c r="T24" s="43" t="s">
        <v>5873</v>
      </c>
      <c r="U24" s="845">
        <v>46146</v>
      </c>
      <c r="V24" s="1201">
        <v>0.60416666666666663</v>
      </c>
      <c r="W24" s="845">
        <v>46146</v>
      </c>
      <c r="X24" s="1169" t="s">
        <v>1156</v>
      </c>
      <c r="Y24" s="1169" t="s">
        <v>3111</v>
      </c>
      <c r="Z24" s="1203" t="s">
        <v>1676</v>
      </c>
      <c r="AA24" s="993">
        <v>46149</v>
      </c>
      <c r="AB24" s="1199"/>
      <c r="AC24" s="1178" t="s">
        <v>4131</v>
      </c>
      <c r="AD24" s="1178"/>
      <c r="AE24" s="43"/>
      <c r="AF24" s="43"/>
      <c r="AG24" s="43"/>
      <c r="AH24" s="43"/>
      <c r="AI24" s="43"/>
      <c r="AJ24" s="43"/>
      <c r="AK24" s="43"/>
      <c r="AL24" s="43"/>
      <c r="AM24" s="43"/>
      <c r="AN24" s="43"/>
      <c r="AO24" s="43"/>
      <c r="AP24" s="43"/>
      <c r="AQ24" s="43"/>
      <c r="AR24" s="434"/>
      <c r="AS24" s="434"/>
      <c r="AT24" s="434"/>
      <c r="AU24" s="434"/>
      <c r="AV24" s="434"/>
      <c r="AW24" s="434"/>
      <c r="AX24" s="434"/>
      <c r="AY24" s="434"/>
      <c r="AZ24" s="434"/>
      <c r="BA24" s="434"/>
      <c r="BB24" s="434"/>
      <c r="BC24" s="434"/>
      <c r="BD24" s="434"/>
      <c r="BE24" s="434"/>
      <c r="BF24" s="434"/>
      <c r="BG24" s="434"/>
      <c r="BH24" s="434"/>
      <c r="BI24" s="434"/>
      <c r="BJ24" s="434"/>
      <c r="BK24" s="434"/>
      <c r="BL24" s="434"/>
      <c r="BM24" s="434"/>
      <c r="BN24" s="434"/>
      <c r="BO24" s="434"/>
      <c r="BP24" s="434"/>
      <c r="BQ24" s="434"/>
      <c r="BR24" s="434"/>
      <c r="BS24" s="434"/>
      <c r="BT24" s="434"/>
      <c r="BU24" s="434"/>
      <c r="BV24" s="434"/>
      <c r="BW24" s="434"/>
      <c r="BX24" s="434"/>
      <c r="BY24" s="434"/>
      <c r="BZ24" s="434"/>
      <c r="CA24" s="434"/>
      <c r="CB24" s="434"/>
      <c r="CC24" s="434"/>
      <c r="CD24" s="434"/>
      <c r="CE24" s="434"/>
      <c r="CF24" s="434"/>
      <c r="CG24" s="434"/>
      <c r="CH24" s="434"/>
      <c r="CI24" s="434"/>
      <c r="CJ24" s="434"/>
      <c r="CK24" s="434"/>
      <c r="CL24" s="434"/>
      <c r="CM24" s="434"/>
      <c r="CN24" s="434"/>
      <c r="CO24" s="434"/>
      <c r="CP24" s="434"/>
      <c r="CQ24" s="434"/>
      <c r="CR24" s="434"/>
      <c r="CS24" s="434"/>
      <c r="CT24" s="434"/>
      <c r="CU24" s="434"/>
      <c r="CV24" s="434"/>
      <c r="CW24" s="434"/>
      <c r="CX24" s="434"/>
      <c r="CY24" s="434"/>
      <c r="CZ24" s="434"/>
      <c r="DA24" s="434"/>
      <c r="DB24" s="434"/>
      <c r="DC24" s="434"/>
      <c r="DD24" s="434"/>
      <c r="DE24" s="434"/>
      <c r="DF24" s="434"/>
      <c r="DG24" s="434"/>
      <c r="DH24" s="434"/>
      <c r="DI24" s="434"/>
      <c r="DJ24" s="434"/>
      <c r="DK24" s="434"/>
      <c r="DL24" s="434"/>
      <c r="DM24" s="434"/>
      <c r="DN24" s="434"/>
      <c r="DO24" s="434"/>
      <c r="DP24" s="434"/>
      <c r="DQ24" s="434"/>
      <c r="DR24" s="434"/>
      <c r="DS24" s="434"/>
      <c r="DT24" s="434"/>
      <c r="DU24" s="434"/>
      <c r="DV24" s="434"/>
      <c r="DW24" s="434"/>
      <c r="DX24" s="434"/>
      <c r="DY24" s="434"/>
      <c r="DZ24" s="434"/>
      <c r="EA24" s="434"/>
      <c r="EB24" s="434"/>
      <c r="EC24" s="434"/>
      <c r="ED24" s="434"/>
      <c r="EE24" s="434"/>
      <c r="EF24" s="434"/>
      <c r="EG24" s="434"/>
      <c r="EH24" s="434"/>
      <c r="EI24" s="434"/>
      <c r="EJ24" s="434"/>
      <c r="EK24" s="434"/>
      <c r="EL24" s="434"/>
      <c r="EM24" s="434"/>
      <c r="EN24" s="434"/>
      <c r="EO24" s="434"/>
      <c r="EP24" s="434"/>
      <c r="EQ24" s="434"/>
      <c r="ER24" s="434"/>
      <c r="ES24" s="434"/>
      <c r="ET24" s="434"/>
      <c r="EU24" s="434"/>
      <c r="EV24" s="434"/>
      <c r="EW24" s="434"/>
      <c r="EX24" s="434"/>
      <c r="EY24" s="434"/>
      <c r="EZ24" s="434"/>
      <c r="FA24" s="434"/>
      <c r="FB24" s="434"/>
      <c r="FC24" s="434"/>
      <c r="FD24" s="434"/>
      <c r="FE24" s="434"/>
      <c r="FF24" s="434"/>
      <c r="FG24" s="434"/>
      <c r="FH24" s="434"/>
      <c r="FI24" s="434"/>
      <c r="FJ24" s="434"/>
      <c r="FK24" s="434"/>
      <c r="FL24" s="434"/>
      <c r="FM24" s="434"/>
      <c r="FN24" s="434"/>
      <c r="FO24" s="434"/>
      <c r="FP24" s="434"/>
      <c r="FQ24" s="434"/>
      <c r="FR24" s="434"/>
      <c r="FS24" s="434"/>
      <c r="FT24" s="434"/>
      <c r="FU24" s="434"/>
      <c r="FV24" s="434"/>
      <c r="FW24" s="434"/>
      <c r="FX24" s="434"/>
      <c r="FY24" s="434"/>
      <c r="FZ24" s="434"/>
      <c r="GA24" s="434"/>
      <c r="GB24" s="434"/>
      <c r="GC24" s="434"/>
      <c r="GD24" s="434"/>
      <c r="GE24" s="434"/>
      <c r="GF24" s="434"/>
      <c r="GG24" s="434"/>
      <c r="GH24" s="434"/>
      <c r="GI24" s="434"/>
      <c r="GJ24" s="434"/>
      <c r="GK24" s="434"/>
      <c r="GL24" s="434"/>
      <c r="GM24" s="434"/>
      <c r="GN24" s="434"/>
    </row>
    <row r="25" spans="1:196" ht="15" customHeight="1">
      <c r="A25" s="206"/>
      <c r="B25" s="140">
        <v>24</v>
      </c>
      <c r="C25" s="43">
        <v>354464</v>
      </c>
      <c r="D25" s="1054" t="s">
        <v>5950</v>
      </c>
      <c r="E25" s="648" t="s">
        <v>5951</v>
      </c>
      <c r="F25" s="845">
        <v>28782</v>
      </c>
      <c r="G25" s="140">
        <v>47</v>
      </c>
      <c r="H25" s="845">
        <v>28782</v>
      </c>
      <c r="I25" s="845">
        <v>46146</v>
      </c>
      <c r="J25" s="1169" t="s">
        <v>5872</v>
      </c>
      <c r="K25" s="140" t="s">
        <v>5952</v>
      </c>
      <c r="L25" s="140" t="s">
        <v>246</v>
      </c>
      <c r="M25" s="140">
        <v>997466317</v>
      </c>
      <c r="N25" s="140"/>
      <c r="O25" s="1169" t="s">
        <v>5865</v>
      </c>
      <c r="P25" s="1202" t="s">
        <v>5866</v>
      </c>
      <c r="Q25" s="1061" t="s">
        <v>5867</v>
      </c>
      <c r="R25" s="140" t="s">
        <v>579</v>
      </c>
      <c r="S25" s="43" t="s">
        <v>5953</v>
      </c>
      <c r="T25" s="43" t="s">
        <v>5873</v>
      </c>
      <c r="U25" s="845">
        <v>46146</v>
      </c>
      <c r="V25" s="1201">
        <v>0.61111111111111116</v>
      </c>
      <c r="W25" s="845">
        <v>46146</v>
      </c>
      <c r="X25" s="1169" t="s">
        <v>747</v>
      </c>
      <c r="Y25" s="1169" t="s">
        <v>3111</v>
      </c>
      <c r="Z25" s="1204" t="s">
        <v>1795</v>
      </c>
      <c r="AA25" s="448">
        <v>46149</v>
      </c>
      <c r="AB25" s="1199"/>
      <c r="AC25" s="1178" t="s">
        <v>5573</v>
      </c>
      <c r="AD25" s="1178"/>
      <c r="AE25" s="43"/>
      <c r="AF25" s="43"/>
      <c r="AG25" s="43"/>
      <c r="AH25" s="43"/>
      <c r="AI25" s="43"/>
      <c r="AJ25" s="43"/>
      <c r="AK25" s="43"/>
      <c r="AL25" s="43"/>
      <c r="AM25" s="43"/>
      <c r="AN25" s="43"/>
      <c r="AO25" s="43"/>
      <c r="AP25" s="43"/>
      <c r="AQ25" s="43"/>
      <c r="AR25" s="434"/>
      <c r="AS25" s="434"/>
      <c r="AT25" s="434"/>
      <c r="AU25" s="434"/>
      <c r="AV25" s="434"/>
      <c r="AW25" s="434"/>
      <c r="AX25" s="434"/>
      <c r="AY25" s="434"/>
      <c r="AZ25" s="434"/>
      <c r="BA25" s="434"/>
      <c r="BB25" s="434"/>
      <c r="BC25" s="434"/>
      <c r="BD25" s="434"/>
      <c r="BE25" s="434"/>
      <c r="BF25" s="434"/>
      <c r="BG25" s="434"/>
      <c r="BH25" s="434"/>
      <c r="BI25" s="434"/>
      <c r="BJ25" s="434"/>
      <c r="BK25" s="434"/>
      <c r="BL25" s="434"/>
      <c r="BM25" s="434"/>
      <c r="BN25" s="434"/>
      <c r="BO25" s="434"/>
      <c r="BP25" s="434"/>
      <c r="BQ25" s="434"/>
      <c r="BR25" s="434"/>
      <c r="BS25" s="434"/>
      <c r="BT25" s="434"/>
      <c r="BU25" s="434"/>
      <c r="BV25" s="434"/>
      <c r="BW25" s="434"/>
      <c r="BX25" s="434"/>
      <c r="BY25" s="434"/>
      <c r="BZ25" s="434"/>
      <c r="CA25" s="434"/>
      <c r="CB25" s="434"/>
      <c r="CC25" s="434"/>
      <c r="CD25" s="434"/>
      <c r="CE25" s="434"/>
      <c r="CF25" s="434"/>
      <c r="CG25" s="434"/>
      <c r="CH25" s="434"/>
      <c r="CI25" s="434"/>
      <c r="CJ25" s="434"/>
      <c r="CK25" s="434"/>
      <c r="CL25" s="434"/>
      <c r="CM25" s="434"/>
      <c r="CN25" s="434"/>
      <c r="CO25" s="434"/>
      <c r="CP25" s="434"/>
      <c r="CQ25" s="434"/>
      <c r="CR25" s="434"/>
      <c r="CS25" s="434"/>
      <c r="CT25" s="434"/>
      <c r="CU25" s="434"/>
      <c r="CV25" s="434"/>
      <c r="CW25" s="434"/>
      <c r="CX25" s="434"/>
      <c r="CY25" s="434"/>
      <c r="CZ25" s="434"/>
      <c r="DA25" s="434"/>
      <c r="DB25" s="434"/>
      <c r="DC25" s="434"/>
      <c r="DD25" s="434"/>
      <c r="DE25" s="434"/>
      <c r="DF25" s="434"/>
      <c r="DG25" s="434"/>
      <c r="DH25" s="434"/>
      <c r="DI25" s="434"/>
      <c r="DJ25" s="434"/>
      <c r="DK25" s="434"/>
      <c r="DL25" s="434"/>
      <c r="DM25" s="434"/>
      <c r="DN25" s="434"/>
      <c r="DO25" s="434"/>
      <c r="DP25" s="434"/>
      <c r="DQ25" s="434"/>
      <c r="DR25" s="434"/>
      <c r="DS25" s="434"/>
      <c r="DT25" s="434"/>
      <c r="DU25" s="434"/>
      <c r="DV25" s="434"/>
      <c r="DW25" s="434"/>
      <c r="DX25" s="434"/>
      <c r="DY25" s="434"/>
      <c r="DZ25" s="434"/>
      <c r="EA25" s="434"/>
      <c r="EB25" s="434"/>
      <c r="EC25" s="434"/>
      <c r="ED25" s="434"/>
      <c r="EE25" s="434"/>
      <c r="EF25" s="434"/>
      <c r="EG25" s="434"/>
      <c r="EH25" s="434"/>
      <c r="EI25" s="434"/>
      <c r="EJ25" s="434"/>
      <c r="EK25" s="434"/>
      <c r="EL25" s="434"/>
      <c r="EM25" s="434"/>
      <c r="EN25" s="434"/>
      <c r="EO25" s="434"/>
      <c r="EP25" s="434"/>
      <c r="EQ25" s="434"/>
      <c r="ER25" s="434"/>
      <c r="ES25" s="434"/>
      <c r="ET25" s="434"/>
      <c r="EU25" s="434"/>
      <c r="EV25" s="434"/>
      <c r="EW25" s="434"/>
      <c r="EX25" s="434"/>
      <c r="EY25" s="434"/>
      <c r="EZ25" s="434"/>
      <c r="FA25" s="434"/>
      <c r="FB25" s="434"/>
      <c r="FC25" s="434"/>
      <c r="FD25" s="434"/>
      <c r="FE25" s="434"/>
      <c r="FF25" s="434"/>
      <c r="FG25" s="434"/>
      <c r="FH25" s="434"/>
      <c r="FI25" s="434"/>
      <c r="FJ25" s="434"/>
      <c r="FK25" s="434"/>
      <c r="FL25" s="434"/>
      <c r="FM25" s="434"/>
      <c r="FN25" s="434"/>
      <c r="FO25" s="434"/>
      <c r="FP25" s="434"/>
      <c r="FQ25" s="434"/>
      <c r="FR25" s="434"/>
      <c r="FS25" s="434"/>
      <c r="FT25" s="434"/>
      <c r="FU25" s="434"/>
      <c r="FV25" s="434"/>
      <c r="FW25" s="434"/>
      <c r="FX25" s="434"/>
      <c r="FY25" s="434"/>
      <c r="FZ25" s="434"/>
      <c r="GA25" s="434"/>
      <c r="GB25" s="434"/>
      <c r="GC25" s="434"/>
      <c r="GD25" s="434"/>
      <c r="GE25" s="434"/>
      <c r="GF25" s="434"/>
      <c r="GG25" s="434"/>
      <c r="GH25" s="434"/>
      <c r="GI25" s="434"/>
      <c r="GJ25" s="434"/>
      <c r="GK25" s="434"/>
      <c r="GL25" s="434"/>
      <c r="GM25" s="434"/>
      <c r="GN25" s="434"/>
    </row>
    <row r="26" spans="1:196" ht="15" customHeight="1">
      <c r="A26" s="206"/>
      <c r="B26" s="140">
        <v>25</v>
      </c>
      <c r="C26" s="43">
        <v>68883</v>
      </c>
      <c r="D26" s="1054" t="s">
        <v>5954</v>
      </c>
      <c r="E26" s="648" t="s">
        <v>5955</v>
      </c>
      <c r="F26" s="845">
        <v>46146</v>
      </c>
      <c r="G26" s="140">
        <v>41</v>
      </c>
      <c r="H26" s="845">
        <v>30870</v>
      </c>
      <c r="I26" s="845">
        <v>46146</v>
      </c>
      <c r="J26" s="1169" t="s">
        <v>5872</v>
      </c>
      <c r="K26" s="140" t="s">
        <v>5956</v>
      </c>
      <c r="L26" s="140" t="s">
        <v>222</v>
      </c>
      <c r="M26" s="140">
        <v>950755594</v>
      </c>
      <c r="N26" s="140"/>
      <c r="O26" s="1169" t="s">
        <v>5865</v>
      </c>
      <c r="P26" s="1202" t="s">
        <v>5866</v>
      </c>
      <c r="Q26" s="1061" t="s">
        <v>5867</v>
      </c>
      <c r="R26" s="140" t="s">
        <v>223</v>
      </c>
      <c r="S26" s="43" t="s">
        <v>5868</v>
      </c>
      <c r="T26" s="43" t="s">
        <v>5869</v>
      </c>
      <c r="U26" s="845">
        <v>46146</v>
      </c>
      <c r="V26" s="1201">
        <v>0.61805555555555558</v>
      </c>
      <c r="W26" s="845">
        <v>46146</v>
      </c>
      <c r="X26" s="91" t="s">
        <v>1156</v>
      </c>
      <c r="Y26" s="1143" t="s">
        <v>5893</v>
      </c>
      <c r="Z26" s="1203" t="s">
        <v>1676</v>
      </c>
      <c r="AA26" s="448">
        <v>46149</v>
      </c>
      <c r="AB26" s="1199"/>
      <c r="AC26" s="1178" t="s">
        <v>5957</v>
      </c>
      <c r="AD26" s="1178"/>
      <c r="AE26" s="43"/>
      <c r="AF26" s="43"/>
      <c r="AG26" s="43"/>
      <c r="AH26" s="43"/>
      <c r="AI26" s="43"/>
      <c r="AJ26" s="43"/>
      <c r="AK26" s="43"/>
      <c r="AL26" s="43"/>
      <c r="AM26" s="43"/>
      <c r="AN26" s="43"/>
      <c r="AO26" s="43"/>
      <c r="AP26" s="43"/>
      <c r="AQ26" s="43"/>
      <c r="AR26" s="434"/>
      <c r="AS26" s="434"/>
      <c r="AT26" s="434"/>
      <c r="AU26" s="434"/>
      <c r="AV26" s="434"/>
      <c r="AW26" s="434"/>
      <c r="AX26" s="434"/>
      <c r="AY26" s="434"/>
      <c r="AZ26" s="434"/>
      <c r="BA26" s="434"/>
      <c r="BB26" s="434"/>
      <c r="BC26" s="434"/>
      <c r="BD26" s="434"/>
      <c r="BE26" s="434"/>
      <c r="BF26" s="434"/>
      <c r="BG26" s="434"/>
      <c r="BH26" s="434"/>
      <c r="BI26" s="434"/>
      <c r="BJ26" s="434"/>
      <c r="BK26" s="434"/>
      <c r="BL26" s="434"/>
      <c r="BM26" s="434"/>
      <c r="BN26" s="434"/>
      <c r="BO26" s="434"/>
      <c r="BP26" s="434"/>
      <c r="BQ26" s="434"/>
      <c r="BR26" s="434"/>
      <c r="BS26" s="434"/>
      <c r="BT26" s="434"/>
      <c r="BU26" s="434"/>
      <c r="BV26" s="434"/>
      <c r="BW26" s="434"/>
      <c r="BX26" s="434"/>
      <c r="BY26" s="434"/>
      <c r="BZ26" s="434"/>
      <c r="CA26" s="434"/>
      <c r="CB26" s="434"/>
      <c r="CC26" s="434"/>
      <c r="CD26" s="434"/>
      <c r="CE26" s="434"/>
      <c r="CF26" s="434"/>
      <c r="CG26" s="434"/>
      <c r="CH26" s="434"/>
      <c r="CI26" s="434"/>
      <c r="CJ26" s="434"/>
      <c r="CK26" s="434"/>
      <c r="CL26" s="434"/>
      <c r="CM26" s="434"/>
      <c r="CN26" s="434"/>
      <c r="CO26" s="434"/>
      <c r="CP26" s="434"/>
      <c r="CQ26" s="434"/>
      <c r="CR26" s="434"/>
      <c r="CS26" s="434"/>
      <c r="CT26" s="434"/>
      <c r="CU26" s="434"/>
      <c r="CV26" s="434"/>
      <c r="CW26" s="434"/>
      <c r="CX26" s="434"/>
      <c r="CY26" s="434"/>
      <c r="CZ26" s="434"/>
      <c r="DA26" s="434"/>
      <c r="DB26" s="434"/>
      <c r="DC26" s="434"/>
      <c r="DD26" s="434"/>
      <c r="DE26" s="434"/>
      <c r="DF26" s="434"/>
      <c r="DG26" s="434"/>
      <c r="DH26" s="434"/>
      <c r="DI26" s="434"/>
      <c r="DJ26" s="434"/>
      <c r="DK26" s="434"/>
      <c r="DL26" s="434"/>
      <c r="DM26" s="434"/>
      <c r="DN26" s="434"/>
      <c r="DO26" s="434"/>
      <c r="DP26" s="434"/>
      <c r="DQ26" s="434"/>
      <c r="DR26" s="434"/>
      <c r="DS26" s="434"/>
      <c r="DT26" s="434"/>
      <c r="DU26" s="434"/>
      <c r="DV26" s="434"/>
      <c r="DW26" s="434"/>
      <c r="DX26" s="434"/>
      <c r="DY26" s="434"/>
      <c r="DZ26" s="434"/>
      <c r="EA26" s="434"/>
      <c r="EB26" s="434"/>
      <c r="EC26" s="434"/>
      <c r="ED26" s="434"/>
      <c r="EE26" s="434"/>
      <c r="EF26" s="434"/>
      <c r="EG26" s="434"/>
      <c r="EH26" s="434"/>
      <c r="EI26" s="434"/>
      <c r="EJ26" s="434"/>
      <c r="EK26" s="434"/>
      <c r="EL26" s="434"/>
      <c r="EM26" s="434"/>
      <c r="EN26" s="434"/>
      <c r="EO26" s="434"/>
      <c r="EP26" s="434"/>
      <c r="EQ26" s="434"/>
      <c r="ER26" s="434"/>
      <c r="ES26" s="434"/>
      <c r="ET26" s="434"/>
      <c r="EU26" s="434"/>
      <c r="EV26" s="434"/>
      <c r="EW26" s="434"/>
      <c r="EX26" s="434"/>
      <c r="EY26" s="434"/>
      <c r="EZ26" s="434"/>
      <c r="FA26" s="434"/>
      <c r="FB26" s="434"/>
      <c r="FC26" s="434"/>
      <c r="FD26" s="434"/>
      <c r="FE26" s="434"/>
      <c r="FF26" s="434"/>
      <c r="FG26" s="434"/>
      <c r="FH26" s="434"/>
      <c r="FI26" s="434"/>
      <c r="FJ26" s="434"/>
      <c r="FK26" s="434"/>
      <c r="FL26" s="434"/>
      <c r="FM26" s="434"/>
      <c r="FN26" s="434"/>
      <c r="FO26" s="434"/>
      <c r="FP26" s="434"/>
      <c r="FQ26" s="434"/>
      <c r="FR26" s="434"/>
      <c r="FS26" s="434"/>
      <c r="FT26" s="434"/>
      <c r="FU26" s="434"/>
      <c r="FV26" s="434"/>
      <c r="FW26" s="434"/>
      <c r="FX26" s="434"/>
      <c r="FY26" s="434"/>
      <c r="FZ26" s="434"/>
      <c r="GA26" s="434"/>
      <c r="GB26" s="434"/>
      <c r="GC26" s="434"/>
      <c r="GD26" s="434"/>
      <c r="GE26" s="434"/>
      <c r="GF26" s="434"/>
      <c r="GG26" s="434"/>
      <c r="GH26" s="434"/>
      <c r="GI26" s="434"/>
      <c r="GJ26" s="434"/>
      <c r="GK26" s="434"/>
      <c r="GL26" s="434"/>
      <c r="GM26" s="434"/>
      <c r="GN26" s="434"/>
    </row>
    <row r="27" spans="1:196" ht="15" customHeight="1">
      <c r="A27" s="206"/>
      <c r="B27" s="140">
        <v>26</v>
      </c>
      <c r="C27" s="43">
        <v>148409</v>
      </c>
      <c r="D27" s="1054" t="s">
        <v>5958</v>
      </c>
      <c r="E27" s="648" t="s">
        <v>5959</v>
      </c>
      <c r="F27" s="845">
        <v>25930</v>
      </c>
      <c r="G27" s="140">
        <v>55</v>
      </c>
      <c r="H27" s="845">
        <v>25930</v>
      </c>
      <c r="I27" s="845">
        <v>46146</v>
      </c>
      <c r="J27" s="1169" t="s">
        <v>5872</v>
      </c>
      <c r="K27" s="140" t="s">
        <v>5960</v>
      </c>
      <c r="L27" s="140" t="s">
        <v>278</v>
      </c>
      <c r="M27" s="140">
        <v>916847692</v>
      </c>
      <c r="N27" s="140"/>
      <c r="O27" s="1169" t="s">
        <v>5865</v>
      </c>
      <c r="P27" s="1202" t="s">
        <v>5866</v>
      </c>
      <c r="Q27" s="1061" t="s">
        <v>5867</v>
      </c>
      <c r="R27" s="140" t="s">
        <v>238</v>
      </c>
      <c r="S27" s="43" t="s">
        <v>5868</v>
      </c>
      <c r="T27" s="43" t="s">
        <v>5873</v>
      </c>
      <c r="U27" s="845">
        <v>46146</v>
      </c>
      <c r="V27" s="1201">
        <v>0.625</v>
      </c>
      <c r="W27" s="845">
        <v>46146</v>
      </c>
      <c r="X27" s="91" t="s">
        <v>1156</v>
      </c>
      <c r="Y27" s="1143" t="s">
        <v>5893</v>
      </c>
      <c r="Z27" s="1203" t="s">
        <v>1676</v>
      </c>
      <c r="AA27" s="993">
        <v>46149</v>
      </c>
      <c r="AB27" s="1199"/>
      <c r="AC27" s="1178"/>
      <c r="AD27" s="1178"/>
      <c r="AE27" s="43"/>
      <c r="AF27" s="43"/>
      <c r="AG27" s="43"/>
      <c r="AH27" s="43"/>
      <c r="AI27" s="43"/>
      <c r="AJ27" s="43"/>
      <c r="AK27" s="43"/>
      <c r="AL27" s="43"/>
      <c r="AM27" s="43"/>
      <c r="AN27" s="43"/>
      <c r="AO27" s="43"/>
      <c r="AP27" s="43"/>
      <c r="AQ27" s="43"/>
      <c r="AR27" s="434"/>
      <c r="AS27" s="434"/>
      <c r="AT27" s="434"/>
      <c r="AU27" s="434"/>
      <c r="AV27" s="434"/>
      <c r="AW27" s="434"/>
      <c r="AX27" s="434"/>
      <c r="AY27" s="434"/>
      <c r="AZ27" s="434"/>
      <c r="BA27" s="434"/>
      <c r="BB27" s="434"/>
      <c r="BC27" s="434"/>
      <c r="BD27" s="434"/>
      <c r="BE27" s="434"/>
      <c r="BF27" s="434"/>
      <c r="BG27" s="434"/>
      <c r="BH27" s="434"/>
      <c r="BI27" s="434"/>
      <c r="BJ27" s="434"/>
      <c r="BK27" s="434"/>
      <c r="BL27" s="434"/>
      <c r="BM27" s="434"/>
      <c r="BN27" s="434"/>
      <c r="BO27" s="434"/>
      <c r="BP27" s="434"/>
      <c r="BQ27" s="434"/>
      <c r="BR27" s="434"/>
      <c r="BS27" s="434"/>
      <c r="BT27" s="434"/>
      <c r="BU27" s="434"/>
      <c r="BV27" s="434"/>
      <c r="BW27" s="434"/>
      <c r="BX27" s="434"/>
      <c r="BY27" s="434"/>
      <c r="BZ27" s="434"/>
      <c r="CA27" s="434"/>
      <c r="CB27" s="434"/>
      <c r="CC27" s="434"/>
      <c r="CD27" s="434"/>
      <c r="CE27" s="434"/>
      <c r="CF27" s="434"/>
      <c r="CG27" s="434"/>
      <c r="CH27" s="434"/>
      <c r="CI27" s="434"/>
      <c r="CJ27" s="434"/>
      <c r="CK27" s="434"/>
      <c r="CL27" s="434"/>
      <c r="CM27" s="434"/>
      <c r="CN27" s="434"/>
      <c r="CO27" s="434"/>
      <c r="CP27" s="434"/>
      <c r="CQ27" s="434"/>
      <c r="CR27" s="434"/>
      <c r="CS27" s="434"/>
      <c r="CT27" s="434"/>
      <c r="CU27" s="434"/>
      <c r="CV27" s="434"/>
      <c r="CW27" s="434"/>
      <c r="CX27" s="434"/>
      <c r="CY27" s="434"/>
      <c r="CZ27" s="434"/>
      <c r="DA27" s="434"/>
      <c r="DB27" s="434"/>
      <c r="DC27" s="434"/>
      <c r="DD27" s="434"/>
      <c r="DE27" s="434"/>
      <c r="DF27" s="434"/>
      <c r="DG27" s="434"/>
      <c r="DH27" s="434"/>
      <c r="DI27" s="434"/>
      <c r="DJ27" s="434"/>
      <c r="DK27" s="434"/>
      <c r="DL27" s="434"/>
      <c r="DM27" s="434"/>
      <c r="DN27" s="434"/>
      <c r="DO27" s="434"/>
      <c r="DP27" s="434"/>
      <c r="DQ27" s="434"/>
      <c r="DR27" s="434"/>
      <c r="DS27" s="434"/>
      <c r="DT27" s="434"/>
      <c r="DU27" s="434"/>
      <c r="DV27" s="434"/>
      <c r="DW27" s="434"/>
      <c r="DX27" s="434"/>
      <c r="DY27" s="434"/>
      <c r="DZ27" s="434"/>
      <c r="EA27" s="434"/>
      <c r="EB27" s="434"/>
      <c r="EC27" s="434"/>
      <c r="ED27" s="434"/>
      <c r="EE27" s="434"/>
      <c r="EF27" s="434"/>
      <c r="EG27" s="434"/>
      <c r="EH27" s="434"/>
      <c r="EI27" s="434"/>
      <c r="EJ27" s="434"/>
      <c r="EK27" s="434"/>
      <c r="EL27" s="434"/>
      <c r="EM27" s="434"/>
      <c r="EN27" s="434"/>
      <c r="EO27" s="434"/>
      <c r="EP27" s="434"/>
      <c r="EQ27" s="434"/>
      <c r="ER27" s="434"/>
      <c r="ES27" s="434"/>
      <c r="ET27" s="434"/>
      <c r="EU27" s="434"/>
      <c r="EV27" s="434"/>
      <c r="EW27" s="434"/>
      <c r="EX27" s="434"/>
      <c r="EY27" s="434"/>
      <c r="EZ27" s="434"/>
      <c r="FA27" s="434"/>
      <c r="FB27" s="434"/>
      <c r="FC27" s="434"/>
      <c r="FD27" s="434"/>
      <c r="FE27" s="434"/>
      <c r="FF27" s="434"/>
      <c r="FG27" s="434"/>
      <c r="FH27" s="434"/>
      <c r="FI27" s="434"/>
      <c r="FJ27" s="434"/>
      <c r="FK27" s="434"/>
      <c r="FL27" s="434"/>
      <c r="FM27" s="434"/>
      <c r="FN27" s="434"/>
      <c r="FO27" s="434"/>
      <c r="FP27" s="434"/>
      <c r="FQ27" s="434"/>
      <c r="FR27" s="434"/>
      <c r="FS27" s="434"/>
      <c r="FT27" s="434"/>
      <c r="FU27" s="434"/>
      <c r="FV27" s="434"/>
      <c r="FW27" s="434"/>
      <c r="FX27" s="434"/>
      <c r="FY27" s="434"/>
      <c r="FZ27" s="434"/>
      <c r="GA27" s="434"/>
      <c r="GB27" s="434"/>
      <c r="GC27" s="434"/>
      <c r="GD27" s="434"/>
      <c r="GE27" s="434"/>
      <c r="GF27" s="434"/>
      <c r="GG27" s="434"/>
      <c r="GH27" s="434"/>
      <c r="GI27" s="434"/>
      <c r="GJ27" s="434"/>
      <c r="GK27" s="434"/>
      <c r="GL27" s="434"/>
      <c r="GM27" s="434"/>
      <c r="GN27" s="434"/>
    </row>
    <row r="28" spans="1:196" ht="15" customHeight="1">
      <c r="A28" s="206"/>
      <c r="B28" s="140">
        <v>27</v>
      </c>
      <c r="C28" s="43">
        <v>74195</v>
      </c>
      <c r="D28" s="1054" t="s">
        <v>5961</v>
      </c>
      <c r="E28" s="648" t="s">
        <v>5962</v>
      </c>
      <c r="F28" s="845">
        <v>23262</v>
      </c>
      <c r="G28" s="140">
        <v>62</v>
      </c>
      <c r="H28" s="845">
        <v>23262</v>
      </c>
      <c r="I28" s="845">
        <v>46146</v>
      </c>
      <c r="J28" s="1169" t="s">
        <v>5872</v>
      </c>
      <c r="K28" s="140" t="s">
        <v>5963</v>
      </c>
      <c r="L28" s="140" t="s">
        <v>301</v>
      </c>
      <c r="M28" s="140">
        <v>990266656</v>
      </c>
      <c r="N28" s="140"/>
      <c r="O28" s="1169" t="s">
        <v>5865</v>
      </c>
      <c r="P28" s="1202" t="s">
        <v>5866</v>
      </c>
      <c r="Q28" s="1061" t="s">
        <v>5867</v>
      </c>
      <c r="R28" s="140" t="s">
        <v>238</v>
      </c>
      <c r="S28" s="43" t="s">
        <v>5868</v>
      </c>
      <c r="T28" s="43" t="s">
        <v>5869</v>
      </c>
      <c r="U28" s="845">
        <v>46146</v>
      </c>
      <c r="V28" s="1201">
        <v>0.66666666666666663</v>
      </c>
      <c r="W28" s="845">
        <v>46146</v>
      </c>
      <c r="X28" s="91" t="s">
        <v>4891</v>
      </c>
      <c r="Y28" s="91" t="s">
        <v>3104</v>
      </c>
      <c r="Z28" s="1203" t="s">
        <v>1795</v>
      </c>
      <c r="AA28" s="993">
        <v>46149</v>
      </c>
      <c r="AB28" s="1199"/>
      <c r="AC28" s="1178"/>
      <c r="AD28" s="1178"/>
      <c r="AE28" s="43"/>
      <c r="AF28" s="43"/>
      <c r="AG28" s="43"/>
      <c r="AH28" s="43"/>
      <c r="AI28" s="43"/>
      <c r="AJ28" s="43"/>
      <c r="AK28" s="43"/>
      <c r="AL28" s="43"/>
      <c r="AM28" s="43"/>
      <c r="AN28" s="43"/>
      <c r="AO28" s="43"/>
      <c r="AP28" s="43"/>
      <c r="AQ28" s="43"/>
      <c r="AR28" s="434"/>
      <c r="AS28" s="434"/>
      <c r="AT28" s="434"/>
      <c r="AU28" s="434"/>
      <c r="AV28" s="434"/>
      <c r="AW28" s="434"/>
      <c r="AX28" s="434"/>
      <c r="AY28" s="434"/>
      <c r="AZ28" s="434"/>
      <c r="BA28" s="434"/>
      <c r="BB28" s="434"/>
      <c r="BC28" s="434"/>
      <c r="BD28" s="434"/>
      <c r="BE28" s="434"/>
      <c r="BF28" s="434"/>
      <c r="BG28" s="434"/>
      <c r="BH28" s="434"/>
      <c r="BI28" s="434"/>
      <c r="BJ28" s="434"/>
      <c r="BK28" s="434"/>
      <c r="BL28" s="434"/>
      <c r="BM28" s="434"/>
      <c r="BN28" s="434"/>
      <c r="BO28" s="434"/>
      <c r="BP28" s="434"/>
      <c r="BQ28" s="434"/>
      <c r="BR28" s="434"/>
      <c r="BS28" s="434"/>
      <c r="BT28" s="434"/>
      <c r="BU28" s="434"/>
      <c r="BV28" s="434"/>
      <c r="BW28" s="434"/>
      <c r="BX28" s="434"/>
      <c r="BY28" s="434"/>
      <c r="BZ28" s="434"/>
      <c r="CA28" s="434"/>
      <c r="CB28" s="434"/>
      <c r="CC28" s="434"/>
      <c r="CD28" s="434"/>
      <c r="CE28" s="434"/>
      <c r="CF28" s="434"/>
      <c r="CG28" s="434"/>
      <c r="CH28" s="434"/>
      <c r="CI28" s="434"/>
      <c r="CJ28" s="434"/>
      <c r="CK28" s="434"/>
      <c r="CL28" s="434"/>
      <c r="CM28" s="434"/>
      <c r="CN28" s="434"/>
      <c r="CO28" s="434"/>
      <c r="CP28" s="434"/>
      <c r="CQ28" s="434"/>
      <c r="CR28" s="434"/>
      <c r="CS28" s="434"/>
      <c r="CT28" s="434"/>
      <c r="CU28" s="434"/>
      <c r="CV28" s="434"/>
      <c r="CW28" s="434"/>
      <c r="CX28" s="434"/>
      <c r="CY28" s="434"/>
      <c r="CZ28" s="434"/>
      <c r="DA28" s="434"/>
      <c r="DB28" s="434"/>
      <c r="DC28" s="434"/>
      <c r="DD28" s="434"/>
      <c r="DE28" s="434"/>
      <c r="DF28" s="434"/>
      <c r="DG28" s="434"/>
      <c r="DH28" s="434"/>
      <c r="DI28" s="434"/>
      <c r="DJ28" s="434"/>
      <c r="DK28" s="434"/>
      <c r="DL28" s="434"/>
      <c r="DM28" s="434"/>
      <c r="DN28" s="434"/>
      <c r="DO28" s="434"/>
      <c r="DP28" s="434"/>
      <c r="DQ28" s="434"/>
      <c r="DR28" s="434"/>
      <c r="DS28" s="434"/>
      <c r="DT28" s="434"/>
      <c r="DU28" s="434"/>
      <c r="DV28" s="434"/>
      <c r="DW28" s="434"/>
      <c r="DX28" s="434"/>
      <c r="DY28" s="434"/>
      <c r="DZ28" s="434"/>
      <c r="EA28" s="434"/>
      <c r="EB28" s="434"/>
      <c r="EC28" s="434"/>
      <c r="ED28" s="434"/>
      <c r="EE28" s="434"/>
      <c r="EF28" s="434"/>
      <c r="EG28" s="434"/>
      <c r="EH28" s="434"/>
      <c r="EI28" s="434"/>
      <c r="EJ28" s="434"/>
      <c r="EK28" s="434"/>
      <c r="EL28" s="434"/>
      <c r="EM28" s="434"/>
      <c r="EN28" s="434"/>
      <c r="EO28" s="434"/>
      <c r="EP28" s="434"/>
      <c r="EQ28" s="434"/>
      <c r="ER28" s="434"/>
      <c r="ES28" s="434"/>
      <c r="ET28" s="434"/>
      <c r="EU28" s="434"/>
      <c r="EV28" s="434"/>
      <c r="EW28" s="434"/>
      <c r="EX28" s="434"/>
      <c r="EY28" s="434"/>
      <c r="EZ28" s="434"/>
      <c r="FA28" s="434"/>
      <c r="FB28" s="434"/>
      <c r="FC28" s="434"/>
      <c r="FD28" s="434"/>
      <c r="FE28" s="434"/>
      <c r="FF28" s="434"/>
      <c r="FG28" s="434"/>
      <c r="FH28" s="434"/>
      <c r="FI28" s="434"/>
      <c r="FJ28" s="434"/>
      <c r="FK28" s="434"/>
      <c r="FL28" s="434"/>
      <c r="FM28" s="434"/>
      <c r="FN28" s="434"/>
      <c r="FO28" s="434"/>
      <c r="FP28" s="434"/>
      <c r="FQ28" s="434"/>
      <c r="FR28" s="434"/>
      <c r="FS28" s="434"/>
      <c r="FT28" s="434"/>
      <c r="FU28" s="434"/>
      <c r="FV28" s="434"/>
      <c r="FW28" s="434"/>
      <c r="FX28" s="434"/>
      <c r="FY28" s="434"/>
      <c r="FZ28" s="434"/>
      <c r="GA28" s="434"/>
      <c r="GB28" s="434"/>
      <c r="GC28" s="434"/>
      <c r="GD28" s="434"/>
      <c r="GE28" s="434"/>
      <c r="GF28" s="434"/>
      <c r="GG28" s="434"/>
      <c r="GH28" s="434"/>
      <c r="GI28" s="434"/>
      <c r="GJ28" s="434"/>
      <c r="GK28" s="434"/>
      <c r="GL28" s="434"/>
      <c r="GM28" s="434"/>
      <c r="GN28" s="434"/>
    </row>
    <row r="29" spans="1:196" ht="15" customHeight="1">
      <c r="A29" s="206"/>
      <c r="B29" s="140">
        <v>28</v>
      </c>
      <c r="C29" s="43">
        <v>166394</v>
      </c>
      <c r="D29" s="1054" t="s">
        <v>5964</v>
      </c>
      <c r="E29" s="648" t="s">
        <v>5965</v>
      </c>
      <c r="F29" s="845">
        <v>21669</v>
      </c>
      <c r="G29" s="140">
        <v>67</v>
      </c>
      <c r="H29" s="845">
        <v>21669</v>
      </c>
      <c r="I29" s="845">
        <v>46146</v>
      </c>
      <c r="J29" s="1169" t="s">
        <v>5872</v>
      </c>
      <c r="K29" s="140" t="s">
        <v>5966</v>
      </c>
      <c r="L29" s="140" t="s">
        <v>278</v>
      </c>
      <c r="M29" s="140">
        <v>900601322</v>
      </c>
      <c r="N29" s="140"/>
      <c r="O29" s="1169" t="s">
        <v>5865</v>
      </c>
      <c r="P29" s="1202" t="s">
        <v>5866</v>
      </c>
      <c r="Q29" s="1061" t="s">
        <v>5867</v>
      </c>
      <c r="R29" s="140" t="s">
        <v>238</v>
      </c>
      <c r="S29" s="43" t="s">
        <v>5967</v>
      </c>
      <c r="T29" s="43" t="s">
        <v>5873</v>
      </c>
      <c r="U29" s="845">
        <v>46146</v>
      </c>
      <c r="V29" s="1201">
        <v>0.67361111111111116</v>
      </c>
      <c r="W29" s="845">
        <v>46146</v>
      </c>
      <c r="X29" s="1169" t="s">
        <v>1156</v>
      </c>
      <c r="Y29" s="1169" t="s">
        <v>3111</v>
      </c>
      <c r="Z29" s="1203" t="s">
        <v>1676</v>
      </c>
      <c r="AA29" s="993">
        <v>46149</v>
      </c>
      <c r="AB29" s="1199"/>
      <c r="AC29" s="1178" t="s">
        <v>5968</v>
      </c>
      <c r="AD29" s="1178" t="s">
        <v>5969</v>
      </c>
      <c r="AE29" s="43"/>
      <c r="AF29" s="43"/>
      <c r="AG29" s="43"/>
      <c r="AH29" s="43"/>
      <c r="AI29" s="43"/>
      <c r="AJ29" s="43"/>
      <c r="AK29" s="43"/>
      <c r="AL29" s="43"/>
      <c r="AM29" s="43"/>
      <c r="AN29" s="43"/>
      <c r="AO29" s="43"/>
      <c r="AP29" s="43"/>
      <c r="AQ29" s="43"/>
      <c r="AR29" s="434"/>
      <c r="AS29" s="434"/>
      <c r="AT29" s="434"/>
      <c r="AU29" s="434"/>
      <c r="AV29" s="434"/>
      <c r="AW29" s="434"/>
      <c r="AX29" s="434"/>
      <c r="AY29" s="434"/>
      <c r="AZ29" s="434"/>
      <c r="BA29" s="434"/>
      <c r="BB29" s="434"/>
      <c r="BC29" s="434"/>
      <c r="BD29" s="434"/>
      <c r="BE29" s="434"/>
      <c r="BF29" s="434"/>
      <c r="BG29" s="434"/>
      <c r="BH29" s="434"/>
      <c r="BI29" s="434"/>
      <c r="BJ29" s="434"/>
      <c r="BK29" s="434"/>
      <c r="BL29" s="434"/>
      <c r="BM29" s="434"/>
      <c r="BN29" s="434"/>
      <c r="BO29" s="434"/>
      <c r="BP29" s="434"/>
      <c r="BQ29" s="434"/>
      <c r="BR29" s="434"/>
      <c r="BS29" s="434"/>
      <c r="BT29" s="434"/>
      <c r="BU29" s="434"/>
      <c r="BV29" s="434"/>
      <c r="BW29" s="434"/>
      <c r="BX29" s="434"/>
      <c r="BY29" s="434"/>
      <c r="BZ29" s="434"/>
      <c r="CA29" s="434"/>
      <c r="CB29" s="434"/>
      <c r="CC29" s="434"/>
      <c r="CD29" s="434"/>
      <c r="CE29" s="434"/>
      <c r="CF29" s="434"/>
      <c r="CG29" s="434"/>
      <c r="CH29" s="434"/>
      <c r="CI29" s="434"/>
      <c r="CJ29" s="434"/>
      <c r="CK29" s="434"/>
      <c r="CL29" s="434"/>
      <c r="CM29" s="434"/>
      <c r="CN29" s="434"/>
      <c r="CO29" s="434"/>
      <c r="CP29" s="434"/>
      <c r="CQ29" s="434"/>
      <c r="CR29" s="434"/>
      <c r="CS29" s="434"/>
      <c r="CT29" s="434"/>
      <c r="CU29" s="434"/>
      <c r="CV29" s="434"/>
      <c r="CW29" s="434"/>
      <c r="CX29" s="434"/>
      <c r="CY29" s="434"/>
      <c r="CZ29" s="434"/>
      <c r="DA29" s="434"/>
      <c r="DB29" s="434"/>
      <c r="DC29" s="434"/>
      <c r="DD29" s="434"/>
      <c r="DE29" s="434"/>
      <c r="DF29" s="434"/>
      <c r="DG29" s="434"/>
      <c r="DH29" s="434"/>
      <c r="DI29" s="434"/>
      <c r="DJ29" s="434"/>
      <c r="DK29" s="434"/>
      <c r="DL29" s="434"/>
      <c r="DM29" s="434"/>
      <c r="DN29" s="434"/>
      <c r="DO29" s="434"/>
      <c r="DP29" s="434"/>
      <c r="DQ29" s="434"/>
      <c r="DR29" s="434"/>
      <c r="DS29" s="434"/>
      <c r="DT29" s="434"/>
      <c r="DU29" s="434"/>
      <c r="DV29" s="434"/>
      <c r="DW29" s="434"/>
      <c r="DX29" s="434"/>
      <c r="DY29" s="434"/>
      <c r="DZ29" s="434"/>
      <c r="EA29" s="434"/>
      <c r="EB29" s="434"/>
      <c r="EC29" s="434"/>
      <c r="ED29" s="434"/>
      <c r="EE29" s="434"/>
      <c r="EF29" s="434"/>
      <c r="EG29" s="434"/>
      <c r="EH29" s="434"/>
      <c r="EI29" s="434"/>
      <c r="EJ29" s="434"/>
      <c r="EK29" s="434"/>
      <c r="EL29" s="434"/>
      <c r="EM29" s="434"/>
      <c r="EN29" s="434"/>
      <c r="EO29" s="434"/>
      <c r="EP29" s="434"/>
      <c r="EQ29" s="434"/>
      <c r="ER29" s="434"/>
      <c r="ES29" s="434"/>
      <c r="ET29" s="434"/>
      <c r="EU29" s="434"/>
      <c r="EV29" s="434"/>
      <c r="EW29" s="434"/>
      <c r="EX29" s="434"/>
      <c r="EY29" s="434"/>
      <c r="EZ29" s="434"/>
      <c r="FA29" s="434"/>
      <c r="FB29" s="434"/>
      <c r="FC29" s="434"/>
      <c r="FD29" s="434"/>
      <c r="FE29" s="434"/>
      <c r="FF29" s="434"/>
      <c r="FG29" s="434"/>
      <c r="FH29" s="434"/>
      <c r="FI29" s="434"/>
      <c r="FJ29" s="434"/>
      <c r="FK29" s="434"/>
      <c r="FL29" s="434"/>
      <c r="FM29" s="434"/>
      <c r="FN29" s="434"/>
      <c r="FO29" s="434"/>
      <c r="FP29" s="434"/>
      <c r="FQ29" s="434"/>
      <c r="FR29" s="434"/>
      <c r="FS29" s="434"/>
      <c r="FT29" s="434"/>
      <c r="FU29" s="434"/>
      <c r="FV29" s="434"/>
      <c r="FW29" s="434"/>
      <c r="FX29" s="434"/>
      <c r="FY29" s="434"/>
      <c r="FZ29" s="434"/>
      <c r="GA29" s="434"/>
      <c r="GB29" s="434"/>
      <c r="GC29" s="434"/>
      <c r="GD29" s="434"/>
      <c r="GE29" s="434"/>
      <c r="GF29" s="434"/>
      <c r="GG29" s="434"/>
      <c r="GH29" s="434"/>
      <c r="GI29" s="434"/>
      <c r="GJ29" s="434"/>
      <c r="GK29" s="434"/>
      <c r="GL29" s="434"/>
      <c r="GM29" s="434"/>
      <c r="GN29" s="434"/>
    </row>
    <row r="30" spans="1:196" ht="15" customHeight="1">
      <c r="A30" s="1188" t="s">
        <v>5970</v>
      </c>
      <c r="B30" s="140">
        <v>29</v>
      </c>
      <c r="C30" s="43">
        <v>525588</v>
      </c>
      <c r="D30" s="1054" t="s">
        <v>5971</v>
      </c>
      <c r="E30" s="648" t="s">
        <v>5972</v>
      </c>
      <c r="F30" s="845">
        <v>46147</v>
      </c>
      <c r="G30" s="140">
        <v>54</v>
      </c>
      <c r="H30" s="845">
        <v>26330</v>
      </c>
      <c r="I30" s="845">
        <v>46147</v>
      </c>
      <c r="J30" s="1169" t="s">
        <v>5872</v>
      </c>
      <c r="K30" s="140" t="s">
        <v>5973</v>
      </c>
      <c r="L30" s="140" t="s">
        <v>461</v>
      </c>
      <c r="M30" s="140">
        <v>965324425</v>
      </c>
      <c r="N30" s="140"/>
      <c r="O30" s="1169" t="s">
        <v>5865</v>
      </c>
      <c r="P30" s="1205" t="s">
        <v>5866</v>
      </c>
      <c r="Q30" s="1061" t="s">
        <v>5867</v>
      </c>
      <c r="R30" s="1206" t="s">
        <v>162</v>
      </c>
      <c r="S30" s="1087" t="s">
        <v>5868</v>
      </c>
      <c r="T30" s="1087" t="s">
        <v>5873</v>
      </c>
      <c r="U30" s="1207">
        <v>46147</v>
      </c>
      <c r="V30" s="1208">
        <v>0.2986111111111111</v>
      </c>
      <c r="W30" s="1207">
        <v>46147</v>
      </c>
      <c r="X30" s="1209" t="s">
        <v>376</v>
      </c>
      <c r="Y30" s="1169" t="s">
        <v>3111</v>
      </c>
      <c r="Z30" s="1210" t="s">
        <v>4477</v>
      </c>
      <c r="AA30" s="1211">
        <v>46149</v>
      </c>
      <c r="AB30" s="244"/>
      <c r="AC30" s="1178"/>
      <c r="AD30" s="1178"/>
      <c r="AE30" s="43"/>
      <c r="AF30" s="43"/>
      <c r="AG30" s="43"/>
      <c r="AH30" s="43"/>
      <c r="AI30" s="43"/>
      <c r="AJ30" s="43"/>
      <c r="AK30" s="43"/>
      <c r="AL30" s="43"/>
      <c r="AM30" s="43"/>
      <c r="AN30" s="43"/>
      <c r="AO30" s="43"/>
      <c r="AP30" s="43"/>
      <c r="AQ30" s="43"/>
      <c r="AR30" s="434"/>
      <c r="AS30" s="434"/>
      <c r="AT30" s="434"/>
      <c r="AU30" s="434"/>
      <c r="AV30" s="434"/>
      <c r="AW30" s="434"/>
      <c r="AX30" s="434"/>
      <c r="AY30" s="434"/>
      <c r="AZ30" s="434"/>
      <c r="BA30" s="434"/>
      <c r="BB30" s="434"/>
      <c r="BC30" s="434"/>
      <c r="BD30" s="434"/>
      <c r="BE30" s="434"/>
      <c r="BF30" s="434"/>
      <c r="BG30" s="434"/>
      <c r="BH30" s="434"/>
      <c r="BI30" s="434"/>
      <c r="BJ30" s="434"/>
      <c r="BK30" s="434"/>
      <c r="BL30" s="434"/>
      <c r="BM30" s="434"/>
      <c r="BN30" s="434"/>
      <c r="BO30" s="434"/>
      <c r="BP30" s="434"/>
      <c r="BQ30" s="434"/>
      <c r="BR30" s="434"/>
      <c r="BS30" s="434"/>
      <c r="BT30" s="434"/>
      <c r="BU30" s="434"/>
      <c r="BV30" s="434"/>
      <c r="BW30" s="434"/>
      <c r="BX30" s="434"/>
      <c r="BY30" s="434"/>
      <c r="BZ30" s="434"/>
      <c r="CA30" s="434"/>
      <c r="CB30" s="434"/>
      <c r="CC30" s="434"/>
      <c r="CD30" s="434"/>
      <c r="CE30" s="434"/>
      <c r="CF30" s="434"/>
      <c r="CG30" s="434"/>
      <c r="CH30" s="434"/>
      <c r="CI30" s="434"/>
      <c r="CJ30" s="434"/>
      <c r="CK30" s="434"/>
      <c r="CL30" s="434"/>
      <c r="CM30" s="434"/>
      <c r="CN30" s="434"/>
      <c r="CO30" s="434"/>
      <c r="CP30" s="434"/>
      <c r="CQ30" s="434"/>
      <c r="CR30" s="434"/>
      <c r="CS30" s="434"/>
      <c r="CT30" s="434"/>
      <c r="CU30" s="434"/>
      <c r="CV30" s="434"/>
      <c r="CW30" s="434"/>
      <c r="CX30" s="434"/>
      <c r="CY30" s="434"/>
      <c r="CZ30" s="434"/>
      <c r="DA30" s="434"/>
      <c r="DB30" s="434"/>
      <c r="DC30" s="434"/>
      <c r="DD30" s="434"/>
      <c r="DE30" s="434"/>
      <c r="DF30" s="434"/>
      <c r="DG30" s="434"/>
      <c r="DH30" s="434"/>
      <c r="DI30" s="434"/>
      <c r="DJ30" s="434"/>
      <c r="DK30" s="434"/>
      <c r="DL30" s="434"/>
      <c r="DM30" s="434"/>
      <c r="DN30" s="434"/>
      <c r="DO30" s="434"/>
      <c r="DP30" s="434"/>
      <c r="DQ30" s="434"/>
      <c r="DR30" s="434"/>
      <c r="DS30" s="434"/>
      <c r="DT30" s="434"/>
      <c r="DU30" s="434"/>
      <c r="DV30" s="434"/>
      <c r="DW30" s="434"/>
      <c r="DX30" s="434"/>
      <c r="DY30" s="434"/>
      <c r="DZ30" s="434"/>
      <c r="EA30" s="434"/>
      <c r="EB30" s="434"/>
      <c r="EC30" s="434"/>
      <c r="ED30" s="434"/>
      <c r="EE30" s="434"/>
      <c r="EF30" s="434"/>
      <c r="EG30" s="434"/>
      <c r="EH30" s="434"/>
      <c r="EI30" s="434"/>
      <c r="EJ30" s="434"/>
      <c r="EK30" s="434"/>
      <c r="EL30" s="434"/>
      <c r="EM30" s="434"/>
      <c r="EN30" s="434"/>
      <c r="EO30" s="434"/>
      <c r="EP30" s="434"/>
      <c r="EQ30" s="434"/>
      <c r="ER30" s="434"/>
      <c r="ES30" s="434"/>
      <c r="ET30" s="434"/>
      <c r="EU30" s="434"/>
      <c r="EV30" s="434"/>
      <c r="EW30" s="434"/>
      <c r="EX30" s="434"/>
      <c r="EY30" s="434"/>
      <c r="EZ30" s="434"/>
      <c r="FA30" s="434"/>
      <c r="FB30" s="434"/>
      <c r="FC30" s="434"/>
      <c r="FD30" s="434"/>
      <c r="FE30" s="434"/>
      <c r="FF30" s="434"/>
      <c r="FG30" s="434"/>
      <c r="FH30" s="434"/>
      <c r="FI30" s="434"/>
      <c r="FJ30" s="434"/>
      <c r="FK30" s="434"/>
      <c r="FL30" s="434"/>
      <c r="FM30" s="434"/>
      <c r="FN30" s="434"/>
      <c r="FO30" s="434"/>
      <c r="FP30" s="434"/>
      <c r="FQ30" s="434"/>
      <c r="FR30" s="434"/>
      <c r="FS30" s="434"/>
      <c r="FT30" s="434"/>
      <c r="FU30" s="434"/>
      <c r="FV30" s="434"/>
      <c r="FW30" s="434"/>
      <c r="FX30" s="434"/>
      <c r="FY30" s="434"/>
      <c r="FZ30" s="434"/>
      <c r="GA30" s="434"/>
      <c r="GB30" s="434"/>
      <c r="GC30" s="434"/>
      <c r="GD30" s="434"/>
      <c r="GE30" s="434"/>
      <c r="GF30" s="434"/>
      <c r="GG30" s="434"/>
      <c r="GH30" s="434"/>
      <c r="GI30" s="434"/>
      <c r="GJ30" s="434"/>
      <c r="GK30" s="434"/>
      <c r="GL30" s="434"/>
      <c r="GM30" s="434"/>
      <c r="GN30" s="434"/>
    </row>
    <row r="31" spans="1:196" ht="15" customHeight="1">
      <c r="A31" s="206"/>
      <c r="B31" s="140">
        <v>30</v>
      </c>
      <c r="C31" s="43">
        <v>525589</v>
      </c>
      <c r="D31" s="1054" t="s">
        <v>5974</v>
      </c>
      <c r="E31" s="648" t="s">
        <v>5975</v>
      </c>
      <c r="F31" s="845">
        <v>46147</v>
      </c>
      <c r="G31" s="140">
        <v>59</v>
      </c>
      <c r="H31" s="845">
        <v>24452</v>
      </c>
      <c r="I31" s="845">
        <v>46147</v>
      </c>
      <c r="J31" s="1169" t="s">
        <v>5872</v>
      </c>
      <c r="K31" s="140" t="s">
        <v>5976</v>
      </c>
      <c r="L31" s="140" t="s">
        <v>461</v>
      </c>
      <c r="M31" s="140">
        <v>900765529</v>
      </c>
      <c r="N31" s="140"/>
      <c r="O31" s="1169" t="s">
        <v>5865</v>
      </c>
      <c r="P31" s="1205" t="s">
        <v>5866</v>
      </c>
      <c r="Q31" s="1061" t="s">
        <v>5867</v>
      </c>
      <c r="R31" s="140" t="s">
        <v>421</v>
      </c>
      <c r="S31" s="43" t="s">
        <v>5868</v>
      </c>
      <c r="T31" s="43" t="s">
        <v>5873</v>
      </c>
      <c r="U31" s="845">
        <v>46147</v>
      </c>
      <c r="V31" s="1201">
        <v>0.30555555555555558</v>
      </c>
      <c r="W31" s="845">
        <v>46147</v>
      </c>
      <c r="X31" s="1209" t="s">
        <v>376</v>
      </c>
      <c r="Y31" s="1169" t="s">
        <v>3111</v>
      </c>
      <c r="Z31" s="1210" t="s">
        <v>4477</v>
      </c>
      <c r="AA31" s="1211">
        <v>46149</v>
      </c>
      <c r="AB31" s="244"/>
      <c r="AC31" s="1178"/>
      <c r="AD31" s="1178"/>
      <c r="AE31" s="43"/>
      <c r="AF31" s="43"/>
      <c r="AG31" s="43"/>
      <c r="AH31" s="43"/>
      <c r="AI31" s="43"/>
      <c r="AJ31" s="43"/>
      <c r="AK31" s="43"/>
      <c r="AL31" s="43"/>
      <c r="AM31" s="43"/>
      <c r="AN31" s="43"/>
      <c r="AO31" s="43"/>
      <c r="AP31" s="43"/>
      <c r="AQ31" s="43"/>
      <c r="AR31" s="434"/>
      <c r="AS31" s="434"/>
      <c r="AT31" s="434"/>
      <c r="AU31" s="434"/>
      <c r="AV31" s="434"/>
      <c r="AW31" s="434"/>
      <c r="AX31" s="434"/>
      <c r="AY31" s="434"/>
      <c r="AZ31" s="434"/>
      <c r="BA31" s="434"/>
      <c r="BB31" s="434"/>
      <c r="BC31" s="434"/>
      <c r="BD31" s="434"/>
      <c r="BE31" s="434"/>
      <c r="BF31" s="434"/>
      <c r="BG31" s="434"/>
      <c r="BH31" s="434"/>
      <c r="BI31" s="434"/>
      <c r="BJ31" s="434"/>
      <c r="BK31" s="434"/>
      <c r="BL31" s="434"/>
      <c r="BM31" s="434"/>
      <c r="BN31" s="434"/>
      <c r="BO31" s="434"/>
      <c r="BP31" s="434"/>
      <c r="BQ31" s="434"/>
      <c r="BR31" s="434"/>
      <c r="BS31" s="434"/>
      <c r="BT31" s="434"/>
      <c r="BU31" s="434"/>
      <c r="BV31" s="434"/>
      <c r="BW31" s="434"/>
      <c r="BX31" s="434"/>
      <c r="BY31" s="434"/>
      <c r="BZ31" s="434"/>
      <c r="CA31" s="434"/>
      <c r="CB31" s="434"/>
      <c r="CC31" s="434"/>
      <c r="CD31" s="434"/>
      <c r="CE31" s="434"/>
      <c r="CF31" s="434"/>
      <c r="CG31" s="434"/>
      <c r="CH31" s="434"/>
      <c r="CI31" s="434"/>
      <c r="CJ31" s="434"/>
      <c r="CK31" s="434"/>
      <c r="CL31" s="434"/>
      <c r="CM31" s="434"/>
      <c r="CN31" s="434"/>
      <c r="CO31" s="434"/>
      <c r="CP31" s="434"/>
      <c r="CQ31" s="434"/>
      <c r="CR31" s="434"/>
      <c r="CS31" s="434"/>
      <c r="CT31" s="434"/>
      <c r="CU31" s="434"/>
      <c r="CV31" s="434"/>
      <c r="CW31" s="434"/>
      <c r="CX31" s="434"/>
      <c r="CY31" s="434"/>
      <c r="CZ31" s="434"/>
      <c r="DA31" s="434"/>
      <c r="DB31" s="434"/>
      <c r="DC31" s="434"/>
      <c r="DD31" s="434"/>
      <c r="DE31" s="434"/>
      <c r="DF31" s="434"/>
      <c r="DG31" s="434"/>
      <c r="DH31" s="434"/>
      <c r="DI31" s="434"/>
      <c r="DJ31" s="434"/>
      <c r="DK31" s="434"/>
      <c r="DL31" s="434"/>
      <c r="DM31" s="434"/>
      <c r="DN31" s="434"/>
      <c r="DO31" s="434"/>
      <c r="DP31" s="434"/>
      <c r="DQ31" s="434"/>
      <c r="DR31" s="434"/>
      <c r="DS31" s="434"/>
      <c r="DT31" s="434"/>
      <c r="DU31" s="434"/>
      <c r="DV31" s="434"/>
      <c r="DW31" s="434"/>
      <c r="DX31" s="434"/>
      <c r="DY31" s="434"/>
      <c r="DZ31" s="434"/>
      <c r="EA31" s="434"/>
      <c r="EB31" s="434"/>
      <c r="EC31" s="434"/>
      <c r="ED31" s="434"/>
      <c r="EE31" s="434"/>
      <c r="EF31" s="434"/>
      <c r="EG31" s="434"/>
      <c r="EH31" s="434"/>
      <c r="EI31" s="434"/>
      <c r="EJ31" s="434"/>
      <c r="EK31" s="434"/>
      <c r="EL31" s="434"/>
      <c r="EM31" s="434"/>
      <c r="EN31" s="434"/>
      <c r="EO31" s="434"/>
      <c r="EP31" s="434"/>
      <c r="EQ31" s="434"/>
      <c r="ER31" s="434"/>
      <c r="ES31" s="434"/>
      <c r="ET31" s="434"/>
      <c r="EU31" s="434"/>
      <c r="EV31" s="434"/>
      <c r="EW31" s="434"/>
      <c r="EX31" s="434"/>
      <c r="EY31" s="434"/>
      <c r="EZ31" s="434"/>
      <c r="FA31" s="434"/>
      <c r="FB31" s="434"/>
      <c r="FC31" s="434"/>
      <c r="FD31" s="434"/>
      <c r="FE31" s="434"/>
      <c r="FF31" s="434"/>
      <c r="FG31" s="434"/>
      <c r="FH31" s="434"/>
      <c r="FI31" s="434"/>
      <c r="FJ31" s="434"/>
      <c r="FK31" s="434"/>
      <c r="FL31" s="434"/>
      <c r="FM31" s="434"/>
      <c r="FN31" s="434"/>
      <c r="FO31" s="434"/>
      <c r="FP31" s="434"/>
      <c r="FQ31" s="434"/>
      <c r="FR31" s="434"/>
      <c r="FS31" s="434"/>
      <c r="FT31" s="434"/>
      <c r="FU31" s="434"/>
      <c r="FV31" s="434"/>
      <c r="FW31" s="434"/>
      <c r="FX31" s="434"/>
      <c r="FY31" s="434"/>
      <c r="FZ31" s="434"/>
      <c r="GA31" s="434"/>
      <c r="GB31" s="434"/>
      <c r="GC31" s="434"/>
      <c r="GD31" s="434"/>
      <c r="GE31" s="434"/>
      <c r="GF31" s="434"/>
      <c r="GG31" s="434"/>
      <c r="GH31" s="434"/>
      <c r="GI31" s="434"/>
      <c r="GJ31" s="434"/>
      <c r="GK31" s="434"/>
      <c r="GL31" s="434"/>
      <c r="GM31" s="434"/>
      <c r="GN31" s="434"/>
    </row>
    <row r="32" spans="1:196" ht="15" customHeight="1">
      <c r="A32" s="206"/>
      <c r="B32" s="140">
        <v>31</v>
      </c>
      <c r="C32" s="43">
        <v>525590</v>
      </c>
      <c r="D32" s="1054" t="s">
        <v>5977</v>
      </c>
      <c r="E32" s="648" t="s">
        <v>5978</v>
      </c>
      <c r="F32" s="845">
        <v>46147</v>
      </c>
      <c r="G32" s="140">
        <v>56</v>
      </c>
      <c r="H32" s="845">
        <v>25491</v>
      </c>
      <c r="I32" s="845">
        <v>46147</v>
      </c>
      <c r="J32" s="1169" t="s">
        <v>5872</v>
      </c>
      <c r="K32" s="43" t="s">
        <v>5979</v>
      </c>
      <c r="L32" s="43" t="s">
        <v>461</v>
      </c>
      <c r="M32" s="140">
        <v>965112318</v>
      </c>
      <c r="N32" s="43"/>
      <c r="O32" s="1169" t="s">
        <v>5865</v>
      </c>
      <c r="P32" s="325" t="s">
        <v>5866</v>
      </c>
      <c r="Q32" s="1061" t="s">
        <v>5867</v>
      </c>
      <c r="R32" s="43" t="s">
        <v>164</v>
      </c>
      <c r="S32" s="43" t="s">
        <v>5868</v>
      </c>
      <c r="T32" s="43" t="s">
        <v>5873</v>
      </c>
      <c r="U32" s="845">
        <v>46147</v>
      </c>
      <c r="V32" s="1201">
        <v>0.3125</v>
      </c>
      <c r="W32" s="845">
        <v>46147</v>
      </c>
      <c r="X32" s="1209" t="s">
        <v>376</v>
      </c>
      <c r="Y32" s="1169" t="s">
        <v>3111</v>
      </c>
      <c r="Z32" s="1210" t="s">
        <v>4477</v>
      </c>
      <c r="AA32" s="1211">
        <v>46149</v>
      </c>
      <c r="AB32" s="244"/>
      <c r="AC32" s="1178"/>
      <c r="AD32" s="1178"/>
      <c r="AE32" s="43"/>
      <c r="AF32" s="43"/>
      <c r="AG32" s="43"/>
      <c r="AH32" s="43"/>
      <c r="AI32" s="43"/>
      <c r="AJ32" s="43"/>
      <c r="AK32" s="43"/>
      <c r="AL32" s="43"/>
      <c r="AM32" s="43"/>
      <c r="AN32" s="43"/>
      <c r="AO32" s="43"/>
      <c r="AP32" s="43"/>
      <c r="AQ32" s="43"/>
      <c r="AR32" s="434"/>
      <c r="AS32" s="434"/>
      <c r="AT32" s="434"/>
      <c r="AU32" s="434"/>
      <c r="AV32" s="434"/>
      <c r="AW32" s="434"/>
      <c r="AX32" s="434"/>
      <c r="AY32" s="434"/>
      <c r="AZ32" s="434"/>
      <c r="BA32" s="434"/>
      <c r="BB32" s="434"/>
      <c r="BC32" s="434"/>
      <c r="BD32" s="434"/>
      <c r="BE32" s="434"/>
      <c r="BF32" s="434"/>
      <c r="BG32" s="434"/>
      <c r="BH32" s="434"/>
      <c r="BI32" s="434"/>
      <c r="BJ32" s="434"/>
      <c r="BK32" s="434"/>
      <c r="BL32" s="434"/>
      <c r="BM32" s="434"/>
      <c r="BN32" s="434"/>
      <c r="BO32" s="434"/>
      <c r="BP32" s="434"/>
      <c r="BQ32" s="434"/>
      <c r="BR32" s="434"/>
      <c r="BS32" s="434"/>
      <c r="BT32" s="434"/>
      <c r="BU32" s="434"/>
      <c r="BV32" s="434"/>
      <c r="BW32" s="434"/>
      <c r="BX32" s="434"/>
      <c r="BY32" s="434"/>
      <c r="BZ32" s="434"/>
      <c r="CA32" s="434"/>
      <c r="CB32" s="434"/>
      <c r="CC32" s="434"/>
      <c r="CD32" s="434"/>
      <c r="CE32" s="434"/>
      <c r="CF32" s="434"/>
      <c r="CG32" s="434"/>
      <c r="CH32" s="434"/>
      <c r="CI32" s="434"/>
      <c r="CJ32" s="434"/>
      <c r="CK32" s="434"/>
      <c r="CL32" s="434"/>
      <c r="CM32" s="434"/>
      <c r="CN32" s="434"/>
      <c r="CO32" s="434"/>
      <c r="CP32" s="434"/>
      <c r="CQ32" s="434"/>
      <c r="CR32" s="434"/>
      <c r="CS32" s="434"/>
      <c r="CT32" s="434"/>
      <c r="CU32" s="434"/>
      <c r="CV32" s="434"/>
      <c r="CW32" s="434"/>
      <c r="CX32" s="434"/>
      <c r="CY32" s="434"/>
      <c r="CZ32" s="434"/>
      <c r="DA32" s="434"/>
      <c r="DB32" s="434"/>
      <c r="DC32" s="434"/>
      <c r="DD32" s="434"/>
      <c r="DE32" s="434"/>
      <c r="DF32" s="434"/>
      <c r="DG32" s="434"/>
      <c r="DH32" s="434"/>
      <c r="DI32" s="434"/>
      <c r="DJ32" s="434"/>
      <c r="DK32" s="434"/>
      <c r="DL32" s="434"/>
      <c r="DM32" s="434"/>
      <c r="DN32" s="434"/>
      <c r="DO32" s="434"/>
      <c r="DP32" s="434"/>
      <c r="DQ32" s="434"/>
      <c r="DR32" s="434"/>
      <c r="DS32" s="434"/>
      <c r="DT32" s="434"/>
      <c r="DU32" s="434"/>
      <c r="DV32" s="434"/>
      <c r="DW32" s="434"/>
      <c r="DX32" s="434"/>
      <c r="DY32" s="434"/>
      <c r="DZ32" s="434"/>
      <c r="EA32" s="434"/>
      <c r="EB32" s="434"/>
      <c r="EC32" s="434"/>
      <c r="ED32" s="434"/>
      <c r="EE32" s="434"/>
      <c r="EF32" s="434"/>
      <c r="EG32" s="434"/>
      <c r="EH32" s="434"/>
      <c r="EI32" s="434"/>
      <c r="EJ32" s="434"/>
      <c r="EK32" s="434"/>
      <c r="EL32" s="434"/>
      <c r="EM32" s="434"/>
      <c r="EN32" s="434"/>
      <c r="EO32" s="434"/>
      <c r="EP32" s="434"/>
      <c r="EQ32" s="434"/>
      <c r="ER32" s="434"/>
      <c r="ES32" s="434"/>
      <c r="ET32" s="434"/>
      <c r="EU32" s="434"/>
      <c r="EV32" s="434"/>
      <c r="EW32" s="434"/>
      <c r="EX32" s="434"/>
      <c r="EY32" s="434"/>
      <c r="EZ32" s="434"/>
      <c r="FA32" s="434"/>
      <c r="FB32" s="434"/>
      <c r="FC32" s="434"/>
      <c r="FD32" s="434"/>
      <c r="FE32" s="434"/>
      <c r="FF32" s="434"/>
      <c r="FG32" s="434"/>
      <c r="FH32" s="434"/>
      <c r="FI32" s="434"/>
      <c r="FJ32" s="434"/>
      <c r="FK32" s="434"/>
      <c r="FL32" s="434"/>
      <c r="FM32" s="434"/>
      <c r="FN32" s="434"/>
      <c r="FO32" s="434"/>
      <c r="FP32" s="434"/>
      <c r="FQ32" s="434"/>
      <c r="FR32" s="434"/>
      <c r="FS32" s="434"/>
      <c r="FT32" s="434"/>
      <c r="FU32" s="434"/>
      <c r="FV32" s="434"/>
      <c r="FW32" s="434"/>
      <c r="FX32" s="434"/>
      <c r="FY32" s="434"/>
      <c r="FZ32" s="434"/>
      <c r="GA32" s="434"/>
      <c r="GB32" s="434"/>
      <c r="GC32" s="434"/>
      <c r="GD32" s="434"/>
      <c r="GE32" s="434"/>
      <c r="GF32" s="434"/>
      <c r="GG32" s="434"/>
      <c r="GH32" s="434"/>
      <c r="GI32" s="434"/>
      <c r="GJ32" s="434"/>
      <c r="GK32" s="434"/>
      <c r="GL32" s="434"/>
      <c r="GM32" s="434"/>
      <c r="GN32" s="434"/>
    </row>
    <row r="33" spans="1:196" ht="15" customHeight="1">
      <c r="A33" s="206"/>
      <c r="B33" s="140">
        <v>32</v>
      </c>
      <c r="C33" s="43">
        <v>86569</v>
      </c>
      <c r="D33" s="1054" t="s">
        <v>5980</v>
      </c>
      <c r="E33" s="648" t="s">
        <v>5981</v>
      </c>
      <c r="F33" s="845">
        <v>46147</v>
      </c>
      <c r="G33" s="140">
        <v>47</v>
      </c>
      <c r="H33" s="845">
        <v>28881</v>
      </c>
      <c r="I33" s="845">
        <v>46147</v>
      </c>
      <c r="J33" s="1169" t="s">
        <v>5872</v>
      </c>
      <c r="K33" s="43" t="s">
        <v>5982</v>
      </c>
      <c r="L33" s="43" t="s">
        <v>326</v>
      </c>
      <c r="M33" s="140">
        <v>916375196</v>
      </c>
      <c r="N33" s="43"/>
      <c r="O33" s="1169" t="s">
        <v>5865</v>
      </c>
      <c r="P33" s="325" t="s">
        <v>5866</v>
      </c>
      <c r="Q33" s="1061" t="s">
        <v>5867</v>
      </c>
      <c r="R33" s="43" t="s">
        <v>1527</v>
      </c>
      <c r="S33" s="43" t="s">
        <v>5868</v>
      </c>
      <c r="T33" s="43" t="s">
        <v>5873</v>
      </c>
      <c r="U33" s="845">
        <v>46147</v>
      </c>
      <c r="V33" s="1201">
        <v>0.31944444444444442</v>
      </c>
      <c r="W33" s="845">
        <v>46147</v>
      </c>
      <c r="X33" s="1060" t="s">
        <v>5983</v>
      </c>
      <c r="Y33" s="1143" t="s">
        <v>5893</v>
      </c>
      <c r="Z33" s="1203" t="s">
        <v>1676</v>
      </c>
      <c r="AA33" s="46"/>
      <c r="AB33" s="244"/>
      <c r="AC33" s="1178"/>
      <c r="AD33" s="1178"/>
      <c r="AE33" s="43"/>
      <c r="AF33" s="43"/>
      <c r="AG33" s="43"/>
      <c r="AH33" s="43"/>
      <c r="AI33" s="43"/>
      <c r="AJ33" s="43"/>
      <c r="AK33" s="43"/>
      <c r="AL33" s="43"/>
      <c r="AM33" s="43"/>
      <c r="AN33" s="43"/>
      <c r="AO33" s="43"/>
      <c r="AP33" s="43"/>
      <c r="AQ33" s="43"/>
      <c r="AR33" s="434"/>
      <c r="AS33" s="434"/>
      <c r="AT33" s="434"/>
      <c r="AU33" s="434"/>
      <c r="AV33" s="434"/>
      <c r="AW33" s="434"/>
      <c r="AX33" s="434"/>
      <c r="AY33" s="434"/>
      <c r="AZ33" s="434"/>
      <c r="BA33" s="434"/>
      <c r="BB33" s="434"/>
      <c r="BC33" s="434"/>
      <c r="BD33" s="434"/>
      <c r="BE33" s="434"/>
      <c r="BF33" s="434"/>
      <c r="BG33" s="434"/>
      <c r="BH33" s="434"/>
      <c r="BI33" s="434"/>
      <c r="BJ33" s="434"/>
      <c r="BK33" s="434"/>
      <c r="BL33" s="434"/>
      <c r="BM33" s="434"/>
      <c r="BN33" s="434"/>
      <c r="BO33" s="434"/>
      <c r="BP33" s="434"/>
      <c r="BQ33" s="434"/>
      <c r="BR33" s="434"/>
      <c r="BS33" s="434"/>
      <c r="BT33" s="434"/>
      <c r="BU33" s="434"/>
      <c r="BV33" s="434"/>
      <c r="BW33" s="434"/>
      <c r="BX33" s="434"/>
      <c r="BY33" s="434"/>
      <c r="BZ33" s="434"/>
      <c r="CA33" s="434"/>
      <c r="CB33" s="434"/>
      <c r="CC33" s="434"/>
      <c r="CD33" s="434"/>
      <c r="CE33" s="434"/>
      <c r="CF33" s="434"/>
      <c r="CG33" s="434"/>
      <c r="CH33" s="434"/>
      <c r="CI33" s="434"/>
      <c r="CJ33" s="434"/>
      <c r="CK33" s="434"/>
      <c r="CL33" s="434"/>
      <c r="CM33" s="434"/>
      <c r="CN33" s="434"/>
      <c r="CO33" s="434"/>
      <c r="CP33" s="434"/>
      <c r="CQ33" s="434"/>
      <c r="CR33" s="434"/>
      <c r="CS33" s="434"/>
      <c r="CT33" s="434"/>
      <c r="CU33" s="434"/>
      <c r="CV33" s="434"/>
      <c r="CW33" s="434"/>
      <c r="CX33" s="434"/>
      <c r="CY33" s="434"/>
      <c r="CZ33" s="434"/>
      <c r="DA33" s="434"/>
      <c r="DB33" s="434"/>
      <c r="DC33" s="434"/>
      <c r="DD33" s="434"/>
      <c r="DE33" s="434"/>
      <c r="DF33" s="434"/>
      <c r="DG33" s="434"/>
      <c r="DH33" s="434"/>
      <c r="DI33" s="434"/>
      <c r="DJ33" s="434"/>
      <c r="DK33" s="434"/>
      <c r="DL33" s="434"/>
      <c r="DM33" s="434"/>
      <c r="DN33" s="434"/>
      <c r="DO33" s="434"/>
      <c r="DP33" s="434"/>
      <c r="DQ33" s="434"/>
      <c r="DR33" s="434"/>
      <c r="DS33" s="434"/>
      <c r="DT33" s="434"/>
      <c r="DU33" s="434"/>
      <c r="DV33" s="434"/>
      <c r="DW33" s="434"/>
      <c r="DX33" s="434"/>
      <c r="DY33" s="434"/>
      <c r="DZ33" s="434"/>
      <c r="EA33" s="434"/>
      <c r="EB33" s="434"/>
      <c r="EC33" s="434"/>
      <c r="ED33" s="434"/>
      <c r="EE33" s="434"/>
      <c r="EF33" s="434"/>
      <c r="EG33" s="434"/>
      <c r="EH33" s="434"/>
      <c r="EI33" s="434"/>
      <c r="EJ33" s="434"/>
      <c r="EK33" s="434"/>
      <c r="EL33" s="434"/>
      <c r="EM33" s="434"/>
      <c r="EN33" s="434"/>
      <c r="EO33" s="434"/>
      <c r="EP33" s="434"/>
      <c r="EQ33" s="434"/>
      <c r="ER33" s="434"/>
      <c r="ES33" s="434"/>
      <c r="ET33" s="434"/>
      <c r="EU33" s="434"/>
      <c r="EV33" s="434"/>
      <c r="EW33" s="434"/>
      <c r="EX33" s="434"/>
      <c r="EY33" s="434"/>
      <c r="EZ33" s="434"/>
      <c r="FA33" s="434"/>
      <c r="FB33" s="434"/>
      <c r="FC33" s="434"/>
      <c r="FD33" s="434"/>
      <c r="FE33" s="434"/>
      <c r="FF33" s="434"/>
      <c r="FG33" s="434"/>
      <c r="FH33" s="434"/>
      <c r="FI33" s="434"/>
      <c r="FJ33" s="434"/>
      <c r="FK33" s="434"/>
      <c r="FL33" s="434"/>
      <c r="FM33" s="434"/>
      <c r="FN33" s="434"/>
      <c r="FO33" s="434"/>
      <c r="FP33" s="434"/>
      <c r="FQ33" s="434"/>
      <c r="FR33" s="434"/>
      <c r="FS33" s="434"/>
      <c r="FT33" s="434"/>
      <c r="FU33" s="434"/>
      <c r="FV33" s="434"/>
      <c r="FW33" s="434"/>
      <c r="FX33" s="434"/>
      <c r="FY33" s="434"/>
      <c r="FZ33" s="434"/>
      <c r="GA33" s="434"/>
      <c r="GB33" s="434"/>
      <c r="GC33" s="434"/>
      <c r="GD33" s="434"/>
      <c r="GE33" s="434"/>
      <c r="GF33" s="434"/>
      <c r="GG33" s="434"/>
      <c r="GH33" s="434"/>
      <c r="GI33" s="434"/>
      <c r="GJ33" s="434"/>
      <c r="GK33" s="434"/>
      <c r="GL33" s="434"/>
      <c r="GM33" s="434"/>
      <c r="GN33" s="434"/>
    </row>
    <row r="34" spans="1:196" ht="15" customHeight="1">
      <c r="A34" s="206"/>
      <c r="B34" s="140">
        <v>33</v>
      </c>
      <c r="C34" s="43">
        <v>525591</v>
      </c>
      <c r="D34" s="1054" t="s">
        <v>5984</v>
      </c>
      <c r="E34" s="648" t="s">
        <v>5985</v>
      </c>
      <c r="F34" s="845">
        <v>46147</v>
      </c>
      <c r="G34" s="140">
        <v>43</v>
      </c>
      <c r="H34" s="845">
        <v>30106</v>
      </c>
      <c r="I34" s="845">
        <v>46147</v>
      </c>
      <c r="J34" s="43" t="s">
        <v>5986</v>
      </c>
      <c r="K34" s="43" t="s">
        <v>5987</v>
      </c>
      <c r="L34" s="43" t="s">
        <v>271</v>
      </c>
      <c r="M34" s="140">
        <v>935113037</v>
      </c>
      <c r="N34" s="43"/>
      <c r="O34" s="1169" t="s">
        <v>5865</v>
      </c>
      <c r="P34" s="325" t="s">
        <v>5866</v>
      </c>
      <c r="Q34" s="1061" t="s">
        <v>5867</v>
      </c>
      <c r="R34" s="43" t="s">
        <v>164</v>
      </c>
      <c r="S34" s="43" t="s">
        <v>5868</v>
      </c>
      <c r="T34" s="43" t="s">
        <v>5873</v>
      </c>
      <c r="U34" s="845">
        <v>46147</v>
      </c>
      <c r="V34" s="1201">
        <v>0.3263888888888889</v>
      </c>
      <c r="W34" s="845">
        <v>46147</v>
      </c>
      <c r="X34" s="1060" t="s">
        <v>388</v>
      </c>
      <c r="Y34" s="1169" t="s">
        <v>3111</v>
      </c>
      <c r="Z34" s="1203" t="s">
        <v>1676</v>
      </c>
      <c r="AA34" s="1211">
        <v>46149</v>
      </c>
      <c r="AB34" s="244"/>
      <c r="AC34" s="1178"/>
      <c r="AD34" s="1178"/>
      <c r="AE34" s="43"/>
      <c r="AF34" s="43"/>
      <c r="AG34" s="43"/>
      <c r="AH34" s="43"/>
      <c r="AI34" s="43"/>
      <c r="AJ34" s="43"/>
      <c r="AK34" s="43"/>
      <c r="AL34" s="43"/>
      <c r="AM34" s="43"/>
      <c r="AN34" s="43"/>
      <c r="AO34" s="43"/>
      <c r="AP34" s="43"/>
      <c r="AQ34" s="43"/>
      <c r="AR34" s="434"/>
      <c r="AS34" s="434"/>
      <c r="AT34" s="434"/>
      <c r="AU34" s="434"/>
      <c r="AV34" s="434"/>
      <c r="AW34" s="434"/>
      <c r="AX34" s="434"/>
      <c r="AY34" s="434"/>
      <c r="AZ34" s="434"/>
      <c r="BA34" s="434"/>
      <c r="BB34" s="434"/>
      <c r="BC34" s="434"/>
      <c r="BD34" s="434"/>
      <c r="BE34" s="434"/>
      <c r="BF34" s="434"/>
      <c r="BG34" s="434"/>
      <c r="BH34" s="434"/>
      <c r="BI34" s="434"/>
      <c r="BJ34" s="434"/>
      <c r="BK34" s="434"/>
      <c r="BL34" s="434"/>
      <c r="BM34" s="434"/>
      <c r="BN34" s="434"/>
      <c r="BO34" s="434"/>
      <c r="BP34" s="434"/>
      <c r="BQ34" s="434"/>
      <c r="BR34" s="434"/>
      <c r="BS34" s="434"/>
      <c r="BT34" s="434"/>
      <c r="BU34" s="434"/>
      <c r="BV34" s="434"/>
      <c r="BW34" s="434"/>
      <c r="BX34" s="434"/>
      <c r="BY34" s="434"/>
      <c r="BZ34" s="434"/>
      <c r="CA34" s="434"/>
      <c r="CB34" s="434"/>
      <c r="CC34" s="434"/>
      <c r="CD34" s="434"/>
      <c r="CE34" s="434"/>
      <c r="CF34" s="434"/>
      <c r="CG34" s="434"/>
      <c r="CH34" s="434"/>
      <c r="CI34" s="434"/>
      <c r="CJ34" s="434"/>
      <c r="CK34" s="434"/>
      <c r="CL34" s="434"/>
      <c r="CM34" s="434"/>
      <c r="CN34" s="434"/>
      <c r="CO34" s="434"/>
      <c r="CP34" s="434"/>
      <c r="CQ34" s="434"/>
      <c r="CR34" s="434"/>
      <c r="CS34" s="434"/>
      <c r="CT34" s="434"/>
      <c r="CU34" s="434"/>
      <c r="CV34" s="434"/>
      <c r="CW34" s="434"/>
      <c r="CX34" s="434"/>
      <c r="CY34" s="434"/>
      <c r="CZ34" s="434"/>
      <c r="DA34" s="434"/>
      <c r="DB34" s="434"/>
      <c r="DC34" s="434"/>
      <c r="DD34" s="434"/>
      <c r="DE34" s="434"/>
      <c r="DF34" s="434"/>
      <c r="DG34" s="434"/>
      <c r="DH34" s="434"/>
      <c r="DI34" s="434"/>
      <c r="DJ34" s="434"/>
      <c r="DK34" s="434"/>
      <c r="DL34" s="434"/>
      <c r="DM34" s="434"/>
      <c r="DN34" s="434"/>
      <c r="DO34" s="434"/>
      <c r="DP34" s="434"/>
      <c r="DQ34" s="434"/>
      <c r="DR34" s="434"/>
      <c r="DS34" s="434"/>
      <c r="DT34" s="434"/>
      <c r="DU34" s="434"/>
      <c r="DV34" s="434"/>
      <c r="DW34" s="434"/>
      <c r="DX34" s="434"/>
      <c r="DY34" s="434"/>
      <c r="DZ34" s="434"/>
      <c r="EA34" s="434"/>
      <c r="EB34" s="434"/>
      <c r="EC34" s="434"/>
      <c r="ED34" s="434"/>
      <c r="EE34" s="434"/>
      <c r="EF34" s="434"/>
      <c r="EG34" s="434"/>
      <c r="EH34" s="434"/>
      <c r="EI34" s="434"/>
      <c r="EJ34" s="434"/>
      <c r="EK34" s="434"/>
      <c r="EL34" s="434"/>
      <c r="EM34" s="434"/>
      <c r="EN34" s="434"/>
      <c r="EO34" s="434"/>
      <c r="EP34" s="434"/>
      <c r="EQ34" s="434"/>
      <c r="ER34" s="434"/>
      <c r="ES34" s="434"/>
      <c r="ET34" s="434"/>
      <c r="EU34" s="434"/>
      <c r="EV34" s="434"/>
      <c r="EW34" s="434"/>
      <c r="EX34" s="434"/>
      <c r="EY34" s="434"/>
      <c r="EZ34" s="434"/>
      <c r="FA34" s="434"/>
      <c r="FB34" s="434"/>
      <c r="FC34" s="434"/>
      <c r="FD34" s="434"/>
      <c r="FE34" s="434"/>
      <c r="FF34" s="434"/>
      <c r="FG34" s="434"/>
      <c r="FH34" s="434"/>
      <c r="FI34" s="434"/>
      <c r="FJ34" s="434"/>
      <c r="FK34" s="434"/>
      <c r="FL34" s="434"/>
      <c r="FM34" s="434"/>
      <c r="FN34" s="434"/>
      <c r="FO34" s="434"/>
      <c r="FP34" s="434"/>
      <c r="FQ34" s="434"/>
      <c r="FR34" s="434"/>
      <c r="FS34" s="434"/>
      <c r="FT34" s="434"/>
      <c r="FU34" s="434"/>
      <c r="FV34" s="434"/>
      <c r="FW34" s="434"/>
      <c r="FX34" s="434"/>
      <c r="FY34" s="434"/>
      <c r="FZ34" s="434"/>
      <c r="GA34" s="434"/>
      <c r="GB34" s="434"/>
      <c r="GC34" s="434"/>
      <c r="GD34" s="434"/>
      <c r="GE34" s="434"/>
      <c r="GF34" s="434"/>
      <c r="GG34" s="434"/>
      <c r="GH34" s="434"/>
      <c r="GI34" s="434"/>
      <c r="GJ34" s="434"/>
      <c r="GK34" s="434"/>
      <c r="GL34" s="434"/>
      <c r="GM34" s="434"/>
      <c r="GN34" s="434"/>
    </row>
    <row r="35" spans="1:196" ht="15" customHeight="1">
      <c r="A35" s="206"/>
      <c r="B35" s="140">
        <v>34</v>
      </c>
      <c r="C35" s="43">
        <v>88216</v>
      </c>
      <c r="D35" s="1054" t="s">
        <v>5988</v>
      </c>
      <c r="E35" s="648" t="s">
        <v>5989</v>
      </c>
      <c r="F35" s="845">
        <v>46147</v>
      </c>
      <c r="G35" s="140">
        <v>73</v>
      </c>
      <c r="H35" s="845">
        <v>19432</v>
      </c>
      <c r="I35" s="845">
        <v>46147</v>
      </c>
      <c r="J35" s="43" t="s">
        <v>5990</v>
      </c>
      <c r="K35" s="43" t="s">
        <v>5991</v>
      </c>
      <c r="L35" s="43" t="s">
        <v>2352</v>
      </c>
      <c r="M35" s="140">
        <v>977709916</v>
      </c>
      <c r="N35" s="43"/>
      <c r="O35" s="43" t="s">
        <v>5992</v>
      </c>
      <c r="P35" s="325" t="s">
        <v>5866</v>
      </c>
      <c r="Q35" s="43" t="s">
        <v>5992</v>
      </c>
      <c r="R35" s="43" t="s">
        <v>238</v>
      </c>
      <c r="S35" s="43" t="s">
        <v>5967</v>
      </c>
      <c r="T35" s="43" t="s">
        <v>5873</v>
      </c>
      <c r="U35" s="845">
        <v>46147</v>
      </c>
      <c r="V35" s="1201">
        <v>0.33333333333333331</v>
      </c>
      <c r="W35" s="845">
        <v>46147</v>
      </c>
      <c r="X35" t="s">
        <v>5993</v>
      </c>
      <c r="Y35" s="1169" t="s">
        <v>3111</v>
      </c>
      <c r="Z35" s="1203"/>
      <c r="AA35" s="1211">
        <v>46149</v>
      </c>
      <c r="AB35" s="244"/>
      <c r="AC35" s="1178"/>
      <c r="AD35" s="1178"/>
      <c r="AE35" s="43"/>
      <c r="AF35" s="43"/>
      <c r="AG35" s="43"/>
      <c r="AH35" s="43"/>
      <c r="AI35" s="43"/>
      <c r="AJ35" s="43"/>
      <c r="AK35" s="43"/>
      <c r="AL35" s="43"/>
      <c r="AM35" s="43"/>
      <c r="AN35" s="43"/>
      <c r="AO35" s="43"/>
      <c r="AP35" s="43"/>
      <c r="AQ35" s="43"/>
      <c r="AR35" s="434"/>
      <c r="AS35" s="434"/>
      <c r="AT35" s="434"/>
      <c r="AU35" s="434"/>
      <c r="AV35" s="434"/>
      <c r="AW35" s="434"/>
      <c r="AX35" s="434"/>
      <c r="AY35" s="434"/>
      <c r="AZ35" s="434"/>
      <c r="BA35" s="434"/>
      <c r="BB35" s="434"/>
      <c r="BC35" s="434"/>
      <c r="BD35" s="434"/>
      <c r="BE35" s="434"/>
      <c r="BF35" s="434"/>
      <c r="BG35" s="434"/>
      <c r="BH35" s="434"/>
      <c r="BI35" s="434"/>
      <c r="BJ35" s="434"/>
      <c r="BK35" s="434"/>
      <c r="BL35" s="434"/>
      <c r="BM35" s="434"/>
      <c r="BN35" s="434"/>
      <c r="BO35" s="434"/>
      <c r="BP35" s="434"/>
      <c r="BQ35" s="434"/>
      <c r="BR35" s="434"/>
      <c r="BS35" s="434"/>
      <c r="BT35" s="434"/>
      <c r="BU35" s="434"/>
      <c r="BV35" s="434"/>
      <c r="BW35" s="434"/>
      <c r="BX35" s="434"/>
      <c r="BY35" s="434"/>
      <c r="BZ35" s="434"/>
      <c r="CA35" s="434"/>
      <c r="CB35" s="434"/>
      <c r="CC35" s="434"/>
      <c r="CD35" s="434"/>
      <c r="CE35" s="434"/>
      <c r="CF35" s="434"/>
      <c r="CG35" s="434"/>
      <c r="CH35" s="434"/>
      <c r="CI35" s="434"/>
      <c r="CJ35" s="434"/>
      <c r="CK35" s="434"/>
      <c r="CL35" s="434"/>
      <c r="CM35" s="434"/>
      <c r="CN35" s="434"/>
      <c r="CO35" s="434"/>
      <c r="CP35" s="434"/>
      <c r="CQ35" s="434"/>
      <c r="CR35" s="434"/>
      <c r="CS35" s="434"/>
      <c r="CT35" s="434"/>
      <c r="CU35" s="434"/>
      <c r="CV35" s="434"/>
      <c r="CW35" s="434"/>
      <c r="CX35" s="434"/>
      <c r="CY35" s="434"/>
      <c r="CZ35" s="434"/>
      <c r="DA35" s="434"/>
      <c r="DB35" s="434"/>
      <c r="DC35" s="434"/>
      <c r="DD35" s="434"/>
      <c r="DE35" s="434"/>
      <c r="DF35" s="434"/>
      <c r="DG35" s="434"/>
      <c r="DH35" s="434"/>
      <c r="DI35" s="434"/>
      <c r="DJ35" s="434"/>
      <c r="DK35" s="434"/>
      <c r="DL35" s="434"/>
      <c r="DM35" s="434"/>
      <c r="DN35" s="434"/>
      <c r="DO35" s="434"/>
      <c r="DP35" s="434"/>
      <c r="DQ35" s="434"/>
      <c r="DR35" s="434"/>
      <c r="DS35" s="434"/>
      <c r="DT35" s="434"/>
      <c r="DU35" s="434"/>
      <c r="DV35" s="434"/>
      <c r="DW35" s="434"/>
      <c r="DX35" s="434"/>
      <c r="DY35" s="434"/>
      <c r="DZ35" s="434"/>
      <c r="EA35" s="434"/>
      <c r="EB35" s="434"/>
      <c r="EC35" s="434"/>
      <c r="ED35" s="434"/>
      <c r="EE35" s="434"/>
      <c r="EF35" s="434"/>
      <c r="EG35" s="434"/>
      <c r="EH35" s="434"/>
      <c r="EI35" s="434"/>
      <c r="EJ35" s="434"/>
      <c r="EK35" s="434"/>
      <c r="EL35" s="434"/>
      <c r="EM35" s="434"/>
      <c r="EN35" s="434"/>
      <c r="EO35" s="434"/>
      <c r="EP35" s="434"/>
      <c r="EQ35" s="434"/>
      <c r="ER35" s="434"/>
      <c r="ES35" s="434"/>
      <c r="ET35" s="434"/>
      <c r="EU35" s="434"/>
      <c r="EV35" s="434"/>
      <c r="EW35" s="434"/>
      <c r="EX35" s="434"/>
      <c r="EY35" s="434"/>
      <c r="EZ35" s="434"/>
      <c r="FA35" s="434"/>
      <c r="FB35" s="434"/>
      <c r="FC35" s="434"/>
      <c r="FD35" s="434"/>
      <c r="FE35" s="434"/>
      <c r="FF35" s="434"/>
      <c r="FG35" s="434"/>
      <c r="FH35" s="434"/>
      <c r="FI35" s="434"/>
      <c r="FJ35" s="434"/>
      <c r="FK35" s="434"/>
      <c r="FL35" s="434"/>
      <c r="FM35" s="434"/>
      <c r="FN35" s="434"/>
      <c r="FO35" s="434"/>
      <c r="FP35" s="434"/>
      <c r="FQ35" s="434"/>
      <c r="FR35" s="434"/>
      <c r="FS35" s="434"/>
      <c r="FT35" s="434"/>
      <c r="FU35" s="434"/>
      <c r="FV35" s="434"/>
      <c r="FW35" s="434"/>
      <c r="FX35" s="434"/>
      <c r="FY35" s="434"/>
      <c r="FZ35" s="434"/>
      <c r="GA35" s="434"/>
      <c r="GB35" s="434"/>
      <c r="GC35" s="434"/>
      <c r="GD35" s="434"/>
      <c r="GE35" s="434"/>
      <c r="GF35" s="434"/>
      <c r="GG35" s="434"/>
      <c r="GH35" s="434"/>
      <c r="GI35" s="434"/>
      <c r="GJ35" s="434"/>
      <c r="GK35" s="434"/>
      <c r="GL35" s="434"/>
      <c r="GM35" s="434"/>
      <c r="GN35" s="434"/>
    </row>
    <row r="36" spans="1:196" ht="15" customHeight="1">
      <c r="A36" s="983"/>
      <c r="B36" s="1212">
        <v>35</v>
      </c>
      <c r="C36" s="143">
        <v>322474</v>
      </c>
      <c r="D36" s="1213" t="s">
        <v>5994</v>
      </c>
      <c r="E36" s="984" t="s">
        <v>5995</v>
      </c>
      <c r="F36" s="1214">
        <v>46141</v>
      </c>
      <c r="G36" s="1212">
        <v>59</v>
      </c>
      <c r="H36" s="1214">
        <v>24429</v>
      </c>
      <c r="I36" s="1214">
        <v>46147</v>
      </c>
      <c r="J36" s="143" t="s">
        <v>5996</v>
      </c>
      <c r="K36" s="143" t="s">
        <v>5997</v>
      </c>
      <c r="L36" s="143" t="s">
        <v>237</v>
      </c>
      <c r="M36" s="1212">
        <v>907000535</v>
      </c>
      <c r="N36" s="143"/>
      <c r="O36" s="1169" t="s">
        <v>5865</v>
      </c>
      <c r="P36" s="60" t="s">
        <v>5866</v>
      </c>
      <c r="Q36" s="1061" t="s">
        <v>5867</v>
      </c>
      <c r="R36" s="143" t="s">
        <v>429</v>
      </c>
      <c r="S36" s="143" t="s">
        <v>5868</v>
      </c>
      <c r="T36" s="143" t="s">
        <v>5873</v>
      </c>
      <c r="U36" s="1214">
        <v>46147</v>
      </c>
      <c r="V36" s="1215">
        <v>0.34027777777777779</v>
      </c>
      <c r="W36" s="1214">
        <v>46147</v>
      </c>
      <c r="X36" s="1216" t="s">
        <v>5998</v>
      </c>
      <c r="Y36" s="1216" t="s">
        <v>3122</v>
      </c>
      <c r="Z36" s="1217" t="s">
        <v>1676</v>
      </c>
      <c r="AA36" s="143"/>
      <c r="AB36" s="932"/>
      <c r="AC36" s="1218"/>
      <c r="AD36" s="1218"/>
      <c r="AE36" s="143"/>
      <c r="AF36" s="143"/>
      <c r="AG36" s="143"/>
      <c r="AH36" s="143"/>
      <c r="AI36" s="143"/>
      <c r="AJ36" s="143"/>
      <c r="AK36" s="143"/>
      <c r="AL36" s="143"/>
      <c r="AM36" s="143"/>
      <c r="AN36" s="143"/>
      <c r="AO36" s="143"/>
      <c r="AP36" s="143"/>
      <c r="AQ36" s="143"/>
      <c r="AR36" s="1219"/>
      <c r="AS36" s="1219"/>
      <c r="AT36" s="1219"/>
      <c r="AU36" s="1219"/>
      <c r="AV36" s="1219"/>
      <c r="AW36" s="1219"/>
      <c r="AX36" s="1219"/>
      <c r="AY36" s="1219"/>
      <c r="AZ36" s="1219"/>
      <c r="BA36" s="1219"/>
      <c r="BB36" s="1219"/>
      <c r="BC36" s="1219"/>
      <c r="BD36" s="1219"/>
      <c r="BE36" s="1219"/>
      <c r="BF36" s="1219"/>
      <c r="BG36" s="1219"/>
      <c r="BH36" s="1219"/>
      <c r="BI36" s="1219"/>
      <c r="BJ36" s="1219"/>
      <c r="BK36" s="1219"/>
      <c r="BL36" s="1219"/>
      <c r="BM36" s="1219"/>
      <c r="BN36" s="1219"/>
      <c r="BO36" s="1219"/>
      <c r="BP36" s="1219"/>
      <c r="BQ36" s="1219"/>
      <c r="BR36" s="1219"/>
      <c r="BS36" s="1219"/>
      <c r="BT36" s="1219"/>
      <c r="BU36" s="1219"/>
      <c r="BV36" s="1219"/>
      <c r="BW36" s="1219"/>
      <c r="BX36" s="1219"/>
      <c r="BY36" s="1219"/>
      <c r="BZ36" s="1219"/>
      <c r="CA36" s="1219"/>
      <c r="CB36" s="1219"/>
      <c r="CC36" s="1219"/>
      <c r="CD36" s="1219"/>
      <c r="CE36" s="1219"/>
      <c r="CF36" s="1219"/>
      <c r="CG36" s="1219"/>
      <c r="CH36" s="1219"/>
      <c r="CI36" s="1219"/>
      <c r="CJ36" s="1219"/>
      <c r="CK36" s="1219"/>
      <c r="CL36" s="1219"/>
      <c r="CM36" s="1219"/>
      <c r="CN36" s="1219"/>
      <c r="CO36" s="1219"/>
      <c r="CP36" s="1219"/>
      <c r="CQ36" s="1219"/>
      <c r="CR36" s="1219"/>
      <c r="CS36" s="1219"/>
      <c r="CT36" s="1219"/>
      <c r="CU36" s="1219"/>
      <c r="CV36" s="1219"/>
      <c r="CW36" s="1219"/>
      <c r="CX36" s="1219"/>
      <c r="CY36" s="1219"/>
      <c r="CZ36" s="1219"/>
      <c r="DA36" s="1219"/>
      <c r="DB36" s="1219"/>
      <c r="DC36" s="1219"/>
      <c r="DD36" s="1219"/>
      <c r="DE36" s="1219"/>
      <c r="DF36" s="1219"/>
      <c r="DG36" s="1219"/>
      <c r="DH36" s="1219"/>
      <c r="DI36" s="1219"/>
      <c r="DJ36" s="1219"/>
      <c r="DK36" s="1219"/>
      <c r="DL36" s="1219"/>
      <c r="DM36" s="1219"/>
      <c r="DN36" s="1219"/>
      <c r="DO36" s="1219"/>
      <c r="DP36" s="1219"/>
      <c r="DQ36" s="1219"/>
      <c r="DR36" s="1219"/>
      <c r="DS36" s="1219"/>
      <c r="DT36" s="1219"/>
      <c r="DU36" s="1219"/>
      <c r="DV36" s="1219"/>
      <c r="DW36" s="1219"/>
      <c r="DX36" s="1219"/>
      <c r="DY36" s="1219"/>
      <c r="DZ36" s="1219"/>
      <c r="EA36" s="1219"/>
      <c r="EB36" s="1219"/>
      <c r="EC36" s="1219"/>
      <c r="ED36" s="1219"/>
      <c r="EE36" s="1219"/>
      <c r="EF36" s="1219"/>
      <c r="EG36" s="1219"/>
      <c r="EH36" s="1219"/>
      <c r="EI36" s="1219"/>
      <c r="EJ36" s="1219"/>
      <c r="EK36" s="1219"/>
      <c r="EL36" s="1219"/>
      <c r="EM36" s="1219"/>
      <c r="EN36" s="1219"/>
      <c r="EO36" s="1219"/>
      <c r="EP36" s="1219"/>
      <c r="EQ36" s="1219"/>
      <c r="ER36" s="1219"/>
      <c r="ES36" s="1219"/>
      <c r="ET36" s="1219"/>
      <c r="EU36" s="1219"/>
      <c r="EV36" s="1219"/>
      <c r="EW36" s="1219"/>
      <c r="EX36" s="1219"/>
      <c r="EY36" s="1219"/>
      <c r="EZ36" s="1219"/>
      <c r="FA36" s="1219"/>
      <c r="FB36" s="1219"/>
      <c r="FC36" s="1219"/>
      <c r="FD36" s="1219"/>
      <c r="FE36" s="1219"/>
      <c r="FF36" s="1219"/>
      <c r="FG36" s="1219"/>
      <c r="FH36" s="1219"/>
      <c r="FI36" s="1219"/>
      <c r="FJ36" s="1219"/>
      <c r="FK36" s="1219"/>
      <c r="FL36" s="1219"/>
      <c r="FM36" s="1219"/>
      <c r="FN36" s="1219"/>
      <c r="FO36" s="1219"/>
      <c r="FP36" s="1219"/>
      <c r="FQ36" s="1219"/>
      <c r="FR36" s="1219"/>
      <c r="FS36" s="1219"/>
      <c r="FT36" s="1219"/>
      <c r="FU36" s="1219"/>
      <c r="FV36" s="1219"/>
      <c r="FW36" s="1219"/>
      <c r="FX36" s="1219"/>
      <c r="FY36" s="1219"/>
      <c r="FZ36" s="1219"/>
      <c r="GA36" s="1219"/>
      <c r="GB36" s="1219"/>
      <c r="GC36" s="1219"/>
      <c r="GD36" s="1219"/>
      <c r="GE36" s="1219"/>
      <c r="GF36" s="1219"/>
      <c r="GG36" s="1219"/>
      <c r="GH36" s="1219"/>
      <c r="GI36" s="1219"/>
      <c r="GJ36" s="1219"/>
      <c r="GK36" s="1219"/>
      <c r="GL36" s="1219"/>
      <c r="GM36" s="1219"/>
      <c r="GN36" s="1219"/>
    </row>
    <row r="37" spans="1:196" ht="15" customHeight="1">
      <c r="A37" s="206"/>
      <c r="B37" s="140">
        <v>36</v>
      </c>
      <c r="C37" s="43">
        <v>167387</v>
      </c>
      <c r="D37" s="1054" t="s">
        <v>5999</v>
      </c>
      <c r="E37" s="648" t="s">
        <v>6000</v>
      </c>
      <c r="F37" s="845">
        <v>46147</v>
      </c>
      <c r="G37" s="140">
        <v>47</v>
      </c>
      <c r="H37" s="845">
        <v>28860</v>
      </c>
      <c r="I37" s="845">
        <v>46147</v>
      </c>
      <c r="J37" s="43" t="s">
        <v>5990</v>
      </c>
      <c r="K37" s="43" t="s">
        <v>6001</v>
      </c>
      <c r="L37" s="140" t="s">
        <v>2422</v>
      </c>
      <c r="M37" s="43" t="s">
        <v>6002</v>
      </c>
      <c r="N37" s="43"/>
      <c r="O37" s="1169" t="s">
        <v>5865</v>
      </c>
      <c r="P37" s="325" t="s">
        <v>5866</v>
      </c>
      <c r="Q37" s="1061" t="s">
        <v>5867</v>
      </c>
      <c r="R37" s="43" t="s">
        <v>238</v>
      </c>
      <c r="S37" s="43" t="s">
        <v>5868</v>
      </c>
      <c r="T37" s="43" t="s">
        <v>5869</v>
      </c>
      <c r="U37" s="845">
        <v>46147</v>
      </c>
      <c r="V37" s="1201">
        <v>0.35416666666666669</v>
      </c>
      <c r="W37" s="845">
        <v>46147</v>
      </c>
      <c r="X37" s="1060" t="s">
        <v>3998</v>
      </c>
      <c r="Y37" s="91" t="s">
        <v>3104</v>
      </c>
      <c r="Z37" s="1210" t="s">
        <v>4477</v>
      </c>
      <c r="AA37" s="1211">
        <v>46149</v>
      </c>
      <c r="AB37" s="244"/>
      <c r="AC37" s="1178"/>
      <c r="AD37" s="1178"/>
      <c r="AE37" s="43"/>
      <c r="AF37" s="43"/>
      <c r="AG37" s="43"/>
      <c r="AH37" s="43"/>
      <c r="AI37" s="43"/>
      <c r="AJ37" s="43"/>
      <c r="AK37" s="43"/>
      <c r="AL37" s="43"/>
      <c r="AM37" s="43"/>
      <c r="AN37" s="43"/>
      <c r="AO37" s="43"/>
      <c r="AP37" s="43"/>
      <c r="AQ37" s="43"/>
      <c r="AR37" s="434"/>
      <c r="AS37" s="434"/>
      <c r="AT37" s="434"/>
      <c r="AU37" s="434"/>
      <c r="AV37" s="434"/>
      <c r="AW37" s="434"/>
      <c r="AX37" s="434"/>
      <c r="AY37" s="434"/>
      <c r="AZ37" s="434"/>
      <c r="BA37" s="434"/>
      <c r="BB37" s="434"/>
      <c r="BC37" s="434"/>
      <c r="BD37" s="434"/>
      <c r="BE37" s="434"/>
      <c r="BF37" s="434"/>
      <c r="BG37" s="434"/>
      <c r="BH37" s="434"/>
      <c r="BI37" s="434"/>
      <c r="BJ37" s="434"/>
      <c r="BK37" s="434"/>
      <c r="BL37" s="434"/>
      <c r="BM37" s="434"/>
      <c r="BN37" s="434"/>
      <c r="BO37" s="434"/>
      <c r="BP37" s="434"/>
      <c r="BQ37" s="434"/>
      <c r="BR37" s="434"/>
      <c r="BS37" s="434"/>
      <c r="BT37" s="434"/>
      <c r="BU37" s="434"/>
      <c r="BV37" s="434"/>
      <c r="BW37" s="434"/>
      <c r="BX37" s="434"/>
      <c r="BY37" s="434"/>
      <c r="BZ37" s="434"/>
      <c r="CA37" s="434"/>
      <c r="CB37" s="434"/>
      <c r="CC37" s="434"/>
      <c r="CD37" s="434"/>
      <c r="CE37" s="434"/>
      <c r="CF37" s="434"/>
      <c r="CG37" s="434"/>
      <c r="CH37" s="434"/>
      <c r="CI37" s="434"/>
      <c r="CJ37" s="434"/>
      <c r="CK37" s="434"/>
      <c r="CL37" s="434"/>
      <c r="CM37" s="434"/>
      <c r="CN37" s="434"/>
      <c r="CO37" s="434"/>
      <c r="CP37" s="434"/>
      <c r="CQ37" s="434"/>
      <c r="CR37" s="434"/>
      <c r="CS37" s="434"/>
      <c r="CT37" s="434"/>
      <c r="CU37" s="434"/>
      <c r="CV37" s="434"/>
      <c r="CW37" s="434"/>
      <c r="CX37" s="434"/>
      <c r="CY37" s="434"/>
      <c r="CZ37" s="434"/>
      <c r="DA37" s="434"/>
      <c r="DB37" s="434"/>
      <c r="DC37" s="434"/>
      <c r="DD37" s="434"/>
      <c r="DE37" s="434"/>
      <c r="DF37" s="434"/>
      <c r="DG37" s="434"/>
      <c r="DH37" s="434"/>
      <c r="DI37" s="434"/>
      <c r="DJ37" s="434"/>
      <c r="DK37" s="434"/>
      <c r="DL37" s="434"/>
      <c r="DM37" s="434"/>
      <c r="DN37" s="434"/>
      <c r="DO37" s="434"/>
      <c r="DP37" s="434"/>
      <c r="DQ37" s="434"/>
      <c r="DR37" s="434"/>
      <c r="DS37" s="434"/>
      <c r="DT37" s="434"/>
      <c r="DU37" s="434"/>
      <c r="DV37" s="434"/>
      <c r="DW37" s="434"/>
      <c r="DX37" s="434"/>
      <c r="DY37" s="434"/>
      <c r="DZ37" s="434"/>
      <c r="EA37" s="434"/>
      <c r="EB37" s="434"/>
      <c r="EC37" s="434"/>
      <c r="ED37" s="434"/>
      <c r="EE37" s="434"/>
      <c r="EF37" s="434"/>
      <c r="EG37" s="434"/>
      <c r="EH37" s="434"/>
      <c r="EI37" s="434"/>
      <c r="EJ37" s="434"/>
      <c r="EK37" s="434"/>
      <c r="EL37" s="434"/>
      <c r="EM37" s="434"/>
      <c r="EN37" s="434"/>
      <c r="EO37" s="434"/>
      <c r="EP37" s="434"/>
      <c r="EQ37" s="434"/>
      <c r="ER37" s="434"/>
      <c r="ES37" s="434"/>
      <c r="ET37" s="434"/>
      <c r="EU37" s="434"/>
      <c r="EV37" s="434"/>
      <c r="EW37" s="434"/>
      <c r="EX37" s="434"/>
      <c r="EY37" s="434"/>
      <c r="EZ37" s="434"/>
      <c r="FA37" s="434"/>
      <c r="FB37" s="434"/>
      <c r="FC37" s="434"/>
      <c r="FD37" s="434"/>
      <c r="FE37" s="434"/>
      <c r="FF37" s="434"/>
      <c r="FG37" s="434"/>
      <c r="FH37" s="434"/>
      <c r="FI37" s="434"/>
      <c r="FJ37" s="434"/>
      <c r="FK37" s="434"/>
      <c r="FL37" s="434"/>
      <c r="FM37" s="434"/>
      <c r="FN37" s="434"/>
      <c r="FO37" s="434"/>
      <c r="FP37" s="434"/>
      <c r="FQ37" s="434"/>
      <c r="FR37" s="434"/>
      <c r="FS37" s="434"/>
      <c r="FT37" s="434"/>
      <c r="FU37" s="434"/>
      <c r="FV37" s="434"/>
      <c r="FW37" s="434"/>
      <c r="FX37" s="434"/>
      <c r="FY37" s="434"/>
      <c r="FZ37" s="434"/>
      <c r="GA37" s="434"/>
      <c r="GB37" s="434"/>
      <c r="GC37" s="434"/>
      <c r="GD37" s="434"/>
      <c r="GE37" s="434"/>
      <c r="GF37" s="434"/>
      <c r="GG37" s="434"/>
      <c r="GH37" s="434"/>
      <c r="GI37" s="434"/>
      <c r="GJ37" s="434"/>
      <c r="GK37" s="434"/>
      <c r="GL37" s="434"/>
      <c r="GM37" s="434"/>
      <c r="GN37" s="434"/>
    </row>
    <row r="38" spans="1:196" ht="15" customHeight="1">
      <c r="A38" s="206"/>
      <c r="B38" s="140">
        <v>37</v>
      </c>
      <c r="C38" s="43">
        <v>502867</v>
      </c>
      <c r="D38" s="1054" t="s">
        <v>6003</v>
      </c>
      <c r="E38" s="648" t="s">
        <v>6004</v>
      </c>
      <c r="F38" s="845">
        <v>46147</v>
      </c>
      <c r="G38" s="140">
        <v>44</v>
      </c>
      <c r="H38" s="845">
        <v>29728</v>
      </c>
      <c r="I38" s="845">
        <v>46147</v>
      </c>
      <c r="J38" s="43" t="s">
        <v>5877</v>
      </c>
      <c r="K38" s="43" t="s">
        <v>6005</v>
      </c>
      <c r="L38" s="140" t="s">
        <v>278</v>
      </c>
      <c r="M38" s="140">
        <v>920841018</v>
      </c>
      <c r="N38" s="43"/>
      <c r="O38" s="1169" t="s">
        <v>5865</v>
      </c>
      <c r="P38" s="325" t="s">
        <v>5866</v>
      </c>
      <c r="Q38" s="1061" t="s">
        <v>5867</v>
      </c>
      <c r="R38" s="43" t="s">
        <v>238</v>
      </c>
      <c r="S38" s="43" t="s">
        <v>5945</v>
      </c>
      <c r="T38" s="43" t="s">
        <v>5873</v>
      </c>
      <c r="U38" s="845">
        <v>46147</v>
      </c>
      <c r="V38" s="1201">
        <v>0.375</v>
      </c>
      <c r="W38" s="845">
        <v>46147</v>
      </c>
      <c r="X38" s="1209" t="s">
        <v>376</v>
      </c>
      <c r="Y38" s="1169" t="s">
        <v>3111</v>
      </c>
      <c r="Z38" s="1210" t="s">
        <v>4477</v>
      </c>
      <c r="AA38" s="1211">
        <v>46149</v>
      </c>
      <c r="AB38" s="244"/>
      <c r="AC38" s="1178"/>
      <c r="AD38" s="1178"/>
      <c r="AE38" s="43"/>
      <c r="AF38" s="43"/>
      <c r="AG38" s="43"/>
      <c r="AH38" s="43"/>
      <c r="AI38" s="43"/>
      <c r="AJ38" s="43"/>
      <c r="AK38" s="43"/>
      <c r="AL38" s="43"/>
      <c r="AM38" s="43"/>
      <c r="AN38" s="43"/>
      <c r="AO38" s="43"/>
      <c r="AP38" s="43"/>
      <c r="AQ38" s="43"/>
      <c r="AR38" s="434"/>
      <c r="AS38" s="434"/>
      <c r="AT38" s="434"/>
      <c r="AU38" s="434"/>
      <c r="AV38" s="434"/>
      <c r="AW38" s="434"/>
      <c r="AX38" s="434"/>
      <c r="AY38" s="434"/>
      <c r="AZ38" s="434"/>
      <c r="BA38" s="434"/>
      <c r="BB38" s="434"/>
      <c r="BC38" s="434"/>
      <c r="BD38" s="434"/>
      <c r="BE38" s="434"/>
      <c r="BF38" s="434"/>
      <c r="BG38" s="434"/>
      <c r="BH38" s="434"/>
      <c r="BI38" s="434"/>
      <c r="BJ38" s="434"/>
      <c r="BK38" s="434"/>
      <c r="BL38" s="434"/>
      <c r="BM38" s="434"/>
      <c r="BN38" s="434"/>
      <c r="BO38" s="434"/>
      <c r="BP38" s="434"/>
      <c r="BQ38" s="434"/>
      <c r="BR38" s="434"/>
      <c r="BS38" s="434"/>
      <c r="BT38" s="434"/>
      <c r="BU38" s="434"/>
      <c r="BV38" s="434"/>
      <c r="BW38" s="434"/>
      <c r="BX38" s="434"/>
      <c r="BY38" s="434"/>
      <c r="BZ38" s="434"/>
      <c r="CA38" s="434"/>
      <c r="CB38" s="434"/>
      <c r="CC38" s="434"/>
      <c r="CD38" s="434"/>
      <c r="CE38" s="434"/>
      <c r="CF38" s="434"/>
      <c r="CG38" s="434"/>
      <c r="CH38" s="434"/>
      <c r="CI38" s="434"/>
      <c r="CJ38" s="434"/>
      <c r="CK38" s="434"/>
      <c r="CL38" s="434"/>
      <c r="CM38" s="434"/>
      <c r="CN38" s="434"/>
      <c r="CO38" s="434"/>
      <c r="CP38" s="434"/>
      <c r="CQ38" s="434"/>
      <c r="CR38" s="434"/>
      <c r="CS38" s="434"/>
      <c r="CT38" s="434"/>
      <c r="CU38" s="434"/>
      <c r="CV38" s="434"/>
      <c r="CW38" s="434"/>
      <c r="CX38" s="434"/>
      <c r="CY38" s="434"/>
      <c r="CZ38" s="434"/>
      <c r="DA38" s="434"/>
      <c r="DB38" s="434"/>
      <c r="DC38" s="434"/>
      <c r="DD38" s="434"/>
      <c r="DE38" s="434"/>
      <c r="DF38" s="434"/>
      <c r="DG38" s="434"/>
      <c r="DH38" s="434"/>
      <c r="DI38" s="434"/>
      <c r="DJ38" s="434"/>
      <c r="DK38" s="434"/>
      <c r="DL38" s="434"/>
      <c r="DM38" s="434"/>
      <c r="DN38" s="434"/>
      <c r="DO38" s="434"/>
      <c r="DP38" s="434"/>
      <c r="DQ38" s="434"/>
      <c r="DR38" s="434"/>
      <c r="DS38" s="434"/>
      <c r="DT38" s="434"/>
      <c r="DU38" s="434"/>
      <c r="DV38" s="434"/>
      <c r="DW38" s="434"/>
      <c r="DX38" s="434"/>
      <c r="DY38" s="434"/>
      <c r="DZ38" s="434"/>
      <c r="EA38" s="434"/>
      <c r="EB38" s="434"/>
      <c r="EC38" s="434"/>
      <c r="ED38" s="434"/>
      <c r="EE38" s="434"/>
      <c r="EF38" s="434"/>
      <c r="EG38" s="434"/>
      <c r="EH38" s="434"/>
      <c r="EI38" s="434"/>
      <c r="EJ38" s="434"/>
      <c r="EK38" s="434"/>
      <c r="EL38" s="434"/>
      <c r="EM38" s="434"/>
      <c r="EN38" s="434"/>
      <c r="EO38" s="434"/>
      <c r="EP38" s="434"/>
      <c r="EQ38" s="434"/>
      <c r="ER38" s="434"/>
      <c r="ES38" s="434"/>
      <c r="ET38" s="434"/>
      <c r="EU38" s="434"/>
      <c r="EV38" s="434"/>
      <c r="EW38" s="434"/>
      <c r="EX38" s="434"/>
      <c r="EY38" s="434"/>
      <c r="EZ38" s="434"/>
      <c r="FA38" s="434"/>
      <c r="FB38" s="434"/>
      <c r="FC38" s="434"/>
      <c r="FD38" s="434"/>
      <c r="FE38" s="434"/>
      <c r="FF38" s="434"/>
      <c r="FG38" s="434"/>
      <c r="FH38" s="434"/>
      <c r="FI38" s="434"/>
      <c r="FJ38" s="434"/>
      <c r="FK38" s="434"/>
      <c r="FL38" s="434"/>
      <c r="FM38" s="434"/>
      <c r="FN38" s="434"/>
      <c r="FO38" s="434"/>
      <c r="FP38" s="434"/>
      <c r="FQ38" s="434"/>
      <c r="FR38" s="434"/>
      <c r="FS38" s="434"/>
      <c r="FT38" s="434"/>
      <c r="FU38" s="434"/>
      <c r="FV38" s="434"/>
      <c r="FW38" s="434"/>
      <c r="FX38" s="434"/>
      <c r="FY38" s="434"/>
      <c r="FZ38" s="434"/>
      <c r="GA38" s="434"/>
      <c r="GB38" s="434"/>
      <c r="GC38" s="434"/>
      <c r="GD38" s="434"/>
      <c r="GE38" s="434"/>
      <c r="GF38" s="434"/>
      <c r="GG38" s="434"/>
      <c r="GH38" s="434"/>
      <c r="GI38" s="434"/>
      <c r="GJ38" s="434"/>
      <c r="GK38" s="434"/>
      <c r="GL38" s="434"/>
      <c r="GM38" s="434"/>
      <c r="GN38" s="434"/>
    </row>
    <row r="39" spans="1:196" ht="15" customHeight="1">
      <c r="A39" s="206"/>
      <c r="B39" s="140">
        <v>38</v>
      </c>
      <c r="C39" s="43">
        <v>525601</v>
      </c>
      <c r="D39" s="1054" t="s">
        <v>6006</v>
      </c>
      <c r="E39" s="648" t="s">
        <v>6007</v>
      </c>
      <c r="F39" s="845">
        <v>46147</v>
      </c>
      <c r="G39" s="140">
        <v>50</v>
      </c>
      <c r="H39" s="845">
        <v>27534</v>
      </c>
      <c r="I39" s="845">
        <v>46147</v>
      </c>
      <c r="J39" s="43" t="s">
        <v>5877</v>
      </c>
      <c r="K39" s="43" t="s">
        <v>6008</v>
      </c>
      <c r="L39" s="140" t="s">
        <v>271</v>
      </c>
      <c r="M39" s="140">
        <v>997196030</v>
      </c>
      <c r="N39" s="43"/>
      <c r="O39" s="1169" t="s">
        <v>5865</v>
      </c>
      <c r="P39" s="325" t="s">
        <v>5866</v>
      </c>
      <c r="Q39" s="1061" t="s">
        <v>5867</v>
      </c>
      <c r="R39" s="43" t="s">
        <v>164</v>
      </c>
      <c r="S39" s="43" t="s">
        <v>5868</v>
      </c>
      <c r="T39" s="43" t="s">
        <v>5873</v>
      </c>
      <c r="U39" s="845">
        <v>46147</v>
      </c>
      <c r="V39" s="1201">
        <v>0.40277777777777779</v>
      </c>
      <c r="W39" s="845">
        <v>46147</v>
      </c>
      <c r="X39" s="1209" t="s">
        <v>376</v>
      </c>
      <c r="Y39" s="1169" t="s">
        <v>3111</v>
      </c>
      <c r="Z39" s="1210" t="s">
        <v>4477</v>
      </c>
      <c r="AA39" s="1211">
        <v>46149</v>
      </c>
      <c r="AB39" s="244"/>
      <c r="AC39" s="1178"/>
      <c r="AD39" s="1178"/>
      <c r="AE39" s="43"/>
      <c r="AF39" s="43"/>
      <c r="AG39" s="43"/>
      <c r="AH39" s="43"/>
      <c r="AI39" s="43"/>
      <c r="AJ39" s="43"/>
      <c r="AK39" s="43"/>
      <c r="AL39" s="43"/>
      <c r="AM39" s="43"/>
      <c r="AN39" s="43"/>
      <c r="AO39" s="43"/>
      <c r="AP39" s="43"/>
      <c r="AQ39" s="43"/>
      <c r="AR39" s="434"/>
      <c r="AS39" s="434"/>
      <c r="AT39" s="434"/>
      <c r="AU39" s="434"/>
      <c r="AV39" s="434"/>
      <c r="AW39" s="434"/>
      <c r="AX39" s="434"/>
      <c r="AY39" s="434"/>
      <c r="AZ39" s="434"/>
      <c r="BA39" s="434"/>
      <c r="BB39" s="434"/>
      <c r="BC39" s="434"/>
      <c r="BD39" s="434"/>
      <c r="BE39" s="434"/>
      <c r="BF39" s="434"/>
      <c r="BG39" s="434"/>
      <c r="BH39" s="434"/>
      <c r="BI39" s="434"/>
      <c r="BJ39" s="434"/>
      <c r="BK39" s="434"/>
      <c r="BL39" s="434"/>
      <c r="BM39" s="434"/>
      <c r="BN39" s="434"/>
      <c r="BO39" s="434"/>
      <c r="BP39" s="434"/>
      <c r="BQ39" s="434"/>
      <c r="BR39" s="434"/>
      <c r="BS39" s="434"/>
      <c r="BT39" s="434"/>
      <c r="BU39" s="434"/>
      <c r="BV39" s="434"/>
      <c r="BW39" s="434"/>
      <c r="BX39" s="434"/>
      <c r="BY39" s="434"/>
      <c r="BZ39" s="434"/>
      <c r="CA39" s="434"/>
      <c r="CB39" s="434"/>
      <c r="CC39" s="434"/>
      <c r="CD39" s="434"/>
      <c r="CE39" s="434"/>
      <c r="CF39" s="434"/>
      <c r="CG39" s="434"/>
      <c r="CH39" s="434"/>
      <c r="CI39" s="434"/>
      <c r="CJ39" s="434"/>
      <c r="CK39" s="434"/>
      <c r="CL39" s="434"/>
      <c r="CM39" s="434"/>
      <c r="CN39" s="434"/>
      <c r="CO39" s="434"/>
      <c r="CP39" s="434"/>
      <c r="CQ39" s="434"/>
      <c r="CR39" s="434"/>
      <c r="CS39" s="434"/>
      <c r="CT39" s="434"/>
      <c r="CU39" s="434"/>
      <c r="CV39" s="434"/>
      <c r="CW39" s="434"/>
      <c r="CX39" s="434"/>
      <c r="CY39" s="434"/>
      <c r="CZ39" s="434"/>
      <c r="DA39" s="434"/>
      <c r="DB39" s="434"/>
      <c r="DC39" s="434"/>
      <c r="DD39" s="434"/>
      <c r="DE39" s="434"/>
      <c r="DF39" s="434"/>
      <c r="DG39" s="434"/>
      <c r="DH39" s="434"/>
      <c r="DI39" s="434"/>
      <c r="DJ39" s="434"/>
      <c r="DK39" s="434"/>
      <c r="DL39" s="434"/>
      <c r="DM39" s="434"/>
      <c r="DN39" s="434"/>
      <c r="DO39" s="434"/>
      <c r="DP39" s="434"/>
      <c r="DQ39" s="434"/>
      <c r="DR39" s="434"/>
      <c r="DS39" s="434"/>
      <c r="DT39" s="434"/>
      <c r="DU39" s="434"/>
      <c r="DV39" s="434"/>
      <c r="DW39" s="434"/>
      <c r="DX39" s="434"/>
      <c r="DY39" s="434"/>
      <c r="DZ39" s="434"/>
      <c r="EA39" s="434"/>
      <c r="EB39" s="434"/>
      <c r="EC39" s="434"/>
      <c r="ED39" s="434"/>
      <c r="EE39" s="434"/>
      <c r="EF39" s="434"/>
      <c r="EG39" s="434"/>
      <c r="EH39" s="434"/>
      <c r="EI39" s="434"/>
      <c r="EJ39" s="434"/>
      <c r="EK39" s="434"/>
      <c r="EL39" s="434"/>
      <c r="EM39" s="434"/>
      <c r="EN39" s="434"/>
      <c r="EO39" s="434"/>
      <c r="EP39" s="434"/>
      <c r="EQ39" s="434"/>
      <c r="ER39" s="434"/>
      <c r="ES39" s="434"/>
      <c r="ET39" s="434"/>
      <c r="EU39" s="434"/>
      <c r="EV39" s="434"/>
      <c r="EW39" s="434"/>
      <c r="EX39" s="434"/>
      <c r="EY39" s="434"/>
      <c r="EZ39" s="434"/>
      <c r="FA39" s="434"/>
      <c r="FB39" s="434"/>
      <c r="FC39" s="434"/>
      <c r="FD39" s="434"/>
      <c r="FE39" s="434"/>
      <c r="FF39" s="434"/>
      <c r="FG39" s="434"/>
      <c r="FH39" s="434"/>
      <c r="FI39" s="434"/>
      <c r="FJ39" s="434"/>
      <c r="FK39" s="434"/>
      <c r="FL39" s="434"/>
      <c r="FM39" s="434"/>
      <c r="FN39" s="434"/>
      <c r="FO39" s="434"/>
      <c r="FP39" s="434"/>
      <c r="FQ39" s="434"/>
      <c r="FR39" s="434"/>
      <c r="FS39" s="434"/>
      <c r="FT39" s="434"/>
      <c r="FU39" s="434"/>
      <c r="FV39" s="434"/>
      <c r="FW39" s="434"/>
      <c r="FX39" s="434"/>
      <c r="FY39" s="434"/>
      <c r="FZ39" s="434"/>
      <c r="GA39" s="434"/>
      <c r="GB39" s="434"/>
      <c r="GC39" s="434"/>
      <c r="GD39" s="434"/>
      <c r="GE39" s="434"/>
      <c r="GF39" s="434"/>
      <c r="GG39" s="434"/>
      <c r="GH39" s="434"/>
      <c r="GI39" s="434"/>
      <c r="GJ39" s="434"/>
      <c r="GK39" s="434"/>
      <c r="GL39" s="434"/>
      <c r="GM39" s="434"/>
      <c r="GN39" s="434"/>
    </row>
    <row r="40" spans="1:196" ht="15" customHeight="1">
      <c r="A40" s="206"/>
      <c r="B40" s="140">
        <v>39</v>
      </c>
      <c r="C40" s="43">
        <v>200097</v>
      </c>
      <c r="D40" s="1054" t="s">
        <v>6009</v>
      </c>
      <c r="E40" s="648" t="s">
        <v>6010</v>
      </c>
      <c r="F40" s="845">
        <v>46147</v>
      </c>
      <c r="G40" s="140">
        <v>49</v>
      </c>
      <c r="H40" s="845">
        <v>28244</v>
      </c>
      <c r="I40" s="845">
        <v>46147</v>
      </c>
      <c r="J40" s="43" t="s">
        <v>5990</v>
      </c>
      <c r="K40" s="43" t="s">
        <v>6011</v>
      </c>
      <c r="L40" s="140" t="s">
        <v>278</v>
      </c>
      <c r="M40" s="140">
        <v>993429000</v>
      </c>
      <c r="N40" s="43"/>
      <c r="O40" s="1169" t="s">
        <v>5865</v>
      </c>
      <c r="P40" s="1169" t="s">
        <v>5866</v>
      </c>
      <c r="Q40" s="1061" t="s">
        <v>5867</v>
      </c>
      <c r="R40" s="43" t="s">
        <v>238</v>
      </c>
      <c r="S40" s="43" t="s">
        <v>5868</v>
      </c>
      <c r="T40" s="43" t="s">
        <v>5873</v>
      </c>
      <c r="U40" s="845">
        <v>46147</v>
      </c>
      <c r="V40" s="1201">
        <v>0.4236111111111111</v>
      </c>
      <c r="W40" s="845">
        <v>46147</v>
      </c>
      <c r="X40" s="1209" t="s">
        <v>376</v>
      </c>
      <c r="Y40" s="1169" t="s">
        <v>3111</v>
      </c>
      <c r="Z40" s="1210" t="s">
        <v>4477</v>
      </c>
      <c r="AA40" s="1211">
        <v>46149</v>
      </c>
      <c r="AB40" s="244"/>
      <c r="AC40" s="1178"/>
      <c r="AD40" s="1178"/>
      <c r="AE40" s="43"/>
      <c r="AF40" s="43"/>
      <c r="AG40" s="43"/>
      <c r="AH40" s="43"/>
      <c r="AI40" s="43"/>
      <c r="AJ40" s="43"/>
      <c r="AK40" s="43"/>
      <c r="AL40" s="43"/>
      <c r="AM40" s="43"/>
      <c r="AN40" s="43"/>
      <c r="AO40" s="43"/>
      <c r="AP40" s="43"/>
      <c r="AQ40" s="43"/>
      <c r="AR40" s="434"/>
      <c r="AS40" s="434"/>
      <c r="AT40" s="434"/>
      <c r="AU40" s="434"/>
      <c r="AV40" s="434"/>
      <c r="AW40" s="434"/>
      <c r="AX40" s="434"/>
      <c r="AY40" s="434"/>
      <c r="AZ40" s="434"/>
      <c r="BA40" s="434"/>
      <c r="BB40" s="434"/>
      <c r="BC40" s="434"/>
      <c r="BD40" s="434"/>
      <c r="BE40" s="434"/>
      <c r="BF40" s="434"/>
      <c r="BG40" s="434"/>
      <c r="BH40" s="434"/>
      <c r="BI40" s="434"/>
      <c r="BJ40" s="434"/>
      <c r="BK40" s="434"/>
      <c r="BL40" s="434"/>
      <c r="BM40" s="434"/>
      <c r="BN40" s="434"/>
      <c r="BO40" s="434"/>
      <c r="BP40" s="434"/>
      <c r="BQ40" s="434"/>
      <c r="BR40" s="434"/>
      <c r="BS40" s="434"/>
      <c r="BT40" s="434"/>
      <c r="BU40" s="434"/>
      <c r="BV40" s="434"/>
      <c r="BW40" s="434"/>
      <c r="BX40" s="434"/>
      <c r="BY40" s="434"/>
      <c r="BZ40" s="434"/>
      <c r="CA40" s="434"/>
      <c r="CB40" s="434"/>
      <c r="CC40" s="434"/>
      <c r="CD40" s="434"/>
      <c r="CE40" s="434"/>
      <c r="CF40" s="434"/>
      <c r="CG40" s="434"/>
      <c r="CH40" s="434"/>
      <c r="CI40" s="434"/>
      <c r="CJ40" s="434"/>
      <c r="CK40" s="434"/>
      <c r="CL40" s="434"/>
      <c r="CM40" s="434"/>
      <c r="CN40" s="434"/>
      <c r="CO40" s="434"/>
      <c r="CP40" s="434"/>
      <c r="CQ40" s="434"/>
      <c r="CR40" s="434"/>
      <c r="CS40" s="434"/>
      <c r="CT40" s="434"/>
      <c r="CU40" s="434"/>
      <c r="CV40" s="434"/>
      <c r="CW40" s="434"/>
      <c r="CX40" s="434"/>
      <c r="CY40" s="434"/>
      <c r="CZ40" s="434"/>
      <c r="DA40" s="434"/>
      <c r="DB40" s="434"/>
      <c r="DC40" s="434"/>
      <c r="DD40" s="434"/>
      <c r="DE40" s="434"/>
      <c r="DF40" s="434"/>
      <c r="DG40" s="434"/>
      <c r="DH40" s="434"/>
      <c r="DI40" s="434"/>
      <c r="DJ40" s="434"/>
      <c r="DK40" s="434"/>
      <c r="DL40" s="434"/>
      <c r="DM40" s="434"/>
      <c r="DN40" s="434"/>
      <c r="DO40" s="434"/>
      <c r="DP40" s="434"/>
      <c r="DQ40" s="434"/>
      <c r="DR40" s="434"/>
      <c r="DS40" s="434"/>
      <c r="DT40" s="434"/>
      <c r="DU40" s="434"/>
      <c r="DV40" s="434"/>
      <c r="DW40" s="434"/>
      <c r="DX40" s="434"/>
      <c r="DY40" s="434"/>
      <c r="DZ40" s="434"/>
      <c r="EA40" s="434"/>
      <c r="EB40" s="434"/>
      <c r="EC40" s="434"/>
      <c r="ED40" s="434"/>
      <c r="EE40" s="434"/>
      <c r="EF40" s="434"/>
      <c r="EG40" s="434"/>
      <c r="EH40" s="434"/>
      <c r="EI40" s="434"/>
      <c r="EJ40" s="434"/>
      <c r="EK40" s="434"/>
      <c r="EL40" s="434"/>
      <c r="EM40" s="434"/>
      <c r="EN40" s="434"/>
      <c r="EO40" s="434"/>
      <c r="EP40" s="434"/>
      <c r="EQ40" s="434"/>
      <c r="ER40" s="434"/>
      <c r="ES40" s="434"/>
      <c r="ET40" s="434"/>
      <c r="EU40" s="434"/>
      <c r="EV40" s="434"/>
      <c r="EW40" s="434"/>
      <c r="EX40" s="434"/>
      <c r="EY40" s="434"/>
      <c r="EZ40" s="434"/>
      <c r="FA40" s="434"/>
      <c r="FB40" s="434"/>
      <c r="FC40" s="434"/>
      <c r="FD40" s="434"/>
      <c r="FE40" s="434"/>
      <c r="FF40" s="434"/>
      <c r="FG40" s="434"/>
      <c r="FH40" s="434"/>
      <c r="FI40" s="434"/>
      <c r="FJ40" s="434"/>
      <c r="FK40" s="434"/>
      <c r="FL40" s="434"/>
      <c r="FM40" s="434"/>
      <c r="FN40" s="434"/>
      <c r="FO40" s="434"/>
      <c r="FP40" s="434"/>
      <c r="FQ40" s="434"/>
      <c r="FR40" s="434"/>
      <c r="FS40" s="434"/>
      <c r="FT40" s="434"/>
      <c r="FU40" s="434"/>
      <c r="FV40" s="434"/>
      <c r="FW40" s="434"/>
      <c r="FX40" s="434"/>
      <c r="FY40" s="434"/>
      <c r="FZ40" s="434"/>
      <c r="GA40" s="434"/>
      <c r="GB40" s="434"/>
      <c r="GC40" s="434"/>
      <c r="GD40" s="434"/>
      <c r="GE40" s="434"/>
      <c r="GF40" s="434"/>
      <c r="GG40" s="434"/>
      <c r="GH40" s="434"/>
      <c r="GI40" s="434"/>
      <c r="GJ40" s="434"/>
      <c r="GK40" s="434"/>
      <c r="GL40" s="434"/>
      <c r="GM40" s="434"/>
      <c r="GN40" s="434"/>
    </row>
    <row r="41" spans="1:196" ht="15" customHeight="1">
      <c r="A41" s="1179"/>
      <c r="B41" s="140">
        <v>40</v>
      </c>
      <c r="C41" s="140">
        <v>90731</v>
      </c>
      <c r="D41" s="1189" t="s">
        <v>6012</v>
      </c>
      <c r="E41" s="1190" t="s">
        <v>6013</v>
      </c>
      <c r="F41" s="845">
        <v>46147</v>
      </c>
      <c r="G41" s="140">
        <v>47</v>
      </c>
      <c r="H41" s="845">
        <v>28636</v>
      </c>
      <c r="I41" s="845">
        <v>46147</v>
      </c>
      <c r="J41" s="140" t="s">
        <v>5990</v>
      </c>
      <c r="K41" s="140" t="s">
        <v>6014</v>
      </c>
      <c r="L41" s="140" t="s">
        <v>278</v>
      </c>
      <c r="M41" s="140">
        <v>922669969</v>
      </c>
      <c r="N41" s="140"/>
      <c r="O41" s="1169" t="s">
        <v>5865</v>
      </c>
      <c r="P41" s="1205" t="s">
        <v>5866</v>
      </c>
      <c r="Q41" s="1061" t="s">
        <v>5867</v>
      </c>
      <c r="R41" s="140" t="s">
        <v>238</v>
      </c>
      <c r="S41" s="140" t="s">
        <v>5945</v>
      </c>
      <c r="T41" s="140" t="s">
        <v>5873</v>
      </c>
      <c r="U41" s="845">
        <v>46147</v>
      </c>
      <c r="V41" s="1201">
        <v>0.44166666666666665</v>
      </c>
      <c r="W41" s="845">
        <v>46147</v>
      </c>
      <c r="X41" s="1209" t="s">
        <v>376</v>
      </c>
      <c r="Y41" s="1169" t="s">
        <v>3111</v>
      </c>
      <c r="Z41" s="1210" t="s">
        <v>4477</v>
      </c>
      <c r="AA41" s="1211">
        <v>46149</v>
      </c>
      <c r="AB41" s="222"/>
      <c r="AC41" s="1220"/>
      <c r="AD41" s="1220"/>
      <c r="AE41" s="140"/>
      <c r="AF41" s="140"/>
      <c r="AG41" s="140"/>
      <c r="AH41" s="140"/>
      <c r="AI41" s="140"/>
      <c r="AJ41" s="140"/>
      <c r="AK41" s="140"/>
      <c r="AL41" s="140"/>
      <c r="AM41" s="140"/>
      <c r="AN41" s="140"/>
      <c r="AO41" s="140"/>
      <c r="AP41" s="140"/>
      <c r="AQ41" s="140"/>
      <c r="AR41" s="886"/>
      <c r="AS41" s="886"/>
      <c r="AT41" s="886"/>
      <c r="AU41" s="886"/>
      <c r="AV41" s="886"/>
      <c r="AW41" s="886"/>
      <c r="AX41" s="886"/>
      <c r="AY41" s="886"/>
      <c r="AZ41" s="886"/>
      <c r="BA41" s="886"/>
      <c r="BB41" s="886"/>
      <c r="BC41" s="886"/>
      <c r="BD41" s="886"/>
      <c r="BE41" s="886"/>
      <c r="BF41" s="886"/>
      <c r="BG41" s="886"/>
      <c r="BH41" s="886"/>
      <c r="BI41" s="886"/>
      <c r="BJ41" s="886"/>
      <c r="BK41" s="886"/>
      <c r="BL41" s="886"/>
      <c r="BM41" s="886"/>
      <c r="BN41" s="886"/>
      <c r="BO41" s="886"/>
      <c r="BP41" s="886"/>
      <c r="BQ41" s="886"/>
      <c r="BR41" s="886"/>
      <c r="BS41" s="886"/>
      <c r="BT41" s="886"/>
      <c r="BU41" s="886"/>
      <c r="BV41" s="886"/>
      <c r="BW41" s="886"/>
      <c r="BX41" s="886"/>
      <c r="BY41" s="886"/>
      <c r="BZ41" s="886"/>
      <c r="CA41" s="886"/>
      <c r="CB41" s="886"/>
      <c r="CC41" s="886"/>
      <c r="CD41" s="886"/>
      <c r="CE41" s="886"/>
      <c r="CF41" s="886"/>
      <c r="CG41" s="886"/>
      <c r="CH41" s="886"/>
      <c r="CI41" s="886"/>
      <c r="CJ41" s="886"/>
      <c r="CK41" s="886"/>
      <c r="CL41" s="886"/>
      <c r="CM41" s="886"/>
      <c r="CN41" s="886"/>
      <c r="CO41" s="886"/>
      <c r="CP41" s="886"/>
      <c r="CQ41" s="886"/>
      <c r="CR41" s="886"/>
      <c r="CS41" s="886"/>
      <c r="CT41" s="886"/>
      <c r="CU41" s="886"/>
      <c r="CV41" s="886"/>
      <c r="CW41" s="886"/>
      <c r="CX41" s="886"/>
      <c r="CY41" s="886"/>
      <c r="CZ41" s="886"/>
      <c r="DA41" s="886"/>
      <c r="DB41" s="886"/>
      <c r="DC41" s="886"/>
      <c r="DD41" s="886"/>
      <c r="DE41" s="886"/>
      <c r="DF41" s="886"/>
      <c r="DG41" s="886"/>
      <c r="DH41" s="886"/>
      <c r="DI41" s="886"/>
      <c r="DJ41" s="886"/>
      <c r="DK41" s="886"/>
      <c r="DL41" s="886"/>
      <c r="DM41" s="886"/>
      <c r="DN41" s="886"/>
      <c r="DO41" s="886"/>
      <c r="DP41" s="886"/>
      <c r="DQ41" s="886"/>
      <c r="DR41" s="886"/>
      <c r="DS41" s="886"/>
      <c r="DT41" s="886"/>
      <c r="DU41" s="886"/>
      <c r="DV41" s="886"/>
      <c r="DW41" s="886"/>
      <c r="DX41" s="886"/>
      <c r="DY41" s="886"/>
      <c r="DZ41" s="886"/>
      <c r="EA41" s="886"/>
      <c r="EB41" s="886"/>
      <c r="EC41" s="886"/>
      <c r="ED41" s="886"/>
      <c r="EE41" s="886"/>
      <c r="EF41" s="886"/>
      <c r="EG41" s="886"/>
      <c r="EH41" s="886"/>
      <c r="EI41" s="886"/>
      <c r="EJ41" s="886"/>
      <c r="EK41" s="886"/>
      <c r="EL41" s="886"/>
      <c r="EM41" s="886"/>
      <c r="EN41" s="886"/>
      <c r="EO41" s="886"/>
      <c r="EP41" s="886"/>
      <c r="EQ41" s="886"/>
      <c r="ER41" s="886"/>
      <c r="ES41" s="886"/>
      <c r="ET41" s="886"/>
      <c r="EU41" s="886"/>
      <c r="EV41" s="886"/>
      <c r="EW41" s="886"/>
      <c r="EX41" s="886"/>
      <c r="EY41" s="886"/>
      <c r="EZ41" s="886"/>
      <c r="FA41" s="886"/>
      <c r="FB41" s="886"/>
      <c r="FC41" s="886"/>
      <c r="FD41" s="886"/>
      <c r="FE41" s="886"/>
      <c r="FF41" s="886"/>
      <c r="FG41" s="886"/>
      <c r="FH41" s="886"/>
      <c r="FI41" s="886"/>
      <c r="FJ41" s="886"/>
      <c r="FK41" s="886"/>
      <c r="FL41" s="886"/>
      <c r="FM41" s="886"/>
      <c r="FN41" s="886"/>
      <c r="FO41" s="886"/>
      <c r="FP41" s="886"/>
      <c r="FQ41" s="886"/>
      <c r="FR41" s="886"/>
      <c r="FS41" s="886"/>
      <c r="FT41" s="886"/>
      <c r="FU41" s="886"/>
      <c r="FV41" s="886"/>
      <c r="FW41" s="886"/>
      <c r="FX41" s="886"/>
      <c r="FY41" s="886"/>
      <c r="FZ41" s="886"/>
      <c r="GA41" s="886"/>
      <c r="GB41" s="886"/>
      <c r="GC41" s="886"/>
      <c r="GD41" s="886"/>
      <c r="GE41" s="886"/>
      <c r="GF41" s="886"/>
      <c r="GG41" s="886"/>
      <c r="GH41" s="886"/>
      <c r="GI41" s="886"/>
      <c r="GJ41" s="886"/>
      <c r="GK41" s="886"/>
      <c r="GL41" s="886"/>
      <c r="GM41" s="886"/>
      <c r="GN41" s="886"/>
    </row>
    <row r="42" spans="1:196" ht="15" customHeight="1">
      <c r="A42" s="1188" t="s">
        <v>6015</v>
      </c>
      <c r="B42" s="140">
        <v>41</v>
      </c>
      <c r="C42" s="43">
        <v>172643</v>
      </c>
      <c r="D42" s="1054" t="s">
        <v>6016</v>
      </c>
      <c r="E42" s="648" t="s">
        <v>6017</v>
      </c>
      <c r="F42" s="845">
        <v>46141</v>
      </c>
      <c r="G42" s="140">
        <v>47</v>
      </c>
      <c r="H42" s="845">
        <v>28866</v>
      </c>
      <c r="I42" s="845">
        <v>46147</v>
      </c>
      <c r="J42" s="140" t="s">
        <v>5990</v>
      </c>
      <c r="K42" s="140" t="s">
        <v>6018</v>
      </c>
      <c r="L42" s="140" t="s">
        <v>301</v>
      </c>
      <c r="M42" s="140">
        <v>960860154</v>
      </c>
      <c r="N42" s="43"/>
      <c r="O42" s="1169" t="s">
        <v>5865</v>
      </c>
      <c r="P42" s="1205" t="s">
        <v>5866</v>
      </c>
      <c r="Q42" s="1061" t="s">
        <v>5867</v>
      </c>
      <c r="R42" s="43" t="s">
        <v>1905</v>
      </c>
      <c r="S42" s="43" t="s">
        <v>5953</v>
      </c>
      <c r="T42" s="43" t="s">
        <v>5873</v>
      </c>
      <c r="U42" s="845">
        <v>46147</v>
      </c>
      <c r="V42" s="1201">
        <v>0.58333333333333337</v>
      </c>
      <c r="W42" s="845">
        <v>46147</v>
      </c>
      <c r="X42" s="1209" t="s">
        <v>376</v>
      </c>
      <c r="Y42" s="1169" t="s">
        <v>3111</v>
      </c>
      <c r="Z42" s="1210" t="s">
        <v>4477</v>
      </c>
      <c r="AA42" s="46"/>
      <c r="AB42" s="244"/>
      <c r="AC42" s="1178"/>
      <c r="AD42" s="1178"/>
      <c r="AE42" s="43"/>
      <c r="AF42" s="43"/>
      <c r="AG42" s="43"/>
      <c r="AH42" s="43"/>
      <c r="AI42" s="43"/>
      <c r="AJ42" s="43"/>
      <c r="AK42" s="43"/>
      <c r="AL42" s="43"/>
      <c r="AM42" s="43"/>
      <c r="AN42" s="43"/>
      <c r="AO42" s="43"/>
      <c r="AP42" s="43"/>
      <c r="AQ42" s="43"/>
      <c r="AR42" s="434"/>
      <c r="AS42" s="434"/>
      <c r="AT42" s="434"/>
      <c r="AU42" s="434"/>
      <c r="AV42" s="434"/>
      <c r="AW42" s="434"/>
      <c r="AX42" s="434"/>
      <c r="AY42" s="434"/>
      <c r="AZ42" s="434"/>
      <c r="BA42" s="434"/>
      <c r="BB42" s="434"/>
      <c r="BC42" s="434"/>
      <c r="BD42" s="434"/>
      <c r="BE42" s="434"/>
      <c r="BF42" s="434"/>
      <c r="BG42" s="434"/>
      <c r="BH42" s="434"/>
      <c r="BI42" s="434"/>
      <c r="BJ42" s="434"/>
      <c r="BK42" s="434"/>
      <c r="BL42" s="434"/>
      <c r="BM42" s="434"/>
      <c r="BN42" s="434"/>
      <c r="BO42" s="434"/>
      <c r="BP42" s="434"/>
      <c r="BQ42" s="434"/>
      <c r="BR42" s="434"/>
      <c r="BS42" s="434"/>
      <c r="BT42" s="434"/>
      <c r="BU42" s="434"/>
      <c r="BV42" s="434"/>
      <c r="BW42" s="434"/>
      <c r="BX42" s="434"/>
      <c r="BY42" s="434"/>
      <c r="BZ42" s="434"/>
      <c r="CA42" s="434"/>
      <c r="CB42" s="434"/>
      <c r="CC42" s="434"/>
      <c r="CD42" s="434"/>
      <c r="CE42" s="434"/>
      <c r="CF42" s="434"/>
      <c r="CG42" s="434"/>
      <c r="CH42" s="434"/>
      <c r="CI42" s="434"/>
      <c r="CJ42" s="434"/>
      <c r="CK42" s="434"/>
      <c r="CL42" s="434"/>
      <c r="CM42" s="434"/>
      <c r="CN42" s="434"/>
      <c r="CO42" s="434"/>
      <c r="CP42" s="434"/>
      <c r="CQ42" s="434"/>
      <c r="CR42" s="434"/>
      <c r="CS42" s="434"/>
      <c r="CT42" s="434"/>
      <c r="CU42" s="434"/>
      <c r="CV42" s="434"/>
      <c r="CW42" s="434"/>
      <c r="CX42" s="434"/>
      <c r="CY42" s="434"/>
      <c r="CZ42" s="434"/>
      <c r="DA42" s="434"/>
      <c r="DB42" s="434"/>
      <c r="DC42" s="434"/>
      <c r="DD42" s="434"/>
      <c r="DE42" s="434"/>
      <c r="DF42" s="434"/>
      <c r="DG42" s="434"/>
      <c r="DH42" s="434"/>
      <c r="DI42" s="434"/>
      <c r="DJ42" s="434"/>
      <c r="DK42" s="434"/>
      <c r="DL42" s="434"/>
      <c r="DM42" s="434"/>
      <c r="DN42" s="434"/>
      <c r="DO42" s="434"/>
      <c r="DP42" s="434"/>
      <c r="DQ42" s="434"/>
      <c r="DR42" s="434"/>
      <c r="DS42" s="434"/>
      <c r="DT42" s="434"/>
      <c r="DU42" s="434"/>
      <c r="DV42" s="434"/>
      <c r="DW42" s="434"/>
      <c r="DX42" s="434"/>
      <c r="DY42" s="434"/>
      <c r="DZ42" s="434"/>
      <c r="EA42" s="434"/>
      <c r="EB42" s="434"/>
      <c r="EC42" s="434"/>
      <c r="ED42" s="434"/>
      <c r="EE42" s="434"/>
      <c r="EF42" s="434"/>
      <c r="EG42" s="434"/>
      <c r="EH42" s="434"/>
      <c r="EI42" s="434"/>
      <c r="EJ42" s="434"/>
      <c r="EK42" s="434"/>
      <c r="EL42" s="434"/>
      <c r="EM42" s="434"/>
      <c r="EN42" s="434"/>
      <c r="EO42" s="434"/>
      <c r="EP42" s="434"/>
      <c r="EQ42" s="434"/>
      <c r="ER42" s="434"/>
      <c r="ES42" s="434"/>
      <c r="ET42" s="434"/>
      <c r="EU42" s="434"/>
      <c r="EV42" s="434"/>
      <c r="EW42" s="434"/>
      <c r="EX42" s="434"/>
      <c r="EY42" s="434"/>
      <c r="EZ42" s="434"/>
      <c r="FA42" s="434"/>
      <c r="FB42" s="434"/>
      <c r="FC42" s="434"/>
      <c r="FD42" s="434"/>
      <c r="FE42" s="434"/>
      <c r="FF42" s="434"/>
      <c r="FG42" s="434"/>
      <c r="FH42" s="434"/>
      <c r="FI42" s="434"/>
      <c r="FJ42" s="434"/>
      <c r="FK42" s="434"/>
      <c r="FL42" s="434"/>
      <c r="FM42" s="434"/>
      <c r="FN42" s="434"/>
      <c r="FO42" s="434"/>
      <c r="FP42" s="434"/>
      <c r="FQ42" s="434"/>
      <c r="FR42" s="434"/>
      <c r="FS42" s="434"/>
      <c r="FT42" s="434"/>
      <c r="FU42" s="434"/>
      <c r="FV42" s="434"/>
      <c r="FW42" s="434"/>
      <c r="FX42" s="434"/>
      <c r="FY42" s="434"/>
      <c r="FZ42" s="434"/>
      <c r="GA42" s="434"/>
      <c r="GB42" s="434"/>
      <c r="GC42" s="434"/>
      <c r="GD42" s="434"/>
      <c r="GE42" s="434"/>
      <c r="GF42" s="434"/>
      <c r="GG42" s="434"/>
      <c r="GH42" s="434"/>
      <c r="GI42" s="434"/>
      <c r="GJ42" s="434"/>
      <c r="GK42" s="434"/>
      <c r="GL42" s="434"/>
      <c r="GM42" s="434"/>
      <c r="GN42" s="434"/>
    </row>
    <row r="43" spans="1:196" ht="15" customHeight="1">
      <c r="A43" s="206"/>
      <c r="B43" s="140">
        <v>42</v>
      </c>
      <c r="C43" s="43">
        <v>264911</v>
      </c>
      <c r="D43" s="1054" t="s">
        <v>6019</v>
      </c>
      <c r="E43" s="648" t="s">
        <v>6020</v>
      </c>
      <c r="F43" s="845">
        <v>46147</v>
      </c>
      <c r="G43" s="140">
        <v>59</v>
      </c>
      <c r="H43" s="845">
        <v>24542</v>
      </c>
      <c r="I43" s="845">
        <v>46147</v>
      </c>
      <c r="J43" s="140" t="s">
        <v>5996</v>
      </c>
      <c r="K43" s="140" t="s">
        <v>6021</v>
      </c>
      <c r="L43" s="140" t="s">
        <v>1860</v>
      </c>
      <c r="M43" s="140">
        <v>983779586</v>
      </c>
      <c r="N43" s="43"/>
      <c r="O43" s="1169" t="s">
        <v>5865</v>
      </c>
      <c r="P43" s="1205" t="s">
        <v>5866</v>
      </c>
      <c r="Q43" s="1061" t="s">
        <v>5867</v>
      </c>
      <c r="R43" s="43" t="s">
        <v>1483</v>
      </c>
      <c r="S43" s="43" t="s">
        <v>5868</v>
      </c>
      <c r="T43" s="43" t="s">
        <v>5873</v>
      </c>
      <c r="U43" s="845">
        <v>46147</v>
      </c>
      <c r="V43" s="1201">
        <v>0.59027777777777779</v>
      </c>
      <c r="W43" s="845">
        <v>46147</v>
      </c>
      <c r="X43" t="s">
        <v>6022</v>
      </c>
      <c r="Y43" t="s">
        <v>3104</v>
      </c>
      <c r="Z43" s="1203" t="s">
        <v>4477</v>
      </c>
      <c r="AA43" s="46"/>
      <c r="AB43" s="244"/>
      <c r="AC43" s="1178"/>
      <c r="AD43" s="1178"/>
      <c r="AE43" s="43"/>
      <c r="AF43" s="43"/>
      <c r="AG43" s="43"/>
      <c r="AH43" s="43"/>
      <c r="AI43" s="43"/>
      <c r="AJ43" s="43"/>
      <c r="AK43" s="43"/>
      <c r="AL43" s="43"/>
      <c r="AM43" s="43"/>
      <c r="AN43" s="43"/>
      <c r="AO43" s="43"/>
      <c r="AP43" s="43"/>
      <c r="AQ43" s="43"/>
      <c r="AR43" s="434"/>
      <c r="AS43" s="434"/>
      <c r="AT43" s="434"/>
      <c r="AU43" s="434"/>
      <c r="AV43" s="434"/>
      <c r="AW43" s="434"/>
      <c r="AX43" s="434"/>
      <c r="AY43" s="434"/>
      <c r="AZ43" s="434"/>
      <c r="BA43" s="434"/>
      <c r="BB43" s="434"/>
      <c r="BC43" s="434"/>
      <c r="BD43" s="434"/>
      <c r="BE43" s="434"/>
      <c r="BF43" s="434"/>
      <c r="BG43" s="434"/>
      <c r="BH43" s="434"/>
      <c r="BI43" s="434"/>
      <c r="BJ43" s="434"/>
      <c r="BK43" s="434"/>
      <c r="BL43" s="434"/>
      <c r="BM43" s="434"/>
      <c r="BN43" s="434"/>
      <c r="BO43" s="434"/>
      <c r="BP43" s="434"/>
      <c r="BQ43" s="434"/>
      <c r="BR43" s="434"/>
      <c r="BS43" s="434"/>
      <c r="BT43" s="434"/>
      <c r="BU43" s="434"/>
      <c r="BV43" s="434"/>
      <c r="BW43" s="434"/>
      <c r="BX43" s="434"/>
      <c r="BY43" s="434"/>
      <c r="BZ43" s="434"/>
      <c r="CA43" s="434"/>
      <c r="CB43" s="434"/>
      <c r="CC43" s="434"/>
      <c r="CD43" s="434"/>
      <c r="CE43" s="434"/>
      <c r="CF43" s="434"/>
      <c r="CG43" s="434"/>
      <c r="CH43" s="434"/>
      <c r="CI43" s="434"/>
      <c r="CJ43" s="434"/>
      <c r="CK43" s="434"/>
      <c r="CL43" s="434"/>
      <c r="CM43" s="434"/>
      <c r="CN43" s="434"/>
      <c r="CO43" s="434"/>
      <c r="CP43" s="434"/>
      <c r="CQ43" s="434"/>
      <c r="CR43" s="434"/>
      <c r="CS43" s="434"/>
      <c r="CT43" s="434"/>
      <c r="CU43" s="434"/>
      <c r="CV43" s="434"/>
      <c r="CW43" s="434"/>
      <c r="CX43" s="434"/>
      <c r="CY43" s="434"/>
      <c r="CZ43" s="434"/>
      <c r="DA43" s="434"/>
      <c r="DB43" s="434"/>
      <c r="DC43" s="434"/>
      <c r="DD43" s="434"/>
      <c r="DE43" s="434"/>
      <c r="DF43" s="434"/>
      <c r="DG43" s="434"/>
      <c r="DH43" s="434"/>
      <c r="DI43" s="434"/>
      <c r="DJ43" s="434"/>
      <c r="DK43" s="434"/>
      <c r="DL43" s="434"/>
      <c r="DM43" s="434"/>
      <c r="DN43" s="434"/>
      <c r="DO43" s="434"/>
      <c r="DP43" s="434"/>
      <c r="DQ43" s="434"/>
      <c r="DR43" s="434"/>
      <c r="DS43" s="434"/>
      <c r="DT43" s="434"/>
      <c r="DU43" s="434"/>
      <c r="DV43" s="434"/>
      <c r="DW43" s="434"/>
      <c r="DX43" s="434"/>
      <c r="DY43" s="434"/>
      <c r="DZ43" s="434"/>
      <c r="EA43" s="434"/>
      <c r="EB43" s="434"/>
      <c r="EC43" s="434"/>
      <c r="ED43" s="434"/>
      <c r="EE43" s="434"/>
      <c r="EF43" s="434"/>
      <c r="EG43" s="434"/>
      <c r="EH43" s="434"/>
      <c r="EI43" s="434"/>
      <c r="EJ43" s="434"/>
      <c r="EK43" s="434"/>
      <c r="EL43" s="434"/>
      <c r="EM43" s="434"/>
      <c r="EN43" s="434"/>
      <c r="EO43" s="434"/>
      <c r="EP43" s="434"/>
      <c r="EQ43" s="434"/>
      <c r="ER43" s="434"/>
      <c r="ES43" s="434"/>
      <c r="ET43" s="434"/>
      <c r="EU43" s="434"/>
      <c r="EV43" s="434"/>
      <c r="EW43" s="434"/>
      <c r="EX43" s="434"/>
      <c r="EY43" s="434"/>
      <c r="EZ43" s="434"/>
      <c r="FA43" s="434"/>
      <c r="FB43" s="434"/>
      <c r="FC43" s="434"/>
      <c r="FD43" s="434"/>
      <c r="FE43" s="434"/>
      <c r="FF43" s="434"/>
      <c r="FG43" s="434"/>
      <c r="FH43" s="434"/>
      <c r="FI43" s="434"/>
      <c r="FJ43" s="434"/>
      <c r="FK43" s="434"/>
      <c r="FL43" s="434"/>
      <c r="FM43" s="434"/>
      <c r="FN43" s="434"/>
      <c r="FO43" s="434"/>
      <c r="FP43" s="434"/>
      <c r="FQ43" s="434"/>
      <c r="FR43" s="434"/>
      <c r="FS43" s="434"/>
      <c r="FT43" s="434"/>
      <c r="FU43" s="434"/>
      <c r="FV43" s="434"/>
      <c r="FW43" s="434"/>
      <c r="FX43" s="434"/>
      <c r="FY43" s="434"/>
      <c r="FZ43" s="434"/>
      <c r="GA43" s="434"/>
      <c r="GB43" s="434"/>
      <c r="GC43" s="434"/>
      <c r="GD43" s="434"/>
      <c r="GE43" s="434"/>
      <c r="GF43" s="434"/>
      <c r="GG43" s="434"/>
      <c r="GH43" s="434"/>
      <c r="GI43" s="434"/>
      <c r="GJ43" s="434"/>
      <c r="GK43" s="434"/>
      <c r="GL43" s="434"/>
      <c r="GM43" s="434"/>
      <c r="GN43" s="434"/>
    </row>
    <row r="44" spans="1:196" ht="15" customHeight="1">
      <c r="A44" s="983"/>
      <c r="B44" s="1212">
        <v>43</v>
      </c>
      <c r="C44" s="143">
        <v>348556</v>
      </c>
      <c r="D44" s="1213" t="s">
        <v>6023</v>
      </c>
      <c r="E44" s="984" t="s">
        <v>6024</v>
      </c>
      <c r="F44" s="1214">
        <v>46147</v>
      </c>
      <c r="G44" s="1212">
        <v>61</v>
      </c>
      <c r="H44" s="1214">
        <v>23710</v>
      </c>
      <c r="I44" s="1214">
        <v>46147</v>
      </c>
      <c r="J44" s="1212" t="s">
        <v>5990</v>
      </c>
      <c r="K44" s="1212" t="s">
        <v>6025</v>
      </c>
      <c r="L44" s="1212" t="s">
        <v>237</v>
      </c>
      <c r="M44" s="1212">
        <v>962692821</v>
      </c>
      <c r="N44" s="143"/>
      <c r="O44" s="1169" t="s">
        <v>5865</v>
      </c>
      <c r="P44" s="1221" t="s">
        <v>5866</v>
      </c>
      <c r="Q44" s="1061" t="s">
        <v>5867</v>
      </c>
      <c r="R44" s="143" t="s">
        <v>238</v>
      </c>
      <c r="S44" s="143" t="s">
        <v>5868</v>
      </c>
      <c r="T44" s="143" t="s">
        <v>5873</v>
      </c>
      <c r="U44" s="1214">
        <v>46147</v>
      </c>
      <c r="V44" s="1215">
        <v>0.59722222222222221</v>
      </c>
      <c r="W44" s="1214">
        <v>46147</v>
      </c>
      <c r="X44" s="1222" t="s">
        <v>6026</v>
      </c>
      <c r="Y44" s="1216" t="s">
        <v>3122</v>
      </c>
      <c r="Z44" s="1217" t="s">
        <v>6027</v>
      </c>
      <c r="AA44" s="1211">
        <v>46149</v>
      </c>
      <c r="AB44" s="932"/>
      <c r="AC44" s="1218"/>
      <c r="AD44" s="1218"/>
      <c r="AE44" s="143"/>
      <c r="AF44" s="143"/>
      <c r="AG44" s="143"/>
      <c r="AH44" s="143"/>
      <c r="AI44" s="143"/>
      <c r="AJ44" s="143"/>
      <c r="AK44" s="143"/>
      <c r="AL44" s="143"/>
      <c r="AM44" s="143"/>
      <c r="AN44" s="143"/>
      <c r="AO44" s="143"/>
      <c r="AP44" s="143"/>
      <c r="AQ44" s="143"/>
      <c r="AR44" s="1219"/>
      <c r="AS44" s="1219"/>
      <c r="AT44" s="1219"/>
      <c r="AU44" s="1219"/>
      <c r="AV44" s="1219"/>
      <c r="AW44" s="1219"/>
      <c r="AX44" s="1219"/>
      <c r="AY44" s="1219"/>
      <c r="AZ44" s="1219"/>
      <c r="BA44" s="1219"/>
      <c r="BB44" s="1219"/>
      <c r="BC44" s="1219"/>
      <c r="BD44" s="1219"/>
      <c r="BE44" s="1219"/>
      <c r="BF44" s="1219"/>
      <c r="BG44" s="1219"/>
      <c r="BH44" s="1219"/>
      <c r="BI44" s="1219"/>
      <c r="BJ44" s="1219"/>
      <c r="BK44" s="1219"/>
      <c r="BL44" s="1219"/>
      <c r="BM44" s="1219"/>
      <c r="BN44" s="1219"/>
      <c r="BO44" s="1219"/>
      <c r="BP44" s="1219"/>
      <c r="BQ44" s="1219"/>
      <c r="BR44" s="1219"/>
      <c r="BS44" s="1219"/>
      <c r="BT44" s="1219"/>
      <c r="BU44" s="1219"/>
      <c r="BV44" s="1219"/>
      <c r="BW44" s="1219"/>
      <c r="BX44" s="1219"/>
      <c r="BY44" s="1219"/>
      <c r="BZ44" s="1219"/>
      <c r="CA44" s="1219"/>
      <c r="CB44" s="1219"/>
      <c r="CC44" s="1219"/>
      <c r="CD44" s="1219"/>
      <c r="CE44" s="1219"/>
      <c r="CF44" s="1219"/>
      <c r="CG44" s="1219"/>
      <c r="CH44" s="1219"/>
      <c r="CI44" s="1219"/>
      <c r="CJ44" s="1219"/>
      <c r="CK44" s="1219"/>
      <c r="CL44" s="1219"/>
      <c r="CM44" s="1219"/>
      <c r="CN44" s="1219"/>
      <c r="CO44" s="1219"/>
      <c r="CP44" s="1219"/>
      <c r="CQ44" s="1219"/>
      <c r="CR44" s="1219"/>
      <c r="CS44" s="1219"/>
      <c r="CT44" s="1219"/>
      <c r="CU44" s="1219"/>
      <c r="CV44" s="1219"/>
      <c r="CW44" s="1219"/>
      <c r="CX44" s="1219"/>
      <c r="CY44" s="1219"/>
      <c r="CZ44" s="1219"/>
      <c r="DA44" s="1219"/>
      <c r="DB44" s="1219"/>
      <c r="DC44" s="1219"/>
      <c r="DD44" s="1219"/>
      <c r="DE44" s="1219"/>
      <c r="DF44" s="1219"/>
      <c r="DG44" s="1219"/>
      <c r="DH44" s="1219"/>
      <c r="DI44" s="1219"/>
      <c r="DJ44" s="1219"/>
      <c r="DK44" s="1219"/>
      <c r="DL44" s="1219"/>
      <c r="DM44" s="1219"/>
      <c r="DN44" s="1219"/>
      <c r="DO44" s="1219"/>
      <c r="DP44" s="1219"/>
      <c r="DQ44" s="1219"/>
      <c r="DR44" s="1219"/>
      <c r="DS44" s="1219"/>
      <c r="DT44" s="1219"/>
      <c r="DU44" s="1219"/>
      <c r="DV44" s="1219"/>
      <c r="DW44" s="1219"/>
      <c r="DX44" s="1219"/>
      <c r="DY44" s="1219"/>
      <c r="DZ44" s="1219"/>
      <c r="EA44" s="1219"/>
      <c r="EB44" s="1219"/>
      <c r="EC44" s="1219"/>
      <c r="ED44" s="1219"/>
      <c r="EE44" s="1219"/>
      <c r="EF44" s="1219"/>
      <c r="EG44" s="1219"/>
      <c r="EH44" s="1219"/>
      <c r="EI44" s="1219"/>
      <c r="EJ44" s="1219"/>
      <c r="EK44" s="1219"/>
      <c r="EL44" s="1219"/>
      <c r="EM44" s="1219"/>
      <c r="EN44" s="1219"/>
      <c r="EO44" s="1219"/>
      <c r="EP44" s="1219"/>
      <c r="EQ44" s="1219"/>
      <c r="ER44" s="1219"/>
      <c r="ES44" s="1219"/>
      <c r="ET44" s="1219"/>
      <c r="EU44" s="1219"/>
      <c r="EV44" s="1219"/>
      <c r="EW44" s="1219"/>
      <c r="EX44" s="1219"/>
      <c r="EY44" s="1219"/>
      <c r="EZ44" s="1219"/>
      <c r="FA44" s="1219"/>
      <c r="FB44" s="1219"/>
      <c r="FC44" s="1219"/>
      <c r="FD44" s="1219"/>
      <c r="FE44" s="1219"/>
      <c r="FF44" s="1219"/>
      <c r="FG44" s="1219"/>
      <c r="FH44" s="1219"/>
      <c r="FI44" s="1219"/>
      <c r="FJ44" s="1219"/>
      <c r="FK44" s="1219"/>
      <c r="FL44" s="1219"/>
      <c r="FM44" s="1219"/>
      <c r="FN44" s="1219"/>
      <c r="FO44" s="1219"/>
      <c r="FP44" s="1219"/>
      <c r="FQ44" s="1219"/>
      <c r="FR44" s="1219"/>
      <c r="FS44" s="1219"/>
      <c r="FT44" s="1219"/>
      <c r="FU44" s="1219"/>
      <c r="FV44" s="1219"/>
      <c r="FW44" s="1219"/>
      <c r="FX44" s="1219"/>
      <c r="FY44" s="1219"/>
      <c r="FZ44" s="1219"/>
      <c r="GA44" s="1219"/>
      <c r="GB44" s="1219"/>
      <c r="GC44" s="1219"/>
      <c r="GD44" s="1219"/>
      <c r="GE44" s="1219"/>
      <c r="GF44" s="1219"/>
      <c r="GG44" s="1219"/>
      <c r="GH44" s="1219"/>
      <c r="GI44" s="1219"/>
      <c r="GJ44" s="1219"/>
      <c r="GK44" s="1219"/>
      <c r="GL44" s="1219"/>
      <c r="GM44" s="1219"/>
      <c r="GN44" s="1219"/>
    </row>
    <row r="45" spans="1:196" ht="15" customHeight="1">
      <c r="A45" s="206"/>
      <c r="B45" s="140">
        <v>44</v>
      </c>
      <c r="C45" s="43">
        <v>460665</v>
      </c>
      <c r="D45" s="1054" t="s">
        <v>6028</v>
      </c>
      <c r="E45" s="648" t="s">
        <v>6029</v>
      </c>
      <c r="F45" s="845">
        <v>46141</v>
      </c>
      <c r="G45" s="140">
        <v>68</v>
      </c>
      <c r="H45" s="845">
        <v>21243</v>
      </c>
      <c r="I45" s="845">
        <v>46147</v>
      </c>
      <c r="J45" s="140" t="s">
        <v>5990</v>
      </c>
      <c r="K45" s="140" t="s">
        <v>6030</v>
      </c>
      <c r="L45" s="140" t="s">
        <v>271</v>
      </c>
      <c r="M45" s="140">
        <v>902815097</v>
      </c>
      <c r="N45" s="43"/>
      <c r="O45" s="1169" t="s">
        <v>5865</v>
      </c>
      <c r="P45" s="1205" t="s">
        <v>5866</v>
      </c>
      <c r="Q45" s="1061" t="s">
        <v>5867</v>
      </c>
      <c r="R45" s="43" t="s">
        <v>164</v>
      </c>
      <c r="S45" s="43" t="s">
        <v>5868</v>
      </c>
      <c r="T45" s="43" t="s">
        <v>5873</v>
      </c>
      <c r="U45" s="845">
        <v>46147</v>
      </c>
      <c r="V45" s="1201">
        <v>0.60416666666666663</v>
      </c>
      <c r="W45" s="845">
        <v>46147</v>
      </c>
      <c r="X45" s="1209" t="s">
        <v>376</v>
      </c>
      <c r="Y45" s="1169" t="s">
        <v>3111</v>
      </c>
      <c r="Z45" s="1210" t="s">
        <v>4477</v>
      </c>
      <c r="AA45" s="1211">
        <v>46149</v>
      </c>
      <c r="AB45" s="244"/>
      <c r="AC45" s="1178"/>
      <c r="AD45" s="1178"/>
      <c r="AE45" s="43"/>
      <c r="AF45" s="43"/>
      <c r="AG45" s="43"/>
      <c r="AH45" s="43"/>
      <c r="AI45" s="43"/>
      <c r="AJ45" s="43"/>
      <c r="AK45" s="43"/>
      <c r="AL45" s="43"/>
      <c r="AM45" s="43"/>
      <c r="AN45" s="43"/>
      <c r="AO45" s="43"/>
      <c r="AP45" s="43"/>
      <c r="AQ45" s="43"/>
      <c r="AR45" s="434"/>
      <c r="AS45" s="434"/>
      <c r="AT45" s="434"/>
      <c r="AU45" s="434"/>
      <c r="AV45" s="434"/>
      <c r="AW45" s="434"/>
      <c r="AX45" s="434"/>
      <c r="AY45" s="434"/>
      <c r="AZ45" s="434"/>
      <c r="BA45" s="434"/>
      <c r="BB45" s="434"/>
      <c r="BC45" s="434"/>
      <c r="BD45" s="434"/>
      <c r="BE45" s="434"/>
      <c r="BF45" s="434"/>
      <c r="BG45" s="434"/>
      <c r="BH45" s="434"/>
      <c r="BI45" s="434"/>
      <c r="BJ45" s="434"/>
      <c r="BK45" s="434"/>
      <c r="BL45" s="434"/>
      <c r="BM45" s="434"/>
      <c r="BN45" s="434"/>
      <c r="BO45" s="434"/>
      <c r="BP45" s="434"/>
      <c r="BQ45" s="434"/>
      <c r="BR45" s="434"/>
      <c r="BS45" s="434"/>
      <c r="BT45" s="434"/>
      <c r="BU45" s="434"/>
      <c r="BV45" s="434"/>
      <c r="BW45" s="434"/>
      <c r="BX45" s="434"/>
      <c r="BY45" s="434"/>
      <c r="BZ45" s="434"/>
      <c r="CA45" s="434"/>
      <c r="CB45" s="434"/>
      <c r="CC45" s="434"/>
      <c r="CD45" s="434"/>
      <c r="CE45" s="434"/>
      <c r="CF45" s="434"/>
      <c r="CG45" s="434"/>
      <c r="CH45" s="434"/>
      <c r="CI45" s="434"/>
      <c r="CJ45" s="434"/>
      <c r="CK45" s="434"/>
      <c r="CL45" s="434"/>
      <c r="CM45" s="434"/>
      <c r="CN45" s="434"/>
      <c r="CO45" s="434"/>
      <c r="CP45" s="434"/>
      <c r="CQ45" s="434"/>
      <c r="CR45" s="434"/>
      <c r="CS45" s="434"/>
      <c r="CT45" s="434"/>
      <c r="CU45" s="434"/>
      <c r="CV45" s="434"/>
      <c r="CW45" s="434"/>
      <c r="CX45" s="434"/>
      <c r="CY45" s="434"/>
      <c r="CZ45" s="434"/>
      <c r="DA45" s="434"/>
      <c r="DB45" s="434"/>
      <c r="DC45" s="434"/>
      <c r="DD45" s="434"/>
      <c r="DE45" s="434"/>
      <c r="DF45" s="434"/>
      <c r="DG45" s="434"/>
      <c r="DH45" s="434"/>
      <c r="DI45" s="434"/>
      <c r="DJ45" s="434"/>
      <c r="DK45" s="434"/>
      <c r="DL45" s="434"/>
      <c r="DM45" s="434"/>
      <c r="DN45" s="434"/>
      <c r="DO45" s="434"/>
      <c r="DP45" s="434"/>
      <c r="DQ45" s="434"/>
      <c r="DR45" s="434"/>
      <c r="DS45" s="434"/>
      <c r="DT45" s="434"/>
      <c r="DU45" s="434"/>
      <c r="DV45" s="434"/>
      <c r="DW45" s="434"/>
      <c r="DX45" s="434"/>
      <c r="DY45" s="434"/>
      <c r="DZ45" s="434"/>
      <c r="EA45" s="434"/>
      <c r="EB45" s="434"/>
      <c r="EC45" s="434"/>
      <c r="ED45" s="434"/>
      <c r="EE45" s="434"/>
      <c r="EF45" s="434"/>
      <c r="EG45" s="434"/>
      <c r="EH45" s="434"/>
      <c r="EI45" s="434"/>
      <c r="EJ45" s="434"/>
      <c r="EK45" s="434"/>
      <c r="EL45" s="434"/>
      <c r="EM45" s="434"/>
      <c r="EN45" s="434"/>
      <c r="EO45" s="434"/>
      <c r="EP45" s="434"/>
      <c r="EQ45" s="434"/>
      <c r="ER45" s="434"/>
      <c r="ES45" s="434"/>
      <c r="ET45" s="434"/>
      <c r="EU45" s="434"/>
      <c r="EV45" s="434"/>
      <c r="EW45" s="434"/>
      <c r="EX45" s="434"/>
      <c r="EY45" s="434"/>
      <c r="EZ45" s="434"/>
      <c r="FA45" s="434"/>
      <c r="FB45" s="434"/>
      <c r="FC45" s="434"/>
      <c r="FD45" s="434"/>
      <c r="FE45" s="434"/>
      <c r="FF45" s="434"/>
      <c r="FG45" s="434"/>
      <c r="FH45" s="434"/>
      <c r="FI45" s="434"/>
      <c r="FJ45" s="434"/>
      <c r="FK45" s="434"/>
      <c r="FL45" s="434"/>
      <c r="FM45" s="434"/>
      <c r="FN45" s="434"/>
      <c r="FO45" s="434"/>
      <c r="FP45" s="434"/>
      <c r="FQ45" s="434"/>
      <c r="FR45" s="434"/>
      <c r="FS45" s="434"/>
      <c r="FT45" s="434"/>
      <c r="FU45" s="434"/>
      <c r="FV45" s="434"/>
      <c r="FW45" s="434"/>
      <c r="FX45" s="434"/>
      <c r="FY45" s="434"/>
      <c r="FZ45" s="434"/>
      <c r="GA45" s="434"/>
      <c r="GB45" s="434"/>
      <c r="GC45" s="434"/>
      <c r="GD45" s="434"/>
      <c r="GE45" s="434"/>
      <c r="GF45" s="434"/>
      <c r="GG45" s="434"/>
      <c r="GH45" s="434"/>
      <c r="GI45" s="434"/>
      <c r="GJ45" s="434"/>
      <c r="GK45" s="434"/>
      <c r="GL45" s="434"/>
      <c r="GM45" s="434"/>
      <c r="GN45" s="434"/>
    </row>
    <row r="46" spans="1:196" ht="15" customHeight="1">
      <c r="A46" s="206"/>
      <c r="B46" s="140">
        <v>45</v>
      </c>
      <c r="C46" s="43">
        <v>285042</v>
      </c>
      <c r="D46" s="1054" t="s">
        <v>6031</v>
      </c>
      <c r="E46" s="648" t="s">
        <v>6032</v>
      </c>
      <c r="F46" s="845">
        <v>46142</v>
      </c>
      <c r="G46" s="140">
        <v>48</v>
      </c>
      <c r="H46" s="845">
        <v>28604</v>
      </c>
      <c r="I46" s="845">
        <v>46147</v>
      </c>
      <c r="J46" s="140" t="s">
        <v>5986</v>
      </c>
      <c r="K46" s="140" t="s">
        <v>6033</v>
      </c>
      <c r="L46" s="140" t="s">
        <v>301</v>
      </c>
      <c r="M46" s="140">
        <v>908722853</v>
      </c>
      <c r="N46" s="43"/>
      <c r="O46" s="1169" t="s">
        <v>5865</v>
      </c>
      <c r="P46" s="1205" t="s">
        <v>5866</v>
      </c>
      <c r="Q46" s="1061" t="s">
        <v>5867</v>
      </c>
      <c r="R46" s="43" t="s">
        <v>302</v>
      </c>
      <c r="S46" s="43" t="s">
        <v>5953</v>
      </c>
      <c r="T46" s="43" t="s">
        <v>5873</v>
      </c>
      <c r="U46" s="845">
        <v>46147</v>
      </c>
      <c r="V46" s="1201">
        <v>0.61111111111111116</v>
      </c>
      <c r="W46" s="845">
        <v>46147</v>
      </c>
      <c r="X46" s="1060" t="s">
        <v>554</v>
      </c>
      <c r="Y46" s="1223" t="s">
        <v>3104</v>
      </c>
      <c r="Z46" s="1203" t="s">
        <v>1676</v>
      </c>
      <c r="AA46" s="46"/>
      <c r="AB46" s="244"/>
      <c r="AC46" s="1178"/>
      <c r="AD46" s="1178"/>
      <c r="AE46" s="43"/>
      <c r="AF46" s="43"/>
      <c r="AG46" s="43"/>
      <c r="AH46" s="43"/>
      <c r="AI46" s="43"/>
      <c r="AJ46" s="43"/>
      <c r="AK46" s="43"/>
      <c r="AL46" s="43"/>
      <c r="AM46" s="43"/>
      <c r="AN46" s="43"/>
      <c r="AO46" s="43"/>
      <c r="AP46" s="43"/>
      <c r="AQ46" s="43"/>
      <c r="AR46" s="434"/>
      <c r="AS46" s="434"/>
      <c r="AT46" s="434"/>
      <c r="AU46" s="434"/>
      <c r="AV46" s="434"/>
      <c r="AW46" s="434"/>
      <c r="AX46" s="434"/>
      <c r="AY46" s="434"/>
      <c r="AZ46" s="434"/>
      <c r="BA46" s="434"/>
      <c r="BB46" s="434"/>
      <c r="BC46" s="434"/>
      <c r="BD46" s="434"/>
      <c r="BE46" s="434"/>
      <c r="BF46" s="434"/>
      <c r="BG46" s="434"/>
      <c r="BH46" s="434"/>
      <c r="BI46" s="434"/>
      <c r="BJ46" s="434"/>
      <c r="BK46" s="434"/>
      <c r="BL46" s="434"/>
      <c r="BM46" s="434"/>
      <c r="BN46" s="434"/>
      <c r="BO46" s="434"/>
      <c r="BP46" s="434"/>
      <c r="BQ46" s="434"/>
      <c r="BR46" s="434"/>
      <c r="BS46" s="434"/>
      <c r="BT46" s="434"/>
      <c r="BU46" s="434"/>
      <c r="BV46" s="434"/>
      <c r="BW46" s="434"/>
      <c r="BX46" s="434"/>
      <c r="BY46" s="434"/>
      <c r="BZ46" s="434"/>
      <c r="CA46" s="434"/>
      <c r="CB46" s="434"/>
      <c r="CC46" s="434"/>
      <c r="CD46" s="434"/>
      <c r="CE46" s="434"/>
      <c r="CF46" s="434"/>
      <c r="CG46" s="434"/>
      <c r="CH46" s="434"/>
      <c r="CI46" s="434"/>
      <c r="CJ46" s="434"/>
      <c r="CK46" s="434"/>
      <c r="CL46" s="434"/>
      <c r="CM46" s="434"/>
      <c r="CN46" s="434"/>
      <c r="CO46" s="434"/>
      <c r="CP46" s="434"/>
      <c r="CQ46" s="434"/>
      <c r="CR46" s="434"/>
      <c r="CS46" s="434"/>
      <c r="CT46" s="434"/>
      <c r="CU46" s="434"/>
      <c r="CV46" s="434"/>
      <c r="CW46" s="434"/>
      <c r="CX46" s="434"/>
      <c r="CY46" s="434"/>
      <c r="CZ46" s="434"/>
      <c r="DA46" s="434"/>
      <c r="DB46" s="434"/>
      <c r="DC46" s="434"/>
      <c r="DD46" s="434"/>
      <c r="DE46" s="434"/>
      <c r="DF46" s="434"/>
      <c r="DG46" s="434"/>
      <c r="DH46" s="434"/>
      <c r="DI46" s="434"/>
      <c r="DJ46" s="434"/>
      <c r="DK46" s="434"/>
      <c r="DL46" s="434"/>
      <c r="DM46" s="434"/>
      <c r="DN46" s="434"/>
      <c r="DO46" s="434"/>
      <c r="DP46" s="434"/>
      <c r="DQ46" s="434"/>
      <c r="DR46" s="434"/>
      <c r="DS46" s="434"/>
      <c r="DT46" s="434"/>
      <c r="DU46" s="434"/>
      <c r="DV46" s="434"/>
      <c r="DW46" s="434"/>
      <c r="DX46" s="434"/>
      <c r="DY46" s="434"/>
      <c r="DZ46" s="434"/>
      <c r="EA46" s="434"/>
      <c r="EB46" s="434"/>
      <c r="EC46" s="434"/>
      <c r="ED46" s="434"/>
      <c r="EE46" s="434"/>
      <c r="EF46" s="434"/>
      <c r="EG46" s="434"/>
      <c r="EH46" s="434"/>
      <c r="EI46" s="434"/>
      <c r="EJ46" s="434"/>
      <c r="EK46" s="434"/>
      <c r="EL46" s="434"/>
      <c r="EM46" s="434"/>
      <c r="EN46" s="434"/>
      <c r="EO46" s="434"/>
      <c r="EP46" s="434"/>
      <c r="EQ46" s="434"/>
      <c r="ER46" s="434"/>
      <c r="ES46" s="434"/>
      <c r="ET46" s="434"/>
      <c r="EU46" s="434"/>
      <c r="EV46" s="434"/>
      <c r="EW46" s="434"/>
      <c r="EX46" s="434"/>
      <c r="EY46" s="434"/>
      <c r="EZ46" s="434"/>
      <c r="FA46" s="434"/>
      <c r="FB46" s="434"/>
      <c r="FC46" s="434"/>
      <c r="FD46" s="434"/>
      <c r="FE46" s="434"/>
      <c r="FF46" s="434"/>
      <c r="FG46" s="434"/>
      <c r="FH46" s="434"/>
      <c r="FI46" s="434"/>
      <c r="FJ46" s="434"/>
      <c r="FK46" s="434"/>
      <c r="FL46" s="434"/>
      <c r="FM46" s="434"/>
      <c r="FN46" s="434"/>
      <c r="FO46" s="434"/>
      <c r="FP46" s="434"/>
      <c r="FQ46" s="434"/>
      <c r="FR46" s="434"/>
      <c r="FS46" s="434"/>
      <c r="FT46" s="434"/>
      <c r="FU46" s="434"/>
      <c r="FV46" s="434"/>
      <c r="FW46" s="434"/>
      <c r="FX46" s="434"/>
      <c r="FY46" s="434"/>
      <c r="FZ46" s="434"/>
      <c r="GA46" s="434"/>
      <c r="GB46" s="434"/>
      <c r="GC46" s="434"/>
      <c r="GD46" s="434"/>
      <c r="GE46" s="434"/>
      <c r="GF46" s="434"/>
      <c r="GG46" s="434"/>
      <c r="GH46" s="434"/>
      <c r="GI46" s="434"/>
      <c r="GJ46" s="434"/>
      <c r="GK46" s="434"/>
      <c r="GL46" s="434"/>
      <c r="GM46" s="434"/>
      <c r="GN46" s="434"/>
    </row>
    <row r="47" spans="1:196" ht="15" customHeight="1">
      <c r="A47" s="206"/>
      <c r="B47" s="140">
        <v>46</v>
      </c>
      <c r="C47" s="43">
        <v>113217</v>
      </c>
      <c r="D47" s="1054" t="s">
        <v>6034</v>
      </c>
      <c r="E47" s="648" t="s">
        <v>6035</v>
      </c>
      <c r="F47" s="845">
        <v>46141</v>
      </c>
      <c r="G47" s="140">
        <v>44</v>
      </c>
      <c r="H47" s="845">
        <v>29966</v>
      </c>
      <c r="I47" s="845">
        <v>46147</v>
      </c>
      <c r="J47" s="140" t="s">
        <v>5990</v>
      </c>
      <c r="K47" s="140" t="s">
        <v>6036</v>
      </c>
      <c r="L47" s="140" t="s">
        <v>5864</v>
      </c>
      <c r="M47" s="140">
        <v>998155213</v>
      </c>
      <c r="N47" s="43"/>
      <c r="O47" s="1169" t="s">
        <v>5865</v>
      </c>
      <c r="P47" s="1205" t="s">
        <v>5866</v>
      </c>
      <c r="Q47" s="1061" t="s">
        <v>5867</v>
      </c>
      <c r="R47" s="43" t="s">
        <v>1905</v>
      </c>
      <c r="S47" s="43" t="s">
        <v>5953</v>
      </c>
      <c r="T47" s="43" t="s">
        <v>5873</v>
      </c>
      <c r="U47" s="845">
        <v>46147</v>
      </c>
      <c r="V47" s="1201">
        <v>0.61805555555555558</v>
      </c>
      <c r="W47" s="845">
        <v>46147</v>
      </c>
      <c r="X47" s="1209" t="s">
        <v>376</v>
      </c>
      <c r="Y47" s="1169" t="s">
        <v>3111</v>
      </c>
      <c r="Z47" s="1210" t="s">
        <v>4477</v>
      </c>
      <c r="AA47" s="46"/>
      <c r="AB47" s="244"/>
      <c r="AC47" s="1178"/>
      <c r="AD47" s="1178"/>
      <c r="AE47" s="43"/>
      <c r="AF47" s="43"/>
      <c r="AG47" s="43"/>
      <c r="AH47" s="43"/>
      <c r="AI47" s="43"/>
      <c r="AJ47" s="43"/>
      <c r="AK47" s="43"/>
      <c r="AL47" s="43"/>
      <c r="AM47" s="43"/>
      <c r="AN47" s="43"/>
      <c r="AO47" s="43"/>
      <c r="AP47" s="43"/>
      <c r="AQ47" s="43"/>
      <c r="AR47" s="434"/>
      <c r="AS47" s="434"/>
      <c r="AT47" s="434"/>
      <c r="AU47" s="434"/>
      <c r="AV47" s="434"/>
      <c r="AW47" s="434"/>
      <c r="AX47" s="434"/>
      <c r="AY47" s="434"/>
      <c r="AZ47" s="434"/>
      <c r="BA47" s="434"/>
      <c r="BB47" s="434"/>
      <c r="BC47" s="434"/>
      <c r="BD47" s="434"/>
      <c r="BE47" s="434"/>
      <c r="BF47" s="434"/>
      <c r="BG47" s="434"/>
      <c r="BH47" s="434"/>
      <c r="BI47" s="434"/>
      <c r="BJ47" s="434"/>
      <c r="BK47" s="434"/>
      <c r="BL47" s="434"/>
      <c r="BM47" s="434"/>
      <c r="BN47" s="434"/>
      <c r="BO47" s="434"/>
      <c r="BP47" s="434"/>
      <c r="BQ47" s="434"/>
      <c r="BR47" s="434"/>
      <c r="BS47" s="434"/>
      <c r="BT47" s="434"/>
      <c r="BU47" s="434"/>
      <c r="BV47" s="434"/>
      <c r="BW47" s="434"/>
      <c r="BX47" s="434"/>
      <c r="BY47" s="434"/>
      <c r="BZ47" s="434"/>
      <c r="CA47" s="434"/>
      <c r="CB47" s="434"/>
      <c r="CC47" s="434"/>
      <c r="CD47" s="434"/>
      <c r="CE47" s="434"/>
      <c r="CF47" s="434"/>
      <c r="CG47" s="434"/>
      <c r="CH47" s="434"/>
      <c r="CI47" s="434"/>
      <c r="CJ47" s="434"/>
      <c r="CK47" s="434"/>
      <c r="CL47" s="434"/>
      <c r="CM47" s="434"/>
      <c r="CN47" s="434"/>
      <c r="CO47" s="434"/>
      <c r="CP47" s="434"/>
      <c r="CQ47" s="434"/>
      <c r="CR47" s="434"/>
      <c r="CS47" s="434"/>
      <c r="CT47" s="434"/>
      <c r="CU47" s="434"/>
      <c r="CV47" s="434"/>
      <c r="CW47" s="434"/>
      <c r="CX47" s="434"/>
      <c r="CY47" s="434"/>
      <c r="CZ47" s="434"/>
      <c r="DA47" s="434"/>
      <c r="DB47" s="434"/>
      <c r="DC47" s="434"/>
      <c r="DD47" s="434"/>
      <c r="DE47" s="434"/>
      <c r="DF47" s="434"/>
      <c r="DG47" s="434"/>
      <c r="DH47" s="434"/>
      <c r="DI47" s="434"/>
      <c r="DJ47" s="434"/>
      <c r="DK47" s="434"/>
      <c r="DL47" s="434"/>
      <c r="DM47" s="434"/>
      <c r="DN47" s="434"/>
      <c r="DO47" s="434"/>
      <c r="DP47" s="434"/>
      <c r="DQ47" s="434"/>
      <c r="DR47" s="434"/>
      <c r="DS47" s="434"/>
      <c r="DT47" s="434"/>
      <c r="DU47" s="434"/>
      <c r="DV47" s="434"/>
      <c r="DW47" s="434"/>
      <c r="DX47" s="434"/>
      <c r="DY47" s="434"/>
      <c r="DZ47" s="434"/>
      <c r="EA47" s="434"/>
      <c r="EB47" s="434"/>
      <c r="EC47" s="434"/>
      <c r="ED47" s="434"/>
      <c r="EE47" s="434"/>
      <c r="EF47" s="434"/>
      <c r="EG47" s="434"/>
      <c r="EH47" s="434"/>
      <c r="EI47" s="434"/>
      <c r="EJ47" s="434"/>
      <c r="EK47" s="434"/>
      <c r="EL47" s="434"/>
      <c r="EM47" s="434"/>
      <c r="EN47" s="434"/>
      <c r="EO47" s="434"/>
      <c r="EP47" s="434"/>
      <c r="EQ47" s="434"/>
      <c r="ER47" s="434"/>
      <c r="ES47" s="434"/>
      <c r="ET47" s="434"/>
      <c r="EU47" s="434"/>
      <c r="EV47" s="434"/>
      <c r="EW47" s="434"/>
      <c r="EX47" s="434"/>
      <c r="EY47" s="434"/>
      <c r="EZ47" s="434"/>
      <c r="FA47" s="434"/>
      <c r="FB47" s="434"/>
      <c r="FC47" s="434"/>
      <c r="FD47" s="434"/>
      <c r="FE47" s="434"/>
      <c r="FF47" s="434"/>
      <c r="FG47" s="434"/>
      <c r="FH47" s="434"/>
      <c r="FI47" s="434"/>
      <c r="FJ47" s="434"/>
      <c r="FK47" s="434"/>
      <c r="FL47" s="434"/>
      <c r="FM47" s="434"/>
      <c r="FN47" s="434"/>
      <c r="FO47" s="434"/>
      <c r="FP47" s="434"/>
      <c r="FQ47" s="434"/>
      <c r="FR47" s="434"/>
      <c r="FS47" s="434"/>
      <c r="FT47" s="434"/>
      <c r="FU47" s="434"/>
      <c r="FV47" s="434"/>
      <c r="FW47" s="434"/>
      <c r="FX47" s="434"/>
      <c r="FY47" s="434"/>
      <c r="FZ47" s="434"/>
      <c r="GA47" s="434"/>
      <c r="GB47" s="434"/>
      <c r="GC47" s="434"/>
      <c r="GD47" s="434"/>
      <c r="GE47" s="434"/>
      <c r="GF47" s="434"/>
      <c r="GG47" s="434"/>
      <c r="GH47" s="434"/>
      <c r="GI47" s="434"/>
      <c r="GJ47" s="434"/>
      <c r="GK47" s="434"/>
      <c r="GL47" s="434"/>
      <c r="GM47" s="434"/>
      <c r="GN47" s="434"/>
    </row>
    <row r="48" spans="1:196" ht="15" customHeight="1">
      <c r="A48" s="206"/>
      <c r="B48" s="140">
        <v>47</v>
      </c>
      <c r="C48" s="43">
        <v>525471</v>
      </c>
      <c r="D48" s="1054" t="s">
        <v>6037</v>
      </c>
      <c r="E48" s="648" t="s">
        <v>6038</v>
      </c>
      <c r="F48" s="845">
        <v>46142</v>
      </c>
      <c r="G48" s="140">
        <v>43</v>
      </c>
      <c r="H48" s="845">
        <v>30399</v>
      </c>
      <c r="I48" s="845">
        <v>46147</v>
      </c>
      <c r="J48" s="140" t="s">
        <v>5996</v>
      </c>
      <c r="K48" s="140" t="s">
        <v>6039</v>
      </c>
      <c r="L48" s="140" t="s">
        <v>301</v>
      </c>
      <c r="M48" s="140">
        <v>962512064</v>
      </c>
      <c r="N48" s="43"/>
      <c r="O48" s="1169" t="s">
        <v>5865</v>
      </c>
      <c r="P48" s="1205" t="s">
        <v>5866</v>
      </c>
      <c r="Q48" s="1061" t="s">
        <v>5867</v>
      </c>
      <c r="R48" s="43" t="s">
        <v>302</v>
      </c>
      <c r="S48" s="43" t="s">
        <v>5953</v>
      </c>
      <c r="T48" s="43" t="s">
        <v>5873</v>
      </c>
      <c r="U48" s="845">
        <v>46147</v>
      </c>
      <c r="V48" s="1201">
        <v>0.625</v>
      </c>
      <c r="W48" s="845">
        <v>46147</v>
      </c>
      <c r="X48" s="1209" t="s">
        <v>376</v>
      </c>
      <c r="Y48" s="1169" t="s">
        <v>3111</v>
      </c>
      <c r="Z48" s="1210" t="s">
        <v>4477</v>
      </c>
      <c r="AA48" s="46"/>
      <c r="AB48" s="244"/>
      <c r="AC48" s="1178"/>
      <c r="AD48" s="1178"/>
      <c r="AE48" s="43"/>
      <c r="AF48" s="43"/>
      <c r="AG48" s="43"/>
      <c r="AH48" s="43"/>
      <c r="AI48" s="43"/>
      <c r="AJ48" s="43"/>
      <c r="AK48" s="43"/>
      <c r="AL48" s="43"/>
      <c r="AM48" s="43"/>
      <c r="AN48" s="43"/>
      <c r="AO48" s="43"/>
      <c r="AP48" s="43"/>
      <c r="AQ48" s="43"/>
      <c r="AR48" s="434"/>
      <c r="AS48" s="434"/>
      <c r="AT48" s="434"/>
      <c r="AU48" s="434"/>
      <c r="AV48" s="434"/>
      <c r="AW48" s="434"/>
      <c r="AX48" s="434"/>
      <c r="AY48" s="434"/>
      <c r="AZ48" s="434"/>
      <c r="BA48" s="434"/>
      <c r="BB48" s="434"/>
      <c r="BC48" s="434"/>
      <c r="BD48" s="434"/>
      <c r="BE48" s="434"/>
      <c r="BF48" s="434"/>
      <c r="BG48" s="434"/>
      <c r="BH48" s="434"/>
      <c r="BI48" s="434"/>
      <c r="BJ48" s="434"/>
      <c r="BK48" s="434"/>
      <c r="BL48" s="434"/>
      <c r="BM48" s="434"/>
      <c r="BN48" s="434"/>
      <c r="BO48" s="434"/>
      <c r="BP48" s="434"/>
      <c r="BQ48" s="434"/>
      <c r="BR48" s="434"/>
      <c r="BS48" s="434"/>
      <c r="BT48" s="434"/>
      <c r="BU48" s="434"/>
      <c r="BV48" s="434"/>
      <c r="BW48" s="434"/>
      <c r="BX48" s="434"/>
      <c r="BY48" s="434"/>
      <c r="BZ48" s="434"/>
      <c r="CA48" s="434"/>
      <c r="CB48" s="434"/>
      <c r="CC48" s="434"/>
      <c r="CD48" s="434"/>
      <c r="CE48" s="434"/>
      <c r="CF48" s="434"/>
      <c r="CG48" s="434"/>
      <c r="CH48" s="434"/>
      <c r="CI48" s="434"/>
      <c r="CJ48" s="434"/>
      <c r="CK48" s="434"/>
      <c r="CL48" s="434"/>
      <c r="CM48" s="434"/>
      <c r="CN48" s="434"/>
      <c r="CO48" s="434"/>
      <c r="CP48" s="434"/>
      <c r="CQ48" s="434"/>
      <c r="CR48" s="434"/>
      <c r="CS48" s="434"/>
      <c r="CT48" s="434"/>
      <c r="CU48" s="434"/>
      <c r="CV48" s="434"/>
      <c r="CW48" s="434"/>
      <c r="CX48" s="434"/>
      <c r="CY48" s="434"/>
      <c r="CZ48" s="434"/>
      <c r="DA48" s="434"/>
      <c r="DB48" s="434"/>
      <c r="DC48" s="434"/>
      <c r="DD48" s="434"/>
      <c r="DE48" s="434"/>
      <c r="DF48" s="434"/>
      <c r="DG48" s="434"/>
      <c r="DH48" s="434"/>
      <c r="DI48" s="434"/>
      <c r="DJ48" s="434"/>
      <c r="DK48" s="434"/>
      <c r="DL48" s="434"/>
      <c r="DM48" s="434"/>
      <c r="DN48" s="434"/>
      <c r="DO48" s="434"/>
      <c r="DP48" s="434"/>
      <c r="DQ48" s="434"/>
      <c r="DR48" s="434"/>
      <c r="DS48" s="434"/>
      <c r="DT48" s="434"/>
      <c r="DU48" s="434"/>
      <c r="DV48" s="434"/>
      <c r="DW48" s="434"/>
      <c r="DX48" s="434"/>
      <c r="DY48" s="434"/>
      <c r="DZ48" s="434"/>
      <c r="EA48" s="434"/>
      <c r="EB48" s="434"/>
      <c r="EC48" s="434"/>
      <c r="ED48" s="434"/>
      <c r="EE48" s="434"/>
      <c r="EF48" s="434"/>
      <c r="EG48" s="434"/>
      <c r="EH48" s="434"/>
      <c r="EI48" s="434"/>
      <c r="EJ48" s="434"/>
      <c r="EK48" s="434"/>
      <c r="EL48" s="434"/>
      <c r="EM48" s="434"/>
      <c r="EN48" s="434"/>
      <c r="EO48" s="434"/>
      <c r="EP48" s="434"/>
      <c r="EQ48" s="434"/>
      <c r="ER48" s="434"/>
      <c r="ES48" s="434"/>
      <c r="ET48" s="434"/>
      <c r="EU48" s="434"/>
      <c r="EV48" s="434"/>
      <c r="EW48" s="434"/>
      <c r="EX48" s="434"/>
      <c r="EY48" s="434"/>
      <c r="EZ48" s="434"/>
      <c r="FA48" s="434"/>
      <c r="FB48" s="434"/>
      <c r="FC48" s="434"/>
      <c r="FD48" s="434"/>
      <c r="FE48" s="434"/>
      <c r="FF48" s="434"/>
      <c r="FG48" s="434"/>
      <c r="FH48" s="434"/>
      <c r="FI48" s="434"/>
      <c r="FJ48" s="434"/>
      <c r="FK48" s="434"/>
      <c r="FL48" s="434"/>
      <c r="FM48" s="434"/>
      <c r="FN48" s="434"/>
      <c r="FO48" s="434"/>
      <c r="FP48" s="434"/>
      <c r="FQ48" s="434"/>
      <c r="FR48" s="434"/>
      <c r="FS48" s="434"/>
      <c r="FT48" s="434"/>
      <c r="FU48" s="434"/>
      <c r="FV48" s="434"/>
      <c r="FW48" s="434"/>
      <c r="FX48" s="434"/>
      <c r="FY48" s="434"/>
      <c r="FZ48" s="434"/>
      <c r="GA48" s="434"/>
      <c r="GB48" s="434"/>
      <c r="GC48" s="434"/>
      <c r="GD48" s="434"/>
      <c r="GE48" s="434"/>
      <c r="GF48" s="434"/>
      <c r="GG48" s="434"/>
      <c r="GH48" s="434"/>
      <c r="GI48" s="434"/>
      <c r="GJ48" s="434"/>
      <c r="GK48" s="434"/>
      <c r="GL48" s="434"/>
      <c r="GM48" s="434"/>
      <c r="GN48" s="434"/>
    </row>
    <row r="49" spans="1:196" ht="15" customHeight="1">
      <c r="A49" s="206"/>
      <c r="B49" s="140">
        <v>48</v>
      </c>
      <c r="C49" s="43">
        <v>525610</v>
      </c>
      <c r="D49" s="1054" t="s">
        <v>6040</v>
      </c>
      <c r="E49" s="648" t="s">
        <v>6041</v>
      </c>
      <c r="F49" s="845">
        <v>46147</v>
      </c>
      <c r="G49" s="140">
        <v>59</v>
      </c>
      <c r="H49" s="44">
        <v>24501</v>
      </c>
      <c r="I49" s="845">
        <v>46147</v>
      </c>
      <c r="J49" s="43" t="s">
        <v>5990</v>
      </c>
      <c r="K49" s="43" t="s">
        <v>6042</v>
      </c>
      <c r="L49" s="43" t="s">
        <v>461</v>
      </c>
      <c r="M49" s="147">
        <v>944938834</v>
      </c>
      <c r="N49" s="43"/>
      <c r="O49" s="1169" t="s">
        <v>5865</v>
      </c>
      <c r="P49" s="1205" t="s">
        <v>5866</v>
      </c>
      <c r="Q49" s="1061" t="s">
        <v>5867</v>
      </c>
      <c r="R49" s="43" t="s">
        <v>162</v>
      </c>
      <c r="S49" s="43" t="s">
        <v>5868</v>
      </c>
      <c r="T49" s="43" t="s">
        <v>5873</v>
      </c>
      <c r="U49" s="845">
        <v>46147</v>
      </c>
      <c r="V49" s="1201">
        <v>0.64583333333333337</v>
      </c>
      <c r="W49" s="845">
        <v>46147</v>
      </c>
      <c r="X49" s="1209" t="s">
        <v>376</v>
      </c>
      <c r="Y49" s="1169" t="s">
        <v>3111</v>
      </c>
      <c r="Z49" s="1210" t="s">
        <v>4477</v>
      </c>
      <c r="AA49" s="1211">
        <v>46149</v>
      </c>
      <c r="AB49" s="244"/>
      <c r="AC49" s="1178"/>
      <c r="AD49" s="1178"/>
      <c r="AE49" s="43"/>
      <c r="AF49" s="43"/>
      <c r="AG49" s="43"/>
      <c r="AH49" s="43"/>
      <c r="AI49" s="43"/>
      <c r="AJ49" s="43"/>
      <c r="AK49" s="43"/>
      <c r="AL49" s="43"/>
      <c r="AM49" s="43"/>
      <c r="AN49" s="43"/>
      <c r="AO49" s="43"/>
      <c r="AP49" s="43"/>
      <c r="AQ49" s="43"/>
      <c r="AR49" s="434"/>
      <c r="AS49" s="434"/>
      <c r="AT49" s="434"/>
      <c r="AU49" s="434"/>
      <c r="AV49" s="434"/>
      <c r="AW49" s="434"/>
      <c r="AX49" s="434"/>
      <c r="AY49" s="434"/>
      <c r="AZ49" s="434"/>
      <c r="BA49" s="434"/>
      <c r="BB49" s="434"/>
      <c r="BC49" s="434"/>
      <c r="BD49" s="434"/>
      <c r="BE49" s="434"/>
      <c r="BF49" s="434"/>
      <c r="BG49" s="434"/>
      <c r="BH49" s="434"/>
      <c r="BI49" s="434"/>
      <c r="BJ49" s="434"/>
      <c r="BK49" s="434"/>
      <c r="BL49" s="434"/>
      <c r="BM49" s="434"/>
      <c r="BN49" s="434"/>
      <c r="BO49" s="434"/>
      <c r="BP49" s="434"/>
      <c r="BQ49" s="434"/>
      <c r="BR49" s="434"/>
      <c r="BS49" s="434"/>
      <c r="BT49" s="434"/>
      <c r="BU49" s="434"/>
      <c r="BV49" s="434"/>
      <c r="BW49" s="434"/>
      <c r="BX49" s="434"/>
      <c r="BY49" s="434"/>
      <c r="BZ49" s="434"/>
      <c r="CA49" s="434"/>
      <c r="CB49" s="434"/>
      <c r="CC49" s="434"/>
      <c r="CD49" s="434"/>
      <c r="CE49" s="434"/>
      <c r="CF49" s="434"/>
      <c r="CG49" s="434"/>
      <c r="CH49" s="434"/>
      <c r="CI49" s="434"/>
      <c r="CJ49" s="434"/>
      <c r="CK49" s="434"/>
      <c r="CL49" s="434"/>
      <c r="CM49" s="434"/>
      <c r="CN49" s="434"/>
      <c r="CO49" s="434"/>
      <c r="CP49" s="434"/>
      <c r="CQ49" s="434"/>
      <c r="CR49" s="434"/>
      <c r="CS49" s="434"/>
      <c r="CT49" s="434"/>
      <c r="CU49" s="434"/>
      <c r="CV49" s="434"/>
      <c r="CW49" s="434"/>
      <c r="CX49" s="434"/>
      <c r="CY49" s="434"/>
      <c r="CZ49" s="434"/>
      <c r="DA49" s="434"/>
      <c r="DB49" s="434"/>
      <c r="DC49" s="434"/>
      <c r="DD49" s="434"/>
      <c r="DE49" s="434"/>
      <c r="DF49" s="434"/>
      <c r="DG49" s="434"/>
      <c r="DH49" s="434"/>
      <c r="DI49" s="434"/>
      <c r="DJ49" s="434"/>
      <c r="DK49" s="434"/>
      <c r="DL49" s="434"/>
      <c r="DM49" s="434"/>
      <c r="DN49" s="434"/>
      <c r="DO49" s="434"/>
      <c r="DP49" s="434"/>
      <c r="DQ49" s="434"/>
      <c r="DR49" s="434"/>
      <c r="DS49" s="434"/>
      <c r="DT49" s="434"/>
      <c r="DU49" s="434"/>
      <c r="DV49" s="434"/>
      <c r="DW49" s="434"/>
      <c r="DX49" s="434"/>
      <c r="DY49" s="434"/>
      <c r="DZ49" s="434"/>
      <c r="EA49" s="434"/>
      <c r="EB49" s="434"/>
      <c r="EC49" s="434"/>
      <c r="ED49" s="434"/>
      <c r="EE49" s="434"/>
      <c r="EF49" s="434"/>
      <c r="EG49" s="434"/>
      <c r="EH49" s="434"/>
      <c r="EI49" s="434"/>
      <c r="EJ49" s="434"/>
      <c r="EK49" s="434"/>
      <c r="EL49" s="434"/>
      <c r="EM49" s="434"/>
      <c r="EN49" s="434"/>
      <c r="EO49" s="434"/>
      <c r="EP49" s="434"/>
      <c r="EQ49" s="434"/>
      <c r="ER49" s="434"/>
      <c r="ES49" s="434"/>
      <c r="ET49" s="434"/>
      <c r="EU49" s="434"/>
      <c r="EV49" s="434"/>
      <c r="EW49" s="434"/>
      <c r="EX49" s="434"/>
      <c r="EY49" s="434"/>
      <c r="EZ49" s="434"/>
      <c r="FA49" s="434"/>
      <c r="FB49" s="434"/>
      <c r="FC49" s="434"/>
      <c r="FD49" s="434"/>
      <c r="FE49" s="434"/>
      <c r="FF49" s="434"/>
      <c r="FG49" s="434"/>
      <c r="FH49" s="434"/>
      <c r="FI49" s="434"/>
      <c r="FJ49" s="434"/>
      <c r="FK49" s="434"/>
      <c r="FL49" s="434"/>
      <c r="FM49" s="434"/>
      <c r="FN49" s="434"/>
      <c r="FO49" s="434"/>
      <c r="FP49" s="434"/>
      <c r="FQ49" s="434"/>
      <c r="FR49" s="434"/>
      <c r="FS49" s="434"/>
      <c r="FT49" s="434"/>
      <c r="FU49" s="434"/>
      <c r="FV49" s="434"/>
      <c r="FW49" s="434"/>
      <c r="FX49" s="434"/>
      <c r="FY49" s="434"/>
      <c r="FZ49" s="434"/>
      <c r="GA49" s="434"/>
      <c r="GB49" s="434"/>
      <c r="GC49" s="434"/>
      <c r="GD49" s="434"/>
      <c r="GE49" s="434"/>
      <c r="GF49" s="434"/>
      <c r="GG49" s="434"/>
      <c r="GH49" s="434"/>
      <c r="GI49" s="434"/>
      <c r="GJ49" s="434"/>
      <c r="GK49" s="434"/>
      <c r="GL49" s="434"/>
      <c r="GM49" s="434"/>
      <c r="GN49" s="434"/>
    </row>
    <row r="50" spans="1:196" ht="15" customHeight="1">
      <c r="A50" s="206"/>
      <c r="B50" s="140">
        <v>49</v>
      </c>
      <c r="C50" s="43">
        <v>303202</v>
      </c>
      <c r="D50" s="1054" t="s">
        <v>6043</v>
      </c>
      <c r="E50" s="648" t="s">
        <v>6044</v>
      </c>
      <c r="F50" s="845">
        <v>46141</v>
      </c>
      <c r="G50" s="140">
        <v>43</v>
      </c>
      <c r="H50" s="44">
        <v>30352</v>
      </c>
      <c r="I50" s="845">
        <v>46147</v>
      </c>
      <c r="J50" s="43" t="s">
        <v>6045</v>
      </c>
      <c r="K50" s="43" t="s">
        <v>6046</v>
      </c>
      <c r="L50" s="43" t="s">
        <v>278</v>
      </c>
      <c r="M50" s="147">
        <v>939418570</v>
      </c>
      <c r="N50" s="43"/>
      <c r="O50" s="1169" t="s">
        <v>5865</v>
      </c>
      <c r="P50" s="43" t="s">
        <v>5866</v>
      </c>
      <c r="Q50" s="1061" t="s">
        <v>5867</v>
      </c>
      <c r="R50" s="43" t="s">
        <v>238</v>
      </c>
      <c r="S50" s="43" t="s">
        <v>5868</v>
      </c>
      <c r="T50" s="43" t="s">
        <v>5873</v>
      </c>
      <c r="U50" s="845">
        <v>46147</v>
      </c>
      <c r="V50" s="1201">
        <v>0.70138888888888884</v>
      </c>
      <c r="W50" s="845">
        <v>46147</v>
      </c>
      <c r="X50" s="1060" t="s">
        <v>388</v>
      </c>
      <c r="Y50" s="1169" t="s">
        <v>3111</v>
      </c>
      <c r="Z50" s="1203" t="s">
        <v>1676</v>
      </c>
      <c r="AA50" s="1211">
        <v>46149</v>
      </c>
      <c r="AB50" s="244"/>
      <c r="AC50" s="1178"/>
      <c r="AD50" s="1178"/>
      <c r="AE50" s="43"/>
      <c r="AF50" s="43"/>
      <c r="AG50" s="43"/>
      <c r="AH50" s="43"/>
      <c r="AI50" s="43"/>
      <c r="AJ50" s="43"/>
      <c r="AK50" s="43"/>
      <c r="AL50" s="43"/>
      <c r="AM50" s="43"/>
      <c r="AN50" s="43"/>
      <c r="AO50" s="43"/>
      <c r="AP50" s="43"/>
      <c r="AQ50" s="43"/>
      <c r="AR50" s="434"/>
      <c r="AS50" s="434"/>
      <c r="AT50" s="434"/>
      <c r="AU50" s="434"/>
      <c r="AV50" s="434"/>
      <c r="AW50" s="434"/>
      <c r="AX50" s="434"/>
      <c r="AY50" s="434"/>
      <c r="AZ50" s="434"/>
      <c r="BA50" s="434"/>
      <c r="BB50" s="434"/>
      <c r="BC50" s="434"/>
      <c r="BD50" s="434"/>
      <c r="BE50" s="434"/>
      <c r="BF50" s="434"/>
      <c r="BG50" s="434"/>
      <c r="BH50" s="434"/>
      <c r="BI50" s="434"/>
      <c r="BJ50" s="434"/>
      <c r="BK50" s="434"/>
      <c r="BL50" s="434"/>
      <c r="BM50" s="434"/>
      <c r="BN50" s="434"/>
      <c r="BO50" s="434"/>
      <c r="BP50" s="434"/>
      <c r="BQ50" s="434"/>
      <c r="BR50" s="434"/>
      <c r="BS50" s="434"/>
      <c r="BT50" s="434"/>
      <c r="BU50" s="434"/>
      <c r="BV50" s="434"/>
      <c r="BW50" s="434"/>
      <c r="BX50" s="434"/>
      <c r="BY50" s="434"/>
      <c r="BZ50" s="434"/>
      <c r="CA50" s="434"/>
      <c r="CB50" s="434"/>
      <c r="CC50" s="434"/>
      <c r="CD50" s="434"/>
      <c r="CE50" s="434"/>
      <c r="CF50" s="434"/>
      <c r="CG50" s="434"/>
      <c r="CH50" s="434"/>
      <c r="CI50" s="434"/>
      <c r="CJ50" s="434"/>
      <c r="CK50" s="434"/>
      <c r="CL50" s="434"/>
      <c r="CM50" s="434"/>
      <c r="CN50" s="434"/>
      <c r="CO50" s="434"/>
      <c r="CP50" s="434"/>
      <c r="CQ50" s="434"/>
      <c r="CR50" s="434"/>
      <c r="CS50" s="434"/>
      <c r="CT50" s="434"/>
      <c r="CU50" s="434"/>
      <c r="CV50" s="434"/>
      <c r="CW50" s="434"/>
      <c r="CX50" s="434"/>
      <c r="CY50" s="434"/>
      <c r="CZ50" s="434"/>
      <c r="DA50" s="434"/>
      <c r="DB50" s="434"/>
      <c r="DC50" s="434"/>
      <c r="DD50" s="434"/>
      <c r="DE50" s="434"/>
      <c r="DF50" s="434"/>
      <c r="DG50" s="434"/>
      <c r="DH50" s="434"/>
      <c r="DI50" s="434"/>
      <c r="DJ50" s="434"/>
      <c r="DK50" s="434"/>
      <c r="DL50" s="434"/>
      <c r="DM50" s="434"/>
      <c r="DN50" s="434"/>
      <c r="DO50" s="434"/>
      <c r="DP50" s="434"/>
      <c r="DQ50" s="434"/>
      <c r="DR50" s="434"/>
      <c r="DS50" s="434"/>
      <c r="DT50" s="434"/>
      <c r="DU50" s="434"/>
      <c r="DV50" s="434"/>
      <c r="DW50" s="434"/>
      <c r="DX50" s="434"/>
      <c r="DY50" s="434"/>
      <c r="DZ50" s="434"/>
      <c r="EA50" s="434"/>
      <c r="EB50" s="434"/>
      <c r="EC50" s="434"/>
      <c r="ED50" s="434"/>
      <c r="EE50" s="434"/>
      <c r="EF50" s="434"/>
      <c r="EG50" s="434"/>
      <c r="EH50" s="434"/>
      <c r="EI50" s="434"/>
      <c r="EJ50" s="434"/>
      <c r="EK50" s="434"/>
      <c r="EL50" s="434"/>
      <c r="EM50" s="434"/>
      <c r="EN50" s="434"/>
      <c r="EO50" s="434"/>
      <c r="EP50" s="434"/>
      <c r="EQ50" s="434"/>
      <c r="ER50" s="434"/>
      <c r="ES50" s="434"/>
      <c r="ET50" s="434"/>
      <c r="EU50" s="434"/>
      <c r="EV50" s="434"/>
      <c r="EW50" s="434"/>
      <c r="EX50" s="434"/>
      <c r="EY50" s="434"/>
      <c r="EZ50" s="434"/>
      <c r="FA50" s="434"/>
      <c r="FB50" s="434"/>
      <c r="FC50" s="434"/>
      <c r="FD50" s="434"/>
      <c r="FE50" s="434"/>
      <c r="FF50" s="434"/>
      <c r="FG50" s="434"/>
      <c r="FH50" s="434"/>
      <c r="FI50" s="434"/>
      <c r="FJ50" s="434"/>
      <c r="FK50" s="434"/>
      <c r="FL50" s="434"/>
      <c r="FM50" s="434"/>
      <c r="FN50" s="434"/>
      <c r="FO50" s="434"/>
      <c r="FP50" s="434"/>
      <c r="FQ50" s="434"/>
      <c r="FR50" s="434"/>
      <c r="FS50" s="434"/>
      <c r="FT50" s="434"/>
      <c r="FU50" s="434"/>
      <c r="FV50" s="434"/>
      <c r="FW50" s="434"/>
      <c r="FX50" s="434"/>
      <c r="FY50" s="434"/>
      <c r="FZ50" s="434"/>
      <c r="GA50" s="434"/>
      <c r="GB50" s="434"/>
      <c r="GC50" s="434"/>
      <c r="GD50" s="434"/>
      <c r="GE50" s="434"/>
      <c r="GF50" s="434"/>
      <c r="GG50" s="434"/>
      <c r="GH50" s="434"/>
      <c r="GI50" s="434"/>
      <c r="GJ50" s="434"/>
      <c r="GK50" s="434"/>
      <c r="GL50" s="434"/>
      <c r="GM50" s="434"/>
      <c r="GN50" s="434"/>
    </row>
    <row r="51" spans="1:196" ht="15" customHeight="1">
      <c r="A51" s="206"/>
      <c r="B51" s="140">
        <v>50</v>
      </c>
      <c r="C51" s="43">
        <v>211021</v>
      </c>
      <c r="D51" s="1054" t="s">
        <v>6047</v>
      </c>
      <c r="E51" s="648" t="s">
        <v>6048</v>
      </c>
      <c r="F51" s="845">
        <v>46141</v>
      </c>
      <c r="G51" s="140">
        <v>51</v>
      </c>
      <c r="H51" s="44">
        <v>27302</v>
      </c>
      <c r="I51" s="845">
        <v>46147</v>
      </c>
      <c r="J51" s="43" t="s">
        <v>5990</v>
      </c>
      <c r="K51" s="43" t="s">
        <v>6049</v>
      </c>
      <c r="L51" s="43" t="s">
        <v>278</v>
      </c>
      <c r="M51" s="147">
        <v>947034914</v>
      </c>
      <c r="N51" s="43"/>
      <c r="O51" s="1169" t="s">
        <v>5865</v>
      </c>
      <c r="P51" s="43" t="s">
        <v>5866</v>
      </c>
      <c r="Q51" s="1061" t="s">
        <v>5867</v>
      </c>
      <c r="R51" s="43" t="s">
        <v>238</v>
      </c>
      <c r="S51" s="43" t="s">
        <v>5868</v>
      </c>
      <c r="T51" s="43" t="s">
        <v>5869</v>
      </c>
      <c r="U51" s="845">
        <v>46147</v>
      </c>
      <c r="V51" s="1201">
        <v>0.70694444444444449</v>
      </c>
      <c r="W51" s="845">
        <v>46147</v>
      </c>
      <c r="X51" s="1209" t="s">
        <v>376</v>
      </c>
      <c r="Y51" s="1169" t="s">
        <v>3111</v>
      </c>
      <c r="Z51" s="1210" t="s">
        <v>4477</v>
      </c>
      <c r="AA51" s="1211">
        <v>46149</v>
      </c>
      <c r="AB51" s="244"/>
      <c r="AC51" s="1178"/>
      <c r="AD51" s="1178"/>
      <c r="AE51" s="43"/>
      <c r="AF51" s="43"/>
      <c r="AG51" s="43"/>
      <c r="AH51" s="43"/>
      <c r="AI51" s="43"/>
      <c r="AJ51" s="43"/>
      <c r="AK51" s="43"/>
      <c r="AL51" s="43"/>
      <c r="AM51" s="43"/>
      <c r="AN51" s="43"/>
      <c r="AO51" s="43"/>
      <c r="AP51" s="43"/>
      <c r="AQ51" s="43"/>
      <c r="AR51" s="434"/>
      <c r="AS51" s="434"/>
      <c r="AT51" s="434"/>
      <c r="AU51" s="434"/>
      <c r="AV51" s="434"/>
      <c r="AW51" s="434"/>
      <c r="AX51" s="434"/>
      <c r="AY51" s="434"/>
      <c r="AZ51" s="434"/>
      <c r="BA51" s="434"/>
      <c r="BB51" s="434"/>
      <c r="BC51" s="434"/>
      <c r="BD51" s="434"/>
      <c r="BE51" s="434"/>
      <c r="BF51" s="434"/>
      <c r="BG51" s="434"/>
      <c r="BH51" s="434"/>
      <c r="BI51" s="434"/>
      <c r="BJ51" s="434"/>
      <c r="BK51" s="434"/>
      <c r="BL51" s="434"/>
      <c r="BM51" s="434"/>
      <c r="BN51" s="434"/>
      <c r="BO51" s="434"/>
      <c r="BP51" s="434"/>
      <c r="BQ51" s="434"/>
      <c r="BR51" s="434"/>
      <c r="BS51" s="434"/>
      <c r="BT51" s="434"/>
      <c r="BU51" s="434"/>
      <c r="BV51" s="434"/>
      <c r="BW51" s="434"/>
      <c r="BX51" s="434"/>
      <c r="BY51" s="434"/>
      <c r="BZ51" s="434"/>
      <c r="CA51" s="434"/>
      <c r="CB51" s="434"/>
      <c r="CC51" s="434"/>
      <c r="CD51" s="434"/>
      <c r="CE51" s="434"/>
      <c r="CF51" s="434"/>
      <c r="CG51" s="434"/>
      <c r="CH51" s="434"/>
      <c r="CI51" s="434"/>
      <c r="CJ51" s="434"/>
      <c r="CK51" s="434"/>
      <c r="CL51" s="434"/>
      <c r="CM51" s="434"/>
      <c r="CN51" s="434"/>
      <c r="CO51" s="434"/>
      <c r="CP51" s="434"/>
      <c r="CQ51" s="434"/>
      <c r="CR51" s="434"/>
      <c r="CS51" s="434"/>
      <c r="CT51" s="434"/>
      <c r="CU51" s="434"/>
      <c r="CV51" s="434"/>
      <c r="CW51" s="434"/>
      <c r="CX51" s="434"/>
      <c r="CY51" s="434"/>
      <c r="CZ51" s="434"/>
      <c r="DA51" s="434"/>
      <c r="DB51" s="434"/>
      <c r="DC51" s="434"/>
      <c r="DD51" s="434"/>
      <c r="DE51" s="434"/>
      <c r="DF51" s="434"/>
      <c r="DG51" s="434"/>
      <c r="DH51" s="434"/>
      <c r="DI51" s="434"/>
      <c r="DJ51" s="434"/>
      <c r="DK51" s="434"/>
      <c r="DL51" s="434"/>
      <c r="DM51" s="434"/>
      <c r="DN51" s="434"/>
      <c r="DO51" s="434"/>
      <c r="DP51" s="434"/>
      <c r="DQ51" s="434"/>
      <c r="DR51" s="434"/>
      <c r="DS51" s="434"/>
      <c r="DT51" s="434"/>
      <c r="DU51" s="434"/>
      <c r="DV51" s="434"/>
      <c r="DW51" s="434"/>
      <c r="DX51" s="434"/>
      <c r="DY51" s="434"/>
      <c r="DZ51" s="434"/>
      <c r="EA51" s="434"/>
      <c r="EB51" s="434"/>
      <c r="EC51" s="434"/>
      <c r="ED51" s="434"/>
      <c r="EE51" s="434"/>
      <c r="EF51" s="434"/>
      <c r="EG51" s="434"/>
      <c r="EH51" s="434"/>
      <c r="EI51" s="434"/>
      <c r="EJ51" s="434"/>
      <c r="EK51" s="434"/>
      <c r="EL51" s="434"/>
      <c r="EM51" s="434"/>
      <c r="EN51" s="434"/>
      <c r="EO51" s="434"/>
      <c r="EP51" s="434"/>
      <c r="EQ51" s="434"/>
      <c r="ER51" s="434"/>
      <c r="ES51" s="434"/>
      <c r="ET51" s="434"/>
      <c r="EU51" s="434"/>
      <c r="EV51" s="434"/>
      <c r="EW51" s="434"/>
      <c r="EX51" s="434"/>
      <c r="EY51" s="434"/>
      <c r="EZ51" s="434"/>
      <c r="FA51" s="434"/>
      <c r="FB51" s="434"/>
      <c r="FC51" s="434"/>
      <c r="FD51" s="434"/>
      <c r="FE51" s="434"/>
      <c r="FF51" s="434"/>
      <c r="FG51" s="434"/>
      <c r="FH51" s="434"/>
      <c r="FI51" s="434"/>
      <c r="FJ51" s="434"/>
      <c r="FK51" s="434"/>
      <c r="FL51" s="434"/>
      <c r="FM51" s="434"/>
      <c r="FN51" s="434"/>
      <c r="FO51" s="434"/>
      <c r="FP51" s="434"/>
      <c r="FQ51" s="434"/>
      <c r="FR51" s="434"/>
      <c r="FS51" s="434"/>
      <c r="FT51" s="434"/>
      <c r="FU51" s="434"/>
      <c r="FV51" s="434"/>
      <c r="FW51" s="434"/>
      <c r="FX51" s="434"/>
      <c r="FY51" s="434"/>
      <c r="FZ51" s="434"/>
      <c r="GA51" s="434"/>
      <c r="GB51" s="434"/>
      <c r="GC51" s="434"/>
      <c r="GD51" s="434"/>
      <c r="GE51" s="434"/>
      <c r="GF51" s="434"/>
      <c r="GG51" s="434"/>
      <c r="GH51" s="434"/>
      <c r="GI51" s="434"/>
      <c r="GJ51" s="434"/>
      <c r="GK51" s="434"/>
      <c r="GL51" s="434"/>
      <c r="GM51" s="434"/>
      <c r="GN51" s="434"/>
    </row>
    <row r="52" spans="1:196" ht="15" customHeight="1">
      <c r="A52" s="206"/>
      <c r="B52" s="140">
        <v>51</v>
      </c>
      <c r="C52" s="43">
        <v>65950</v>
      </c>
      <c r="D52" s="1054" t="s">
        <v>6050</v>
      </c>
      <c r="E52" s="648" t="s">
        <v>6051</v>
      </c>
      <c r="F52" s="845">
        <v>46147</v>
      </c>
      <c r="G52" s="140">
        <v>58</v>
      </c>
      <c r="H52" s="44">
        <v>24775</v>
      </c>
      <c r="I52" s="845">
        <v>46147</v>
      </c>
      <c r="J52" s="43" t="s">
        <v>5990</v>
      </c>
      <c r="K52" s="43" t="s">
        <v>6052</v>
      </c>
      <c r="L52" s="43" t="s">
        <v>278</v>
      </c>
      <c r="M52" s="147">
        <v>953444340</v>
      </c>
      <c r="N52" s="43"/>
      <c r="O52" s="1169" t="s">
        <v>5865</v>
      </c>
      <c r="P52" s="43" t="s">
        <v>5866</v>
      </c>
      <c r="Q52" s="1061" t="s">
        <v>5867</v>
      </c>
      <c r="R52" s="43" t="s">
        <v>238</v>
      </c>
      <c r="S52" s="43" t="s">
        <v>5868</v>
      </c>
      <c r="T52" s="43" t="s">
        <v>5869</v>
      </c>
      <c r="U52" s="845">
        <v>46147</v>
      </c>
      <c r="V52" s="1201">
        <v>0.71388888888888891</v>
      </c>
      <c r="W52" s="845">
        <v>46147</v>
      </c>
      <c r="X52" s="1209" t="s">
        <v>376</v>
      </c>
      <c r="Y52" s="1169" t="s">
        <v>3111</v>
      </c>
      <c r="Z52" s="1210" t="s">
        <v>4477</v>
      </c>
      <c r="AA52" s="1211">
        <v>46149</v>
      </c>
      <c r="AB52" s="244"/>
      <c r="AC52" s="1178"/>
      <c r="AD52" s="1178"/>
      <c r="AE52" s="43"/>
      <c r="AF52" s="43"/>
      <c r="AG52" s="43"/>
      <c r="AH52" s="43"/>
      <c r="AI52" s="43"/>
      <c r="AJ52" s="43"/>
      <c r="AK52" s="43"/>
      <c r="AL52" s="43"/>
      <c r="AM52" s="43"/>
      <c r="AN52" s="43"/>
      <c r="AO52" s="43"/>
      <c r="AP52" s="43"/>
      <c r="AQ52" s="43"/>
      <c r="AR52" s="434"/>
      <c r="AS52" s="434"/>
      <c r="AT52" s="434"/>
      <c r="AU52" s="434"/>
      <c r="AV52" s="434"/>
      <c r="AW52" s="434"/>
      <c r="AX52" s="434"/>
      <c r="AY52" s="434"/>
      <c r="AZ52" s="434"/>
      <c r="BA52" s="434"/>
      <c r="BB52" s="434"/>
      <c r="BC52" s="434"/>
      <c r="BD52" s="434"/>
      <c r="BE52" s="434"/>
      <c r="BF52" s="434"/>
      <c r="BG52" s="434"/>
      <c r="BH52" s="434"/>
      <c r="BI52" s="434"/>
      <c r="BJ52" s="434"/>
      <c r="BK52" s="434"/>
      <c r="BL52" s="434"/>
      <c r="BM52" s="434"/>
      <c r="BN52" s="434"/>
      <c r="BO52" s="434"/>
      <c r="BP52" s="434"/>
      <c r="BQ52" s="434"/>
      <c r="BR52" s="434"/>
      <c r="BS52" s="434"/>
      <c r="BT52" s="434"/>
      <c r="BU52" s="434"/>
      <c r="BV52" s="434"/>
      <c r="BW52" s="434"/>
      <c r="BX52" s="434"/>
      <c r="BY52" s="434"/>
      <c r="BZ52" s="434"/>
      <c r="CA52" s="434"/>
      <c r="CB52" s="434"/>
      <c r="CC52" s="434"/>
      <c r="CD52" s="434"/>
      <c r="CE52" s="434"/>
      <c r="CF52" s="434"/>
      <c r="CG52" s="434"/>
      <c r="CH52" s="434"/>
      <c r="CI52" s="434"/>
      <c r="CJ52" s="434"/>
      <c r="CK52" s="434"/>
      <c r="CL52" s="434"/>
      <c r="CM52" s="434"/>
      <c r="CN52" s="434"/>
      <c r="CO52" s="434"/>
      <c r="CP52" s="434"/>
      <c r="CQ52" s="434"/>
      <c r="CR52" s="434"/>
      <c r="CS52" s="434"/>
      <c r="CT52" s="434"/>
      <c r="CU52" s="434"/>
      <c r="CV52" s="434"/>
      <c r="CW52" s="434"/>
      <c r="CX52" s="434"/>
      <c r="CY52" s="434"/>
      <c r="CZ52" s="434"/>
      <c r="DA52" s="434"/>
      <c r="DB52" s="434"/>
      <c r="DC52" s="434"/>
      <c r="DD52" s="434"/>
      <c r="DE52" s="434"/>
      <c r="DF52" s="434"/>
      <c r="DG52" s="434"/>
      <c r="DH52" s="434"/>
      <c r="DI52" s="434"/>
      <c r="DJ52" s="434"/>
      <c r="DK52" s="434"/>
      <c r="DL52" s="434"/>
      <c r="DM52" s="434"/>
      <c r="DN52" s="434"/>
      <c r="DO52" s="434"/>
      <c r="DP52" s="434"/>
      <c r="DQ52" s="434"/>
      <c r="DR52" s="434"/>
      <c r="DS52" s="434"/>
      <c r="DT52" s="434"/>
      <c r="DU52" s="434"/>
      <c r="DV52" s="434"/>
      <c r="DW52" s="434"/>
      <c r="DX52" s="434"/>
      <c r="DY52" s="434"/>
      <c r="DZ52" s="434"/>
      <c r="EA52" s="434"/>
      <c r="EB52" s="434"/>
      <c r="EC52" s="434"/>
      <c r="ED52" s="434"/>
      <c r="EE52" s="434"/>
      <c r="EF52" s="434"/>
      <c r="EG52" s="434"/>
      <c r="EH52" s="434"/>
      <c r="EI52" s="434"/>
      <c r="EJ52" s="434"/>
      <c r="EK52" s="434"/>
      <c r="EL52" s="434"/>
      <c r="EM52" s="434"/>
      <c r="EN52" s="434"/>
      <c r="EO52" s="434"/>
      <c r="EP52" s="434"/>
      <c r="EQ52" s="434"/>
      <c r="ER52" s="434"/>
      <c r="ES52" s="434"/>
      <c r="ET52" s="434"/>
      <c r="EU52" s="434"/>
      <c r="EV52" s="434"/>
      <c r="EW52" s="434"/>
      <c r="EX52" s="434"/>
      <c r="EY52" s="434"/>
      <c r="EZ52" s="434"/>
      <c r="FA52" s="434"/>
      <c r="FB52" s="434"/>
      <c r="FC52" s="434"/>
      <c r="FD52" s="434"/>
      <c r="FE52" s="434"/>
      <c r="FF52" s="434"/>
      <c r="FG52" s="434"/>
      <c r="FH52" s="434"/>
      <c r="FI52" s="434"/>
      <c r="FJ52" s="434"/>
      <c r="FK52" s="434"/>
      <c r="FL52" s="434"/>
      <c r="FM52" s="434"/>
      <c r="FN52" s="434"/>
      <c r="FO52" s="434"/>
      <c r="FP52" s="434"/>
      <c r="FQ52" s="434"/>
      <c r="FR52" s="434"/>
      <c r="FS52" s="434"/>
      <c r="FT52" s="434"/>
      <c r="FU52" s="434"/>
      <c r="FV52" s="434"/>
      <c r="FW52" s="434"/>
      <c r="FX52" s="434"/>
      <c r="FY52" s="434"/>
      <c r="FZ52" s="434"/>
      <c r="GA52" s="434"/>
      <c r="GB52" s="434"/>
      <c r="GC52" s="434"/>
      <c r="GD52" s="434"/>
      <c r="GE52" s="434"/>
      <c r="GF52" s="434"/>
      <c r="GG52" s="434"/>
      <c r="GH52" s="434"/>
      <c r="GI52" s="434"/>
      <c r="GJ52" s="434"/>
      <c r="GK52" s="434"/>
      <c r="GL52" s="434"/>
      <c r="GM52" s="434"/>
      <c r="GN52" s="434"/>
    </row>
    <row r="53" spans="1:196" ht="15" customHeight="1">
      <c r="A53" s="261">
        <v>46148</v>
      </c>
      <c r="B53" s="140">
        <v>52</v>
      </c>
      <c r="C53" s="43">
        <v>236928</v>
      </c>
      <c r="D53" s="1054" t="s">
        <v>6053</v>
      </c>
      <c r="E53" s="648" t="s">
        <v>6054</v>
      </c>
      <c r="F53" s="1224">
        <v>46148</v>
      </c>
      <c r="G53" s="1225">
        <v>67</v>
      </c>
      <c r="H53" s="44">
        <v>21486</v>
      </c>
      <c r="I53" s="1224">
        <v>46148</v>
      </c>
      <c r="J53" s="43" t="s">
        <v>5877</v>
      </c>
      <c r="K53" s="43" t="s">
        <v>6055</v>
      </c>
      <c r="L53" s="43" t="s">
        <v>278</v>
      </c>
      <c r="M53" s="1225">
        <v>986641262</v>
      </c>
      <c r="N53" s="43"/>
      <c r="O53" s="1169" t="s">
        <v>5865</v>
      </c>
      <c r="P53" s="43" t="s">
        <v>5866</v>
      </c>
      <c r="Q53" s="1061" t="s">
        <v>5867</v>
      </c>
      <c r="R53" s="43" t="s">
        <v>238</v>
      </c>
      <c r="S53" s="43"/>
      <c r="T53" s="43" t="s">
        <v>5869</v>
      </c>
      <c r="U53" s="845">
        <v>46148</v>
      </c>
      <c r="V53" s="1201">
        <v>0.30208333333333331</v>
      </c>
      <c r="W53" s="1226">
        <v>46148</v>
      </c>
      <c r="X53" s="1209" t="s">
        <v>376</v>
      </c>
      <c r="Y53" s="1169" t="s">
        <v>3111</v>
      </c>
      <c r="Z53" s="1210" t="s">
        <v>4477</v>
      </c>
      <c r="AA53" s="1211">
        <v>46149</v>
      </c>
      <c r="AB53" s="244"/>
      <c r="AC53" s="1178"/>
      <c r="AD53" s="1178"/>
      <c r="AE53" s="43"/>
      <c r="AF53" s="43"/>
      <c r="AG53" s="43"/>
      <c r="AH53" s="43"/>
      <c r="AI53" s="43"/>
      <c r="AJ53" s="43"/>
      <c r="AK53" s="43"/>
      <c r="AL53" s="43"/>
      <c r="AM53" s="43"/>
      <c r="AN53" s="43"/>
      <c r="AO53" s="43"/>
      <c r="AP53" s="43"/>
      <c r="AQ53" s="43"/>
      <c r="AR53" s="434"/>
      <c r="AS53" s="434"/>
      <c r="AT53" s="434"/>
      <c r="AU53" s="434"/>
      <c r="AV53" s="434"/>
      <c r="AW53" s="434"/>
      <c r="AX53" s="434"/>
      <c r="AY53" s="434"/>
      <c r="AZ53" s="434"/>
      <c r="BA53" s="434"/>
      <c r="BB53" s="434"/>
      <c r="BC53" s="434"/>
      <c r="BD53" s="434"/>
      <c r="BE53" s="434"/>
      <c r="BF53" s="434"/>
      <c r="BG53" s="434"/>
      <c r="BH53" s="434"/>
      <c r="BI53" s="434"/>
      <c r="BJ53" s="434"/>
      <c r="BK53" s="434"/>
      <c r="BL53" s="434"/>
      <c r="BM53" s="434"/>
      <c r="BN53" s="434"/>
      <c r="BO53" s="434"/>
      <c r="BP53" s="434"/>
      <c r="BQ53" s="434"/>
      <c r="BR53" s="434"/>
      <c r="BS53" s="434"/>
      <c r="BT53" s="434"/>
      <c r="BU53" s="434"/>
      <c r="BV53" s="434"/>
      <c r="BW53" s="434"/>
      <c r="BX53" s="434"/>
      <c r="BY53" s="434"/>
      <c r="BZ53" s="434"/>
      <c r="CA53" s="434"/>
      <c r="CB53" s="434"/>
      <c r="CC53" s="434"/>
      <c r="CD53" s="434"/>
      <c r="CE53" s="434"/>
      <c r="CF53" s="434"/>
      <c r="CG53" s="434"/>
      <c r="CH53" s="434"/>
      <c r="CI53" s="434"/>
      <c r="CJ53" s="434"/>
      <c r="CK53" s="434"/>
      <c r="CL53" s="434"/>
      <c r="CM53" s="434"/>
      <c r="CN53" s="434"/>
      <c r="CO53" s="434"/>
      <c r="CP53" s="434"/>
      <c r="CQ53" s="434"/>
      <c r="CR53" s="434"/>
      <c r="CS53" s="434"/>
      <c r="CT53" s="434"/>
      <c r="CU53" s="434"/>
      <c r="CV53" s="434"/>
      <c r="CW53" s="434"/>
      <c r="CX53" s="434"/>
      <c r="CY53" s="434"/>
      <c r="CZ53" s="434"/>
      <c r="DA53" s="434"/>
      <c r="DB53" s="434"/>
      <c r="DC53" s="434"/>
      <c r="DD53" s="434"/>
      <c r="DE53" s="434"/>
      <c r="DF53" s="434"/>
      <c r="DG53" s="434"/>
      <c r="DH53" s="434"/>
      <c r="DI53" s="434"/>
      <c r="DJ53" s="434"/>
      <c r="DK53" s="434"/>
      <c r="DL53" s="434"/>
      <c r="DM53" s="434"/>
      <c r="DN53" s="434"/>
      <c r="DO53" s="434"/>
      <c r="DP53" s="434"/>
      <c r="DQ53" s="434"/>
      <c r="DR53" s="434"/>
      <c r="DS53" s="434"/>
      <c r="DT53" s="434"/>
      <c r="DU53" s="434"/>
      <c r="DV53" s="434"/>
      <c r="DW53" s="434"/>
      <c r="DX53" s="434"/>
      <c r="DY53" s="434"/>
      <c r="DZ53" s="434"/>
      <c r="EA53" s="434"/>
      <c r="EB53" s="434"/>
      <c r="EC53" s="434"/>
      <c r="ED53" s="434"/>
      <c r="EE53" s="434"/>
      <c r="EF53" s="434"/>
      <c r="EG53" s="434"/>
      <c r="EH53" s="434"/>
      <c r="EI53" s="434"/>
      <c r="EJ53" s="434"/>
      <c r="EK53" s="434"/>
      <c r="EL53" s="434"/>
      <c r="EM53" s="434"/>
      <c r="EN53" s="434"/>
      <c r="EO53" s="434"/>
      <c r="EP53" s="434"/>
      <c r="EQ53" s="434"/>
      <c r="ER53" s="434"/>
      <c r="ES53" s="434"/>
      <c r="ET53" s="434"/>
      <c r="EU53" s="434"/>
      <c r="EV53" s="434"/>
      <c r="EW53" s="434"/>
      <c r="EX53" s="434"/>
      <c r="EY53" s="434"/>
      <c r="EZ53" s="434"/>
      <c r="FA53" s="434"/>
      <c r="FB53" s="434"/>
      <c r="FC53" s="434"/>
      <c r="FD53" s="434"/>
      <c r="FE53" s="434"/>
      <c r="FF53" s="434"/>
      <c r="FG53" s="434"/>
      <c r="FH53" s="434"/>
      <c r="FI53" s="434"/>
      <c r="FJ53" s="434"/>
      <c r="FK53" s="434"/>
      <c r="FL53" s="434"/>
      <c r="FM53" s="434"/>
      <c r="FN53" s="434"/>
      <c r="FO53" s="434"/>
      <c r="FP53" s="434"/>
      <c r="FQ53" s="434"/>
      <c r="FR53" s="434"/>
      <c r="FS53" s="434"/>
      <c r="FT53" s="434"/>
      <c r="FU53" s="434"/>
      <c r="FV53" s="434"/>
      <c r="FW53" s="434"/>
      <c r="FX53" s="434"/>
      <c r="FY53" s="434"/>
      <c r="FZ53" s="434"/>
      <c r="GA53" s="434"/>
      <c r="GB53" s="434"/>
      <c r="GC53" s="434"/>
      <c r="GD53" s="434"/>
      <c r="GE53" s="434"/>
      <c r="GF53" s="434"/>
      <c r="GG53" s="434"/>
      <c r="GH53" s="434"/>
      <c r="GI53" s="434"/>
      <c r="GJ53" s="434"/>
      <c r="GK53" s="434"/>
      <c r="GL53" s="434"/>
      <c r="GM53" s="434"/>
      <c r="GN53" s="434"/>
    </row>
    <row r="54" spans="1:196" ht="15" customHeight="1">
      <c r="A54" s="206"/>
      <c r="B54" s="140">
        <v>53</v>
      </c>
      <c r="C54" s="43">
        <v>436621</v>
      </c>
      <c r="D54" s="1054" t="s">
        <v>6056</v>
      </c>
      <c r="E54" s="648" t="s">
        <v>6057</v>
      </c>
      <c r="F54" s="1224">
        <v>46148</v>
      </c>
      <c r="G54" s="1225">
        <v>51</v>
      </c>
      <c r="H54" s="44">
        <v>27221</v>
      </c>
      <c r="I54" s="1224">
        <v>46148</v>
      </c>
      <c r="J54" s="43" t="s">
        <v>6058</v>
      </c>
      <c r="K54" s="43" t="s">
        <v>2102</v>
      </c>
      <c r="L54" s="43" t="s">
        <v>246</v>
      </c>
      <c r="M54" s="1225">
        <v>985920739</v>
      </c>
      <c r="N54" s="43"/>
      <c r="O54" s="1169" t="s">
        <v>5865</v>
      </c>
      <c r="P54" s="43" t="s">
        <v>5866</v>
      </c>
      <c r="Q54" s="1061" t="s">
        <v>5867</v>
      </c>
      <c r="R54" s="43" t="s">
        <v>579</v>
      </c>
      <c r="S54" s="43" t="s">
        <v>5953</v>
      </c>
      <c r="T54" s="43" t="s">
        <v>5873</v>
      </c>
      <c r="U54" s="1224">
        <v>46148</v>
      </c>
      <c r="V54" s="953">
        <v>0.3125</v>
      </c>
      <c r="W54" s="1226">
        <v>46148</v>
      </c>
      <c r="X54" s="1209" t="s">
        <v>376</v>
      </c>
      <c r="Y54" s="1169" t="s">
        <v>3111</v>
      </c>
      <c r="Z54" s="1210" t="s">
        <v>4477</v>
      </c>
      <c r="AA54" s="46"/>
      <c r="AB54" s="244"/>
      <c r="AC54" s="1178"/>
      <c r="AD54" s="1178"/>
      <c r="AE54" s="43"/>
      <c r="AF54" s="43"/>
      <c r="AG54" s="43"/>
      <c r="AH54" s="43"/>
      <c r="AI54" s="43"/>
      <c r="AJ54" s="43"/>
      <c r="AK54" s="43"/>
      <c r="AL54" s="43"/>
      <c r="AM54" s="43"/>
      <c r="AN54" s="43"/>
      <c r="AO54" s="43"/>
      <c r="AP54" s="43"/>
      <c r="AQ54" s="43"/>
      <c r="AR54" s="434"/>
      <c r="AS54" s="434"/>
      <c r="AT54" s="434"/>
      <c r="AU54" s="434"/>
      <c r="AV54" s="434"/>
      <c r="AW54" s="434"/>
      <c r="AX54" s="434"/>
      <c r="AY54" s="434"/>
      <c r="AZ54" s="434"/>
      <c r="BA54" s="434"/>
      <c r="BB54" s="434"/>
      <c r="BC54" s="434"/>
      <c r="BD54" s="434"/>
      <c r="BE54" s="434"/>
      <c r="BF54" s="434"/>
      <c r="BG54" s="434"/>
      <c r="BH54" s="434"/>
      <c r="BI54" s="434"/>
      <c r="BJ54" s="434"/>
      <c r="BK54" s="434"/>
      <c r="BL54" s="434"/>
      <c r="BM54" s="434"/>
      <c r="BN54" s="434"/>
      <c r="BO54" s="434"/>
      <c r="BP54" s="434"/>
      <c r="BQ54" s="434"/>
      <c r="BR54" s="434"/>
      <c r="BS54" s="434"/>
      <c r="BT54" s="434"/>
      <c r="BU54" s="434"/>
      <c r="BV54" s="434"/>
      <c r="BW54" s="434"/>
      <c r="BX54" s="434"/>
      <c r="BY54" s="434"/>
      <c r="BZ54" s="434"/>
      <c r="CA54" s="434"/>
      <c r="CB54" s="434"/>
      <c r="CC54" s="434"/>
      <c r="CD54" s="434"/>
      <c r="CE54" s="434"/>
      <c r="CF54" s="434"/>
      <c r="CG54" s="434"/>
      <c r="CH54" s="434"/>
      <c r="CI54" s="434"/>
      <c r="CJ54" s="434"/>
      <c r="CK54" s="434"/>
      <c r="CL54" s="434"/>
      <c r="CM54" s="434"/>
      <c r="CN54" s="434"/>
      <c r="CO54" s="434"/>
      <c r="CP54" s="434"/>
      <c r="CQ54" s="434"/>
      <c r="CR54" s="434"/>
      <c r="CS54" s="434"/>
      <c r="CT54" s="434"/>
      <c r="CU54" s="434"/>
      <c r="CV54" s="434"/>
      <c r="CW54" s="434"/>
      <c r="CX54" s="434"/>
      <c r="CY54" s="434"/>
      <c r="CZ54" s="434"/>
      <c r="DA54" s="434"/>
      <c r="DB54" s="434"/>
      <c r="DC54" s="434"/>
      <c r="DD54" s="434"/>
      <c r="DE54" s="434"/>
      <c r="DF54" s="434"/>
      <c r="DG54" s="434"/>
      <c r="DH54" s="434"/>
      <c r="DI54" s="434"/>
      <c r="DJ54" s="434"/>
      <c r="DK54" s="434"/>
      <c r="DL54" s="434"/>
      <c r="DM54" s="434"/>
      <c r="DN54" s="434"/>
      <c r="DO54" s="434"/>
      <c r="DP54" s="434"/>
      <c r="DQ54" s="434"/>
      <c r="DR54" s="434"/>
      <c r="DS54" s="434"/>
      <c r="DT54" s="434"/>
      <c r="DU54" s="434"/>
      <c r="DV54" s="434"/>
      <c r="DW54" s="434"/>
      <c r="DX54" s="434"/>
      <c r="DY54" s="434"/>
      <c r="DZ54" s="434"/>
      <c r="EA54" s="434"/>
      <c r="EB54" s="434"/>
      <c r="EC54" s="434"/>
      <c r="ED54" s="434"/>
      <c r="EE54" s="434"/>
      <c r="EF54" s="434"/>
      <c r="EG54" s="434"/>
      <c r="EH54" s="434"/>
      <c r="EI54" s="434"/>
      <c r="EJ54" s="434"/>
      <c r="EK54" s="434"/>
      <c r="EL54" s="434"/>
      <c r="EM54" s="434"/>
      <c r="EN54" s="434"/>
      <c r="EO54" s="434"/>
      <c r="EP54" s="434"/>
      <c r="EQ54" s="434"/>
      <c r="ER54" s="434"/>
      <c r="ES54" s="434"/>
      <c r="ET54" s="434"/>
      <c r="EU54" s="434"/>
      <c r="EV54" s="434"/>
      <c r="EW54" s="434"/>
      <c r="EX54" s="434"/>
      <c r="EY54" s="434"/>
      <c r="EZ54" s="434"/>
      <c r="FA54" s="434"/>
      <c r="FB54" s="434"/>
      <c r="FC54" s="434"/>
      <c r="FD54" s="434"/>
      <c r="FE54" s="434"/>
      <c r="FF54" s="434"/>
      <c r="FG54" s="434"/>
      <c r="FH54" s="434"/>
      <c r="FI54" s="434"/>
      <c r="FJ54" s="434"/>
      <c r="FK54" s="434"/>
      <c r="FL54" s="434"/>
      <c r="FM54" s="434"/>
      <c r="FN54" s="434"/>
      <c r="FO54" s="434"/>
      <c r="FP54" s="434"/>
      <c r="FQ54" s="434"/>
      <c r="FR54" s="434"/>
      <c r="FS54" s="434"/>
      <c r="FT54" s="434"/>
      <c r="FU54" s="434"/>
      <c r="FV54" s="434"/>
      <c r="FW54" s="434"/>
      <c r="FX54" s="434"/>
      <c r="FY54" s="434"/>
      <c r="FZ54" s="434"/>
      <c r="GA54" s="434"/>
      <c r="GB54" s="434"/>
      <c r="GC54" s="434"/>
      <c r="GD54" s="434"/>
      <c r="GE54" s="434"/>
      <c r="GF54" s="434"/>
      <c r="GG54" s="434"/>
      <c r="GH54" s="434"/>
      <c r="GI54" s="434"/>
      <c r="GJ54" s="434"/>
      <c r="GK54" s="434"/>
      <c r="GL54" s="434"/>
      <c r="GM54" s="434"/>
      <c r="GN54" s="434"/>
    </row>
    <row r="55" spans="1:196" ht="15" customHeight="1">
      <c r="A55" s="206"/>
      <c r="B55" s="140">
        <v>54</v>
      </c>
      <c r="C55" s="43">
        <v>5283</v>
      </c>
      <c r="D55" s="1054" t="s">
        <v>6059</v>
      </c>
      <c r="E55" s="648" t="s">
        <v>6060</v>
      </c>
      <c r="F55" s="1224">
        <v>46148</v>
      </c>
      <c r="G55" s="1225">
        <v>55</v>
      </c>
      <c r="H55" s="44">
        <v>25469</v>
      </c>
      <c r="I55" s="1224">
        <v>46148</v>
      </c>
      <c r="J55" s="43" t="s">
        <v>6045</v>
      </c>
      <c r="K55" s="43" t="s">
        <v>6061</v>
      </c>
      <c r="L55" s="43" t="s">
        <v>237</v>
      </c>
      <c r="M55" s="1225">
        <v>907609676</v>
      </c>
      <c r="N55" s="43"/>
      <c r="O55" s="1169" t="s">
        <v>5865</v>
      </c>
      <c r="P55" s="43" t="s">
        <v>5866</v>
      </c>
      <c r="Q55" s="1061" t="s">
        <v>5867</v>
      </c>
      <c r="R55" s="43" t="s">
        <v>384</v>
      </c>
      <c r="S55" s="43" t="s">
        <v>5953</v>
      </c>
      <c r="T55" s="43" t="s">
        <v>5873</v>
      </c>
      <c r="U55" s="1224">
        <v>46148</v>
      </c>
      <c r="V55" s="953">
        <v>0.32291666666666669</v>
      </c>
      <c r="W55" s="1226">
        <v>46148</v>
      </c>
      <c r="X55" s="1209" t="s">
        <v>376</v>
      </c>
      <c r="Y55" s="1169" t="s">
        <v>3111</v>
      </c>
      <c r="Z55" s="1210" t="s">
        <v>4477</v>
      </c>
      <c r="AA55" s="46"/>
      <c r="AB55" s="244"/>
      <c r="AC55" s="1178"/>
      <c r="AD55" s="1178"/>
      <c r="AE55" s="43"/>
      <c r="AF55" s="43"/>
      <c r="AG55" s="43"/>
      <c r="AH55" s="43"/>
      <c r="AI55" s="43"/>
      <c r="AJ55" s="43"/>
      <c r="AK55" s="43"/>
      <c r="AL55" s="43"/>
      <c r="AM55" s="43"/>
      <c r="AN55" s="43"/>
      <c r="AO55" s="43"/>
      <c r="AP55" s="43"/>
      <c r="AQ55" s="43"/>
      <c r="AR55" s="434"/>
      <c r="AS55" s="434"/>
      <c r="AT55" s="434"/>
      <c r="AU55" s="434"/>
      <c r="AV55" s="434"/>
      <c r="AW55" s="434"/>
      <c r="AX55" s="434"/>
      <c r="AY55" s="434"/>
      <c r="AZ55" s="434"/>
      <c r="BA55" s="434"/>
      <c r="BB55" s="434"/>
      <c r="BC55" s="434"/>
      <c r="BD55" s="434"/>
      <c r="BE55" s="434"/>
      <c r="BF55" s="434"/>
      <c r="BG55" s="434"/>
      <c r="BH55" s="434"/>
      <c r="BI55" s="434"/>
      <c r="BJ55" s="434"/>
      <c r="BK55" s="434"/>
      <c r="BL55" s="434"/>
      <c r="BM55" s="434"/>
      <c r="BN55" s="434"/>
      <c r="BO55" s="434"/>
      <c r="BP55" s="434"/>
      <c r="BQ55" s="434"/>
      <c r="BR55" s="434"/>
      <c r="BS55" s="434"/>
      <c r="BT55" s="434"/>
      <c r="BU55" s="434"/>
      <c r="BV55" s="434"/>
      <c r="BW55" s="434"/>
      <c r="BX55" s="434"/>
      <c r="BY55" s="434"/>
      <c r="BZ55" s="434"/>
      <c r="CA55" s="434"/>
      <c r="CB55" s="434"/>
      <c r="CC55" s="434"/>
      <c r="CD55" s="434"/>
      <c r="CE55" s="434"/>
      <c r="CF55" s="434"/>
      <c r="CG55" s="434"/>
      <c r="CH55" s="434"/>
      <c r="CI55" s="434"/>
      <c r="CJ55" s="434"/>
      <c r="CK55" s="434"/>
      <c r="CL55" s="434"/>
      <c r="CM55" s="434"/>
      <c r="CN55" s="434"/>
      <c r="CO55" s="434"/>
      <c r="CP55" s="434"/>
      <c r="CQ55" s="434"/>
      <c r="CR55" s="434"/>
      <c r="CS55" s="434"/>
      <c r="CT55" s="434"/>
      <c r="CU55" s="434"/>
      <c r="CV55" s="434"/>
      <c r="CW55" s="434"/>
      <c r="CX55" s="434"/>
      <c r="CY55" s="434"/>
      <c r="CZ55" s="434"/>
      <c r="DA55" s="434"/>
      <c r="DB55" s="434"/>
      <c r="DC55" s="434"/>
      <c r="DD55" s="434"/>
      <c r="DE55" s="434"/>
      <c r="DF55" s="434"/>
      <c r="DG55" s="434"/>
      <c r="DH55" s="434"/>
      <c r="DI55" s="434"/>
      <c r="DJ55" s="434"/>
      <c r="DK55" s="434"/>
      <c r="DL55" s="434"/>
      <c r="DM55" s="434"/>
      <c r="DN55" s="434"/>
      <c r="DO55" s="434"/>
      <c r="DP55" s="434"/>
      <c r="DQ55" s="434"/>
      <c r="DR55" s="434"/>
      <c r="DS55" s="434"/>
      <c r="DT55" s="434"/>
      <c r="DU55" s="434"/>
      <c r="DV55" s="434"/>
      <c r="DW55" s="434"/>
      <c r="DX55" s="434"/>
      <c r="DY55" s="434"/>
      <c r="DZ55" s="434"/>
      <c r="EA55" s="434"/>
      <c r="EB55" s="434"/>
      <c r="EC55" s="434"/>
      <c r="ED55" s="434"/>
      <c r="EE55" s="434"/>
      <c r="EF55" s="434"/>
      <c r="EG55" s="434"/>
      <c r="EH55" s="434"/>
      <c r="EI55" s="434"/>
      <c r="EJ55" s="434"/>
      <c r="EK55" s="434"/>
      <c r="EL55" s="434"/>
      <c r="EM55" s="434"/>
      <c r="EN55" s="434"/>
      <c r="EO55" s="434"/>
      <c r="EP55" s="434"/>
      <c r="EQ55" s="434"/>
      <c r="ER55" s="434"/>
      <c r="ES55" s="434"/>
      <c r="ET55" s="434"/>
      <c r="EU55" s="434"/>
      <c r="EV55" s="434"/>
      <c r="EW55" s="434"/>
      <c r="EX55" s="434"/>
      <c r="EY55" s="434"/>
      <c r="EZ55" s="434"/>
      <c r="FA55" s="434"/>
      <c r="FB55" s="434"/>
      <c r="FC55" s="434"/>
      <c r="FD55" s="434"/>
      <c r="FE55" s="434"/>
      <c r="FF55" s="434"/>
      <c r="FG55" s="434"/>
      <c r="FH55" s="434"/>
      <c r="FI55" s="434"/>
      <c r="FJ55" s="434"/>
      <c r="FK55" s="434"/>
      <c r="FL55" s="434"/>
      <c r="FM55" s="434"/>
      <c r="FN55" s="434"/>
      <c r="FO55" s="434"/>
      <c r="FP55" s="434"/>
      <c r="FQ55" s="434"/>
      <c r="FR55" s="434"/>
      <c r="FS55" s="434"/>
      <c r="FT55" s="434"/>
      <c r="FU55" s="434"/>
      <c r="FV55" s="434"/>
      <c r="FW55" s="434"/>
      <c r="FX55" s="434"/>
      <c r="FY55" s="434"/>
      <c r="FZ55" s="434"/>
      <c r="GA55" s="434"/>
      <c r="GB55" s="434"/>
      <c r="GC55" s="434"/>
      <c r="GD55" s="434"/>
      <c r="GE55" s="434"/>
      <c r="GF55" s="434"/>
      <c r="GG55" s="434"/>
      <c r="GH55" s="434"/>
      <c r="GI55" s="434"/>
      <c r="GJ55" s="434"/>
      <c r="GK55" s="434"/>
      <c r="GL55" s="434"/>
      <c r="GM55" s="434"/>
      <c r="GN55" s="434"/>
    </row>
    <row r="56" spans="1:196" ht="15" customHeight="1">
      <c r="A56" s="206"/>
      <c r="B56" s="140">
        <v>55</v>
      </c>
      <c r="C56" s="43">
        <v>380700</v>
      </c>
      <c r="D56" s="1054" t="s">
        <v>6062</v>
      </c>
      <c r="E56" s="648" t="s">
        <v>6063</v>
      </c>
      <c r="F56" s="1224">
        <v>46148</v>
      </c>
      <c r="G56" s="1225">
        <v>59</v>
      </c>
      <c r="H56" s="44">
        <v>24532</v>
      </c>
      <c r="I56" s="1224">
        <v>46148</v>
      </c>
      <c r="J56" s="43" t="s">
        <v>6064</v>
      </c>
      <c r="K56" s="43" t="s">
        <v>6065</v>
      </c>
      <c r="L56" s="43" t="s">
        <v>237</v>
      </c>
      <c r="M56" s="1225">
        <v>945840851</v>
      </c>
      <c r="N56" s="43"/>
      <c r="O56" s="1169" t="s">
        <v>5865</v>
      </c>
      <c r="P56" s="43" t="s">
        <v>5866</v>
      </c>
      <c r="Q56" s="1061" t="s">
        <v>5867</v>
      </c>
      <c r="R56" s="43" t="s">
        <v>1105</v>
      </c>
      <c r="S56" s="43" t="s">
        <v>5953</v>
      </c>
      <c r="T56" s="43" t="s">
        <v>5873</v>
      </c>
      <c r="U56" s="1224">
        <v>46148</v>
      </c>
      <c r="V56" s="1227">
        <v>0.33333333333333298</v>
      </c>
      <c r="W56" s="1226">
        <v>46148</v>
      </c>
      <c r="X56" s="1209" t="s">
        <v>376</v>
      </c>
      <c r="Y56" s="1169" t="s">
        <v>3111</v>
      </c>
      <c r="Z56" s="1210" t="s">
        <v>4477</v>
      </c>
      <c r="AA56" s="46"/>
      <c r="AB56" s="244"/>
      <c r="AC56" s="1178"/>
      <c r="AD56" s="1178"/>
      <c r="AE56" s="43"/>
      <c r="AF56" s="43"/>
      <c r="AG56" s="43"/>
      <c r="AH56" s="43"/>
      <c r="AI56" s="43"/>
      <c r="AJ56" s="43"/>
      <c r="AK56" s="43"/>
      <c r="AL56" s="43"/>
      <c r="AM56" s="43"/>
      <c r="AN56" s="43"/>
      <c r="AO56" s="43"/>
      <c r="AP56" s="43"/>
      <c r="AQ56" s="43"/>
      <c r="AR56" s="434"/>
      <c r="AS56" s="434"/>
      <c r="AT56" s="434"/>
      <c r="AU56" s="434"/>
      <c r="AV56" s="434"/>
      <c r="AW56" s="434"/>
      <c r="AX56" s="434"/>
      <c r="AY56" s="434"/>
      <c r="AZ56" s="434"/>
      <c r="BA56" s="434"/>
      <c r="BB56" s="434"/>
      <c r="BC56" s="434"/>
      <c r="BD56" s="434"/>
      <c r="BE56" s="434"/>
      <c r="BF56" s="434"/>
      <c r="BG56" s="434"/>
      <c r="BH56" s="434"/>
      <c r="BI56" s="434"/>
      <c r="BJ56" s="434"/>
      <c r="BK56" s="434"/>
      <c r="BL56" s="434"/>
      <c r="BM56" s="434"/>
      <c r="BN56" s="434"/>
      <c r="BO56" s="434"/>
      <c r="BP56" s="434"/>
      <c r="BQ56" s="434"/>
      <c r="BR56" s="434"/>
      <c r="BS56" s="434"/>
      <c r="BT56" s="434"/>
      <c r="BU56" s="434"/>
      <c r="BV56" s="434"/>
      <c r="BW56" s="434"/>
      <c r="BX56" s="434"/>
      <c r="BY56" s="434"/>
      <c r="BZ56" s="434"/>
      <c r="CA56" s="434"/>
      <c r="CB56" s="434"/>
      <c r="CC56" s="434"/>
      <c r="CD56" s="434"/>
      <c r="CE56" s="434"/>
      <c r="CF56" s="434"/>
      <c r="CG56" s="434"/>
      <c r="CH56" s="434"/>
      <c r="CI56" s="434"/>
      <c r="CJ56" s="434"/>
      <c r="CK56" s="434"/>
      <c r="CL56" s="434"/>
      <c r="CM56" s="434"/>
      <c r="CN56" s="434"/>
      <c r="CO56" s="434"/>
      <c r="CP56" s="434"/>
      <c r="CQ56" s="434"/>
      <c r="CR56" s="434"/>
      <c r="CS56" s="434"/>
      <c r="CT56" s="434"/>
      <c r="CU56" s="434"/>
      <c r="CV56" s="434"/>
      <c r="CW56" s="434"/>
      <c r="CX56" s="434"/>
      <c r="CY56" s="434"/>
      <c r="CZ56" s="434"/>
      <c r="DA56" s="434"/>
      <c r="DB56" s="434"/>
      <c r="DC56" s="434"/>
      <c r="DD56" s="434"/>
      <c r="DE56" s="434"/>
      <c r="DF56" s="434"/>
      <c r="DG56" s="434"/>
      <c r="DH56" s="434"/>
      <c r="DI56" s="434"/>
      <c r="DJ56" s="434"/>
      <c r="DK56" s="434"/>
      <c r="DL56" s="434"/>
      <c r="DM56" s="434"/>
      <c r="DN56" s="434"/>
      <c r="DO56" s="434"/>
      <c r="DP56" s="434"/>
      <c r="DQ56" s="434"/>
      <c r="DR56" s="434"/>
      <c r="DS56" s="434"/>
      <c r="DT56" s="434"/>
      <c r="DU56" s="434"/>
      <c r="DV56" s="434"/>
      <c r="DW56" s="434"/>
      <c r="DX56" s="434"/>
      <c r="DY56" s="434"/>
      <c r="DZ56" s="434"/>
      <c r="EA56" s="434"/>
      <c r="EB56" s="434"/>
      <c r="EC56" s="434"/>
      <c r="ED56" s="434"/>
      <c r="EE56" s="434"/>
      <c r="EF56" s="434"/>
      <c r="EG56" s="434"/>
      <c r="EH56" s="434"/>
      <c r="EI56" s="434"/>
      <c r="EJ56" s="434"/>
      <c r="EK56" s="434"/>
      <c r="EL56" s="434"/>
      <c r="EM56" s="434"/>
      <c r="EN56" s="434"/>
      <c r="EO56" s="434"/>
      <c r="EP56" s="434"/>
      <c r="EQ56" s="434"/>
      <c r="ER56" s="434"/>
      <c r="ES56" s="434"/>
      <c r="ET56" s="434"/>
      <c r="EU56" s="434"/>
      <c r="EV56" s="434"/>
      <c r="EW56" s="434"/>
      <c r="EX56" s="434"/>
      <c r="EY56" s="434"/>
      <c r="EZ56" s="434"/>
      <c r="FA56" s="434"/>
      <c r="FB56" s="434"/>
      <c r="FC56" s="434"/>
      <c r="FD56" s="434"/>
      <c r="FE56" s="434"/>
      <c r="FF56" s="434"/>
      <c r="FG56" s="434"/>
      <c r="FH56" s="434"/>
      <c r="FI56" s="434"/>
      <c r="FJ56" s="434"/>
      <c r="FK56" s="434"/>
      <c r="FL56" s="434"/>
      <c r="FM56" s="434"/>
      <c r="FN56" s="434"/>
      <c r="FO56" s="434"/>
      <c r="FP56" s="434"/>
      <c r="FQ56" s="434"/>
      <c r="FR56" s="434"/>
      <c r="FS56" s="434"/>
      <c r="FT56" s="434"/>
      <c r="FU56" s="434"/>
      <c r="FV56" s="434"/>
      <c r="FW56" s="434"/>
      <c r="FX56" s="434"/>
      <c r="FY56" s="434"/>
      <c r="FZ56" s="434"/>
      <c r="GA56" s="434"/>
      <c r="GB56" s="434"/>
      <c r="GC56" s="434"/>
      <c r="GD56" s="434"/>
      <c r="GE56" s="434"/>
      <c r="GF56" s="434"/>
      <c r="GG56" s="434"/>
      <c r="GH56" s="434"/>
      <c r="GI56" s="434"/>
      <c r="GJ56" s="434"/>
      <c r="GK56" s="434"/>
      <c r="GL56" s="434"/>
      <c r="GM56" s="434"/>
      <c r="GN56" s="434"/>
    </row>
    <row r="57" spans="1:196" ht="15" customHeight="1">
      <c r="A57" s="206"/>
      <c r="B57" s="140">
        <v>56</v>
      </c>
      <c r="C57" s="43">
        <v>525624</v>
      </c>
      <c r="D57" s="1054" t="s">
        <v>6066</v>
      </c>
      <c r="E57" s="648" t="s">
        <v>6067</v>
      </c>
      <c r="F57" s="1224">
        <v>46148</v>
      </c>
      <c r="G57" s="1225">
        <v>61</v>
      </c>
      <c r="H57" s="44">
        <v>23806</v>
      </c>
      <c r="I57" s="1224">
        <v>46148</v>
      </c>
      <c r="J57" s="43" t="s">
        <v>5996</v>
      </c>
      <c r="K57" s="43" t="s">
        <v>6068</v>
      </c>
      <c r="L57" s="43" t="s">
        <v>461</v>
      </c>
      <c r="M57" s="1225">
        <v>921547024</v>
      </c>
      <c r="N57" s="43"/>
      <c r="O57" s="1169" t="s">
        <v>5865</v>
      </c>
      <c r="P57" s="43" t="s">
        <v>5866</v>
      </c>
      <c r="Q57" s="1061" t="s">
        <v>5867</v>
      </c>
      <c r="R57" s="43" t="s">
        <v>162</v>
      </c>
      <c r="S57" s="43" t="s">
        <v>5868</v>
      </c>
      <c r="T57" s="43" t="s">
        <v>5873</v>
      </c>
      <c r="U57" s="1224">
        <v>46148</v>
      </c>
      <c r="V57" s="1228">
        <v>0.34375</v>
      </c>
      <c r="W57" s="1226">
        <v>46148</v>
      </c>
      <c r="X57" s="1209" t="s">
        <v>376</v>
      </c>
      <c r="Y57" s="1169" t="s">
        <v>3111</v>
      </c>
      <c r="Z57" s="1210" t="s">
        <v>4477</v>
      </c>
      <c r="AA57" s="1211">
        <v>46149</v>
      </c>
      <c r="AB57" s="244"/>
      <c r="AC57" s="1178"/>
      <c r="AD57" s="1178"/>
      <c r="AE57" s="43"/>
      <c r="AF57" s="43"/>
      <c r="AG57" s="43"/>
      <c r="AH57" s="43"/>
      <c r="AI57" s="43"/>
      <c r="AJ57" s="43"/>
      <c r="AK57" s="43"/>
      <c r="AL57" s="43"/>
      <c r="AM57" s="43"/>
      <c r="AN57" s="43"/>
      <c r="AO57" s="43"/>
      <c r="AP57" s="43"/>
      <c r="AQ57" s="43"/>
      <c r="AR57" s="434"/>
      <c r="AS57" s="434"/>
      <c r="AT57" s="434"/>
      <c r="AU57" s="434"/>
      <c r="AV57" s="434"/>
      <c r="AW57" s="434"/>
      <c r="AX57" s="434"/>
      <c r="AY57" s="434"/>
      <c r="AZ57" s="434"/>
      <c r="BA57" s="434"/>
      <c r="BB57" s="434"/>
      <c r="BC57" s="434"/>
      <c r="BD57" s="434"/>
      <c r="BE57" s="434"/>
      <c r="BF57" s="434"/>
      <c r="BG57" s="434"/>
      <c r="BH57" s="434"/>
      <c r="BI57" s="434"/>
      <c r="BJ57" s="434"/>
      <c r="BK57" s="434"/>
      <c r="BL57" s="434"/>
      <c r="BM57" s="434"/>
      <c r="BN57" s="434"/>
      <c r="BO57" s="434"/>
      <c r="BP57" s="434"/>
      <c r="BQ57" s="434"/>
      <c r="BR57" s="434"/>
      <c r="BS57" s="434"/>
      <c r="BT57" s="434"/>
      <c r="BU57" s="434"/>
      <c r="BV57" s="434"/>
      <c r="BW57" s="434"/>
      <c r="BX57" s="434"/>
      <c r="BY57" s="434"/>
      <c r="BZ57" s="434"/>
      <c r="CA57" s="434"/>
      <c r="CB57" s="434"/>
      <c r="CC57" s="434"/>
      <c r="CD57" s="434"/>
      <c r="CE57" s="434"/>
      <c r="CF57" s="434"/>
      <c r="CG57" s="434"/>
      <c r="CH57" s="434"/>
      <c r="CI57" s="434"/>
      <c r="CJ57" s="434"/>
      <c r="CK57" s="434"/>
      <c r="CL57" s="434"/>
      <c r="CM57" s="434"/>
      <c r="CN57" s="434"/>
      <c r="CO57" s="434"/>
      <c r="CP57" s="434"/>
      <c r="CQ57" s="434"/>
      <c r="CR57" s="434"/>
      <c r="CS57" s="434"/>
      <c r="CT57" s="434"/>
      <c r="CU57" s="434"/>
      <c r="CV57" s="434"/>
      <c r="CW57" s="434"/>
      <c r="CX57" s="434"/>
      <c r="CY57" s="434"/>
      <c r="CZ57" s="434"/>
      <c r="DA57" s="434"/>
      <c r="DB57" s="434"/>
      <c r="DC57" s="434"/>
      <c r="DD57" s="434"/>
      <c r="DE57" s="434"/>
      <c r="DF57" s="434"/>
      <c r="DG57" s="434"/>
      <c r="DH57" s="434"/>
      <c r="DI57" s="434"/>
      <c r="DJ57" s="434"/>
      <c r="DK57" s="434"/>
      <c r="DL57" s="434"/>
      <c r="DM57" s="434"/>
      <c r="DN57" s="434"/>
      <c r="DO57" s="434"/>
      <c r="DP57" s="434"/>
      <c r="DQ57" s="434"/>
      <c r="DR57" s="434"/>
      <c r="DS57" s="434"/>
      <c r="DT57" s="434"/>
      <c r="DU57" s="434"/>
      <c r="DV57" s="434"/>
      <c r="DW57" s="434"/>
      <c r="DX57" s="434"/>
      <c r="DY57" s="434"/>
      <c r="DZ57" s="434"/>
      <c r="EA57" s="434"/>
      <c r="EB57" s="434"/>
      <c r="EC57" s="434"/>
      <c r="ED57" s="434"/>
      <c r="EE57" s="434"/>
      <c r="EF57" s="434"/>
      <c r="EG57" s="434"/>
      <c r="EH57" s="434"/>
      <c r="EI57" s="434"/>
      <c r="EJ57" s="434"/>
      <c r="EK57" s="434"/>
      <c r="EL57" s="434"/>
      <c r="EM57" s="434"/>
      <c r="EN57" s="434"/>
      <c r="EO57" s="434"/>
      <c r="EP57" s="434"/>
      <c r="EQ57" s="434"/>
      <c r="ER57" s="434"/>
      <c r="ES57" s="434"/>
      <c r="ET57" s="434"/>
      <c r="EU57" s="434"/>
      <c r="EV57" s="434"/>
      <c r="EW57" s="434"/>
      <c r="EX57" s="434"/>
      <c r="EY57" s="434"/>
      <c r="EZ57" s="434"/>
      <c r="FA57" s="434"/>
      <c r="FB57" s="434"/>
      <c r="FC57" s="434"/>
      <c r="FD57" s="434"/>
      <c r="FE57" s="434"/>
      <c r="FF57" s="434"/>
      <c r="FG57" s="434"/>
      <c r="FH57" s="434"/>
      <c r="FI57" s="434"/>
      <c r="FJ57" s="434"/>
      <c r="FK57" s="434"/>
      <c r="FL57" s="434"/>
      <c r="FM57" s="434"/>
      <c r="FN57" s="434"/>
      <c r="FO57" s="434"/>
      <c r="FP57" s="434"/>
      <c r="FQ57" s="434"/>
      <c r="FR57" s="434"/>
      <c r="FS57" s="434"/>
      <c r="FT57" s="434"/>
      <c r="FU57" s="434"/>
      <c r="FV57" s="434"/>
      <c r="FW57" s="434"/>
      <c r="FX57" s="434"/>
      <c r="FY57" s="434"/>
      <c r="FZ57" s="434"/>
      <c r="GA57" s="434"/>
      <c r="GB57" s="434"/>
      <c r="GC57" s="434"/>
      <c r="GD57" s="434"/>
      <c r="GE57" s="434"/>
      <c r="GF57" s="434"/>
      <c r="GG57" s="434"/>
      <c r="GH57" s="434"/>
      <c r="GI57" s="434"/>
      <c r="GJ57" s="434"/>
      <c r="GK57" s="434"/>
      <c r="GL57" s="434"/>
      <c r="GM57" s="434"/>
      <c r="GN57" s="434"/>
    </row>
    <row r="58" spans="1:196" ht="15" customHeight="1">
      <c r="A58" s="206"/>
      <c r="B58" s="140">
        <v>57</v>
      </c>
      <c r="C58" s="43">
        <v>187545</v>
      </c>
      <c r="D58" s="1054" t="s">
        <v>6069</v>
      </c>
      <c r="E58" s="648" t="s">
        <v>6070</v>
      </c>
      <c r="F58" s="1224">
        <v>46148</v>
      </c>
      <c r="G58" s="1225">
        <v>57</v>
      </c>
      <c r="H58" s="44">
        <v>25113</v>
      </c>
      <c r="I58" s="1224">
        <v>46148</v>
      </c>
      <c r="J58" s="43" t="s">
        <v>5877</v>
      </c>
      <c r="K58" s="43" t="s">
        <v>6071</v>
      </c>
      <c r="L58" s="43" t="s">
        <v>246</v>
      </c>
      <c r="M58" s="1225">
        <v>993339469</v>
      </c>
      <c r="N58" s="43"/>
      <c r="O58" s="1169" t="s">
        <v>5865</v>
      </c>
      <c r="P58" s="43" t="s">
        <v>5866</v>
      </c>
      <c r="Q58" s="1061" t="s">
        <v>5867</v>
      </c>
      <c r="R58" s="43" t="s">
        <v>247</v>
      </c>
      <c r="S58" s="43" t="s">
        <v>5953</v>
      </c>
      <c r="T58" s="43" t="s">
        <v>5873</v>
      </c>
      <c r="U58" s="1224">
        <v>46148</v>
      </c>
      <c r="V58" s="1228">
        <v>0.35416666666666702</v>
      </c>
      <c r="W58" s="1226">
        <v>46148</v>
      </c>
      <c r="X58" s="1209" t="s">
        <v>376</v>
      </c>
      <c r="Y58" s="1169" t="s">
        <v>3111</v>
      </c>
      <c r="Z58" s="1210" t="s">
        <v>4477</v>
      </c>
      <c r="AA58" s="46"/>
      <c r="AB58" s="244"/>
      <c r="AC58" s="1178"/>
      <c r="AD58" s="1178"/>
      <c r="AE58" s="43"/>
      <c r="AF58" s="43"/>
      <c r="AG58" s="43"/>
      <c r="AH58" s="43"/>
      <c r="AI58" s="43"/>
      <c r="AJ58" s="43"/>
      <c r="AK58" s="43"/>
      <c r="AL58" s="43"/>
      <c r="AM58" s="43"/>
      <c r="AN58" s="43"/>
      <c r="AO58" s="43"/>
      <c r="AP58" s="43"/>
      <c r="AQ58" s="43"/>
      <c r="AR58" s="434"/>
      <c r="AS58" s="434"/>
      <c r="AT58" s="434"/>
      <c r="AU58" s="434"/>
      <c r="AV58" s="434"/>
      <c r="AW58" s="434"/>
      <c r="AX58" s="434"/>
      <c r="AY58" s="434"/>
      <c r="AZ58" s="434"/>
      <c r="BA58" s="434"/>
      <c r="BB58" s="434"/>
      <c r="BC58" s="434"/>
      <c r="BD58" s="434"/>
      <c r="BE58" s="434"/>
      <c r="BF58" s="434"/>
      <c r="BG58" s="434"/>
      <c r="BH58" s="434"/>
      <c r="BI58" s="434"/>
      <c r="BJ58" s="434"/>
      <c r="BK58" s="434"/>
      <c r="BL58" s="434"/>
      <c r="BM58" s="434"/>
      <c r="BN58" s="434"/>
      <c r="BO58" s="434"/>
      <c r="BP58" s="434"/>
      <c r="BQ58" s="434"/>
      <c r="BR58" s="434"/>
      <c r="BS58" s="434"/>
      <c r="BT58" s="434"/>
      <c r="BU58" s="434"/>
      <c r="BV58" s="434"/>
      <c r="BW58" s="434"/>
      <c r="BX58" s="434"/>
      <c r="BY58" s="434"/>
      <c r="BZ58" s="434"/>
      <c r="CA58" s="434"/>
      <c r="CB58" s="434"/>
      <c r="CC58" s="434"/>
      <c r="CD58" s="434"/>
      <c r="CE58" s="434"/>
      <c r="CF58" s="434"/>
      <c r="CG58" s="434"/>
      <c r="CH58" s="434"/>
      <c r="CI58" s="434"/>
      <c r="CJ58" s="434"/>
      <c r="CK58" s="434"/>
      <c r="CL58" s="434"/>
      <c r="CM58" s="434"/>
      <c r="CN58" s="434"/>
      <c r="CO58" s="434"/>
      <c r="CP58" s="434"/>
      <c r="CQ58" s="434"/>
      <c r="CR58" s="434"/>
      <c r="CS58" s="434"/>
      <c r="CT58" s="434"/>
      <c r="CU58" s="434"/>
      <c r="CV58" s="434"/>
      <c r="CW58" s="434"/>
      <c r="CX58" s="434"/>
      <c r="CY58" s="434"/>
      <c r="CZ58" s="434"/>
      <c r="DA58" s="434"/>
      <c r="DB58" s="434"/>
      <c r="DC58" s="434"/>
      <c r="DD58" s="434"/>
      <c r="DE58" s="434"/>
      <c r="DF58" s="434"/>
      <c r="DG58" s="434"/>
      <c r="DH58" s="434"/>
      <c r="DI58" s="434"/>
      <c r="DJ58" s="434"/>
      <c r="DK58" s="434"/>
      <c r="DL58" s="434"/>
      <c r="DM58" s="434"/>
      <c r="DN58" s="434"/>
      <c r="DO58" s="434"/>
      <c r="DP58" s="434"/>
      <c r="DQ58" s="434"/>
      <c r="DR58" s="434"/>
      <c r="DS58" s="434"/>
      <c r="DT58" s="434"/>
      <c r="DU58" s="434"/>
      <c r="DV58" s="434"/>
      <c r="DW58" s="434"/>
      <c r="DX58" s="434"/>
      <c r="DY58" s="434"/>
      <c r="DZ58" s="434"/>
      <c r="EA58" s="434"/>
      <c r="EB58" s="434"/>
      <c r="EC58" s="434"/>
      <c r="ED58" s="434"/>
      <c r="EE58" s="434"/>
      <c r="EF58" s="434"/>
      <c r="EG58" s="434"/>
      <c r="EH58" s="434"/>
      <c r="EI58" s="434"/>
      <c r="EJ58" s="434"/>
      <c r="EK58" s="434"/>
      <c r="EL58" s="434"/>
      <c r="EM58" s="434"/>
      <c r="EN58" s="434"/>
      <c r="EO58" s="434"/>
      <c r="EP58" s="434"/>
      <c r="EQ58" s="434"/>
      <c r="ER58" s="434"/>
      <c r="ES58" s="434"/>
      <c r="ET58" s="434"/>
      <c r="EU58" s="434"/>
      <c r="EV58" s="434"/>
      <c r="EW58" s="434"/>
      <c r="EX58" s="434"/>
      <c r="EY58" s="434"/>
      <c r="EZ58" s="434"/>
      <c r="FA58" s="434"/>
      <c r="FB58" s="434"/>
      <c r="FC58" s="434"/>
      <c r="FD58" s="434"/>
      <c r="FE58" s="434"/>
      <c r="FF58" s="434"/>
      <c r="FG58" s="434"/>
      <c r="FH58" s="434"/>
      <c r="FI58" s="434"/>
      <c r="FJ58" s="434"/>
      <c r="FK58" s="434"/>
      <c r="FL58" s="434"/>
      <c r="FM58" s="434"/>
      <c r="FN58" s="434"/>
      <c r="FO58" s="434"/>
      <c r="FP58" s="434"/>
      <c r="FQ58" s="434"/>
      <c r="FR58" s="434"/>
      <c r="FS58" s="434"/>
      <c r="FT58" s="434"/>
      <c r="FU58" s="434"/>
      <c r="FV58" s="434"/>
      <c r="FW58" s="434"/>
      <c r="FX58" s="434"/>
      <c r="FY58" s="434"/>
      <c r="FZ58" s="434"/>
      <c r="GA58" s="434"/>
      <c r="GB58" s="434"/>
      <c r="GC58" s="434"/>
      <c r="GD58" s="434"/>
      <c r="GE58" s="434"/>
      <c r="GF58" s="434"/>
      <c r="GG58" s="434"/>
      <c r="GH58" s="434"/>
      <c r="GI58" s="434"/>
      <c r="GJ58" s="434"/>
      <c r="GK58" s="434"/>
      <c r="GL58" s="434"/>
      <c r="GM58" s="434"/>
      <c r="GN58" s="434"/>
    </row>
    <row r="59" spans="1:196" ht="15" customHeight="1">
      <c r="A59" s="206"/>
      <c r="B59" s="140">
        <v>58</v>
      </c>
      <c r="C59" s="43">
        <v>525625</v>
      </c>
      <c r="D59" s="1054" t="s">
        <v>6072</v>
      </c>
      <c r="E59" s="648" t="s">
        <v>6073</v>
      </c>
      <c r="F59" s="1224">
        <v>46148</v>
      </c>
      <c r="G59" s="1225">
        <v>45</v>
      </c>
      <c r="H59" s="44">
        <v>29595</v>
      </c>
      <c r="I59" s="1224">
        <v>46148</v>
      </c>
      <c r="J59" s="43" t="s">
        <v>5996</v>
      </c>
      <c r="K59" s="43" t="s">
        <v>6074</v>
      </c>
      <c r="L59" s="43" t="s">
        <v>461</v>
      </c>
      <c r="M59" s="1225">
        <v>934139226</v>
      </c>
      <c r="N59" s="43"/>
      <c r="O59" s="1169" t="s">
        <v>5865</v>
      </c>
      <c r="P59" s="43" t="s">
        <v>5866</v>
      </c>
      <c r="Q59" s="1061" t="s">
        <v>5867</v>
      </c>
      <c r="R59" s="43" t="s">
        <v>162</v>
      </c>
      <c r="S59" s="43" t="s">
        <v>5868</v>
      </c>
      <c r="T59" s="43" t="s">
        <v>5873</v>
      </c>
      <c r="U59" s="1224">
        <v>46148</v>
      </c>
      <c r="V59" s="1227">
        <v>0.36458333333333298</v>
      </c>
      <c r="W59" s="1226">
        <v>46148</v>
      </c>
      <c r="X59" s="1209" t="s">
        <v>376</v>
      </c>
      <c r="Y59" s="1169" t="s">
        <v>3111</v>
      </c>
      <c r="Z59" s="1210" t="s">
        <v>4477</v>
      </c>
      <c r="AA59" s="1211">
        <v>46149</v>
      </c>
      <c r="AB59" s="244"/>
      <c r="AC59" s="1178"/>
      <c r="AD59" s="1178"/>
      <c r="AE59" s="43"/>
      <c r="AF59" s="43"/>
      <c r="AG59" s="43"/>
      <c r="AH59" s="43"/>
      <c r="AI59" s="43"/>
      <c r="AJ59" s="43"/>
      <c r="AK59" s="43"/>
      <c r="AL59" s="43"/>
      <c r="AM59" s="43"/>
      <c r="AN59" s="43"/>
      <c r="AO59" s="43"/>
      <c r="AP59" s="43"/>
      <c r="AQ59" s="43"/>
      <c r="AR59" s="434"/>
      <c r="AS59" s="434"/>
      <c r="AT59" s="434"/>
      <c r="AU59" s="434"/>
      <c r="AV59" s="434"/>
      <c r="AW59" s="434"/>
      <c r="AX59" s="434"/>
      <c r="AY59" s="434"/>
      <c r="AZ59" s="434"/>
      <c r="BA59" s="434"/>
      <c r="BB59" s="434"/>
      <c r="BC59" s="434"/>
      <c r="BD59" s="434"/>
      <c r="BE59" s="434"/>
      <c r="BF59" s="434"/>
      <c r="BG59" s="434"/>
      <c r="BH59" s="434"/>
      <c r="BI59" s="434"/>
      <c r="BJ59" s="434"/>
      <c r="BK59" s="434"/>
      <c r="BL59" s="434"/>
      <c r="BM59" s="434"/>
      <c r="BN59" s="434"/>
      <c r="BO59" s="434"/>
      <c r="BP59" s="434"/>
      <c r="BQ59" s="434"/>
      <c r="BR59" s="434"/>
      <c r="BS59" s="434"/>
      <c r="BT59" s="434"/>
      <c r="BU59" s="434"/>
      <c r="BV59" s="434"/>
      <c r="BW59" s="434"/>
      <c r="BX59" s="434"/>
      <c r="BY59" s="434"/>
      <c r="BZ59" s="434"/>
      <c r="CA59" s="434"/>
      <c r="CB59" s="434"/>
      <c r="CC59" s="434"/>
      <c r="CD59" s="434"/>
      <c r="CE59" s="434"/>
      <c r="CF59" s="434"/>
      <c r="CG59" s="434"/>
      <c r="CH59" s="434"/>
      <c r="CI59" s="434"/>
      <c r="CJ59" s="434"/>
      <c r="CK59" s="434"/>
      <c r="CL59" s="434"/>
      <c r="CM59" s="434"/>
      <c r="CN59" s="434"/>
      <c r="CO59" s="434"/>
      <c r="CP59" s="434"/>
      <c r="CQ59" s="434"/>
      <c r="CR59" s="434"/>
      <c r="CS59" s="434"/>
      <c r="CT59" s="434"/>
      <c r="CU59" s="434"/>
      <c r="CV59" s="434"/>
      <c r="CW59" s="434"/>
      <c r="CX59" s="434"/>
      <c r="CY59" s="434"/>
      <c r="CZ59" s="434"/>
      <c r="DA59" s="434"/>
      <c r="DB59" s="434"/>
      <c r="DC59" s="434"/>
      <c r="DD59" s="434"/>
      <c r="DE59" s="434"/>
      <c r="DF59" s="434"/>
      <c r="DG59" s="434"/>
      <c r="DH59" s="434"/>
      <c r="DI59" s="434"/>
      <c r="DJ59" s="434"/>
      <c r="DK59" s="434"/>
      <c r="DL59" s="434"/>
      <c r="DM59" s="434"/>
      <c r="DN59" s="434"/>
      <c r="DO59" s="434"/>
      <c r="DP59" s="434"/>
      <c r="DQ59" s="434"/>
      <c r="DR59" s="434"/>
      <c r="DS59" s="434"/>
      <c r="DT59" s="434"/>
      <c r="DU59" s="434"/>
      <c r="DV59" s="434"/>
      <c r="DW59" s="434"/>
      <c r="DX59" s="434"/>
      <c r="DY59" s="434"/>
      <c r="DZ59" s="434"/>
      <c r="EA59" s="434"/>
      <c r="EB59" s="434"/>
      <c r="EC59" s="434"/>
      <c r="ED59" s="434"/>
      <c r="EE59" s="434"/>
      <c r="EF59" s="434"/>
      <c r="EG59" s="434"/>
      <c r="EH59" s="434"/>
      <c r="EI59" s="434"/>
      <c r="EJ59" s="434"/>
      <c r="EK59" s="434"/>
      <c r="EL59" s="434"/>
      <c r="EM59" s="434"/>
      <c r="EN59" s="434"/>
      <c r="EO59" s="434"/>
      <c r="EP59" s="434"/>
      <c r="EQ59" s="434"/>
      <c r="ER59" s="434"/>
      <c r="ES59" s="434"/>
      <c r="ET59" s="434"/>
      <c r="EU59" s="434"/>
      <c r="EV59" s="434"/>
      <c r="EW59" s="434"/>
      <c r="EX59" s="434"/>
      <c r="EY59" s="434"/>
      <c r="EZ59" s="434"/>
      <c r="FA59" s="434"/>
      <c r="FB59" s="434"/>
      <c r="FC59" s="434"/>
      <c r="FD59" s="434"/>
      <c r="FE59" s="434"/>
      <c r="FF59" s="434"/>
      <c r="FG59" s="434"/>
      <c r="FH59" s="434"/>
      <c r="FI59" s="434"/>
      <c r="FJ59" s="434"/>
      <c r="FK59" s="434"/>
      <c r="FL59" s="434"/>
      <c r="FM59" s="434"/>
      <c r="FN59" s="434"/>
      <c r="FO59" s="434"/>
      <c r="FP59" s="434"/>
      <c r="FQ59" s="434"/>
      <c r="FR59" s="434"/>
      <c r="FS59" s="434"/>
      <c r="FT59" s="434"/>
      <c r="FU59" s="434"/>
      <c r="FV59" s="434"/>
      <c r="FW59" s="434"/>
      <c r="FX59" s="434"/>
      <c r="FY59" s="434"/>
      <c r="FZ59" s="434"/>
      <c r="GA59" s="434"/>
      <c r="GB59" s="434"/>
      <c r="GC59" s="434"/>
      <c r="GD59" s="434"/>
      <c r="GE59" s="434"/>
      <c r="GF59" s="434"/>
      <c r="GG59" s="434"/>
      <c r="GH59" s="434"/>
      <c r="GI59" s="434"/>
      <c r="GJ59" s="434"/>
      <c r="GK59" s="434"/>
      <c r="GL59" s="434"/>
      <c r="GM59" s="434"/>
      <c r="GN59" s="434"/>
    </row>
    <row r="60" spans="1:196" ht="15" customHeight="1">
      <c r="A60" s="206"/>
      <c r="B60" s="140">
        <v>59</v>
      </c>
      <c r="C60" s="43">
        <v>117865</v>
      </c>
      <c r="D60" s="1054" t="s">
        <v>6075</v>
      </c>
      <c r="E60" s="648" t="s">
        <v>6076</v>
      </c>
      <c r="F60" s="1224">
        <v>46148</v>
      </c>
      <c r="G60" s="1225">
        <v>42</v>
      </c>
      <c r="H60" s="44">
        <v>30652</v>
      </c>
      <c r="I60" s="1224">
        <v>46148</v>
      </c>
      <c r="J60" s="43" t="s">
        <v>6045</v>
      </c>
      <c r="K60" s="43" t="s">
        <v>6077</v>
      </c>
      <c r="L60" s="43" t="s">
        <v>278</v>
      </c>
      <c r="M60" s="1225">
        <v>980672244</v>
      </c>
      <c r="N60" s="43"/>
      <c r="O60" s="1169" t="s">
        <v>5865</v>
      </c>
      <c r="P60" s="43" t="s">
        <v>5866</v>
      </c>
      <c r="Q60" s="1061" t="s">
        <v>5867</v>
      </c>
      <c r="R60" s="43" t="s">
        <v>238</v>
      </c>
      <c r="S60" s="43" t="s">
        <v>5868</v>
      </c>
      <c r="T60" s="43" t="s">
        <v>5873</v>
      </c>
      <c r="U60" s="1224">
        <v>46148</v>
      </c>
      <c r="V60" s="1228">
        <v>0.375</v>
      </c>
      <c r="W60" s="1226">
        <v>46148</v>
      </c>
      <c r="X60" t="s">
        <v>1064</v>
      </c>
      <c r="Y60" s="1169" t="s">
        <v>3111</v>
      </c>
      <c r="Z60" s="1203" t="s">
        <v>1676</v>
      </c>
      <c r="AA60" s="1211">
        <v>46149</v>
      </c>
      <c r="AB60" s="244"/>
      <c r="AC60" s="1178"/>
      <c r="AD60" s="1178"/>
      <c r="AE60" s="43"/>
      <c r="AF60" s="43"/>
      <c r="AG60" s="43"/>
      <c r="AH60" s="43"/>
      <c r="AI60" s="43"/>
      <c r="AJ60" s="43"/>
      <c r="AK60" s="43"/>
      <c r="AL60" s="43"/>
      <c r="AM60" s="43"/>
      <c r="AN60" s="43"/>
      <c r="AO60" s="43"/>
      <c r="AP60" s="43"/>
      <c r="AQ60" s="43"/>
      <c r="AR60" s="434"/>
      <c r="AS60" s="434"/>
      <c r="AT60" s="434"/>
      <c r="AU60" s="434"/>
      <c r="AV60" s="434"/>
      <c r="AW60" s="434"/>
      <c r="AX60" s="434"/>
      <c r="AY60" s="434"/>
      <c r="AZ60" s="434"/>
      <c r="BA60" s="434"/>
      <c r="BB60" s="434"/>
      <c r="BC60" s="434"/>
      <c r="BD60" s="434"/>
      <c r="BE60" s="434"/>
      <c r="BF60" s="434"/>
      <c r="BG60" s="434"/>
      <c r="BH60" s="434"/>
      <c r="BI60" s="434"/>
      <c r="BJ60" s="434"/>
      <c r="BK60" s="434"/>
      <c r="BL60" s="434"/>
      <c r="BM60" s="434"/>
      <c r="BN60" s="434"/>
      <c r="BO60" s="434"/>
      <c r="BP60" s="434"/>
      <c r="BQ60" s="434"/>
      <c r="BR60" s="434"/>
      <c r="BS60" s="434"/>
      <c r="BT60" s="434"/>
      <c r="BU60" s="434"/>
      <c r="BV60" s="434"/>
      <c r="BW60" s="434"/>
      <c r="BX60" s="434"/>
      <c r="BY60" s="434"/>
      <c r="BZ60" s="434"/>
      <c r="CA60" s="434"/>
      <c r="CB60" s="434"/>
      <c r="CC60" s="434"/>
      <c r="CD60" s="434"/>
      <c r="CE60" s="434"/>
      <c r="CF60" s="434"/>
      <c r="CG60" s="434"/>
      <c r="CH60" s="434"/>
      <c r="CI60" s="434"/>
      <c r="CJ60" s="434"/>
      <c r="CK60" s="434"/>
      <c r="CL60" s="434"/>
      <c r="CM60" s="434"/>
      <c r="CN60" s="434"/>
      <c r="CO60" s="434"/>
      <c r="CP60" s="434"/>
      <c r="CQ60" s="434"/>
      <c r="CR60" s="434"/>
      <c r="CS60" s="434"/>
      <c r="CT60" s="434"/>
      <c r="CU60" s="434"/>
      <c r="CV60" s="434"/>
      <c r="CW60" s="434"/>
      <c r="CX60" s="434"/>
      <c r="CY60" s="434"/>
      <c r="CZ60" s="434"/>
      <c r="DA60" s="434"/>
      <c r="DB60" s="434"/>
      <c r="DC60" s="434"/>
      <c r="DD60" s="434"/>
      <c r="DE60" s="434"/>
      <c r="DF60" s="434"/>
      <c r="DG60" s="434"/>
      <c r="DH60" s="434"/>
      <c r="DI60" s="434"/>
      <c r="DJ60" s="434"/>
      <c r="DK60" s="434"/>
      <c r="DL60" s="434"/>
      <c r="DM60" s="434"/>
      <c r="DN60" s="434"/>
      <c r="DO60" s="434"/>
      <c r="DP60" s="434"/>
      <c r="DQ60" s="434"/>
      <c r="DR60" s="434"/>
      <c r="DS60" s="434"/>
      <c r="DT60" s="434"/>
      <c r="DU60" s="434"/>
      <c r="DV60" s="434"/>
      <c r="DW60" s="434"/>
      <c r="DX60" s="434"/>
      <c r="DY60" s="434"/>
      <c r="DZ60" s="434"/>
      <c r="EA60" s="434"/>
      <c r="EB60" s="434"/>
      <c r="EC60" s="434"/>
      <c r="ED60" s="434"/>
      <c r="EE60" s="434"/>
      <c r="EF60" s="434"/>
      <c r="EG60" s="434"/>
      <c r="EH60" s="434"/>
      <c r="EI60" s="434"/>
      <c r="EJ60" s="434"/>
      <c r="EK60" s="434"/>
      <c r="EL60" s="434"/>
      <c r="EM60" s="434"/>
      <c r="EN60" s="434"/>
      <c r="EO60" s="434"/>
      <c r="EP60" s="434"/>
      <c r="EQ60" s="434"/>
      <c r="ER60" s="434"/>
      <c r="ES60" s="434"/>
      <c r="ET60" s="434"/>
      <c r="EU60" s="434"/>
      <c r="EV60" s="434"/>
      <c r="EW60" s="434"/>
      <c r="EX60" s="434"/>
      <c r="EY60" s="434"/>
      <c r="EZ60" s="434"/>
      <c r="FA60" s="434"/>
      <c r="FB60" s="434"/>
      <c r="FC60" s="434"/>
      <c r="FD60" s="434"/>
      <c r="FE60" s="434"/>
      <c r="FF60" s="434"/>
      <c r="FG60" s="434"/>
      <c r="FH60" s="434"/>
      <c r="FI60" s="434"/>
      <c r="FJ60" s="434"/>
      <c r="FK60" s="434"/>
      <c r="FL60" s="434"/>
      <c r="FM60" s="434"/>
      <c r="FN60" s="434"/>
      <c r="FO60" s="434"/>
      <c r="FP60" s="434"/>
      <c r="FQ60" s="434"/>
      <c r="FR60" s="434"/>
      <c r="FS60" s="434"/>
      <c r="FT60" s="434"/>
      <c r="FU60" s="434"/>
      <c r="FV60" s="434"/>
      <c r="FW60" s="434"/>
      <c r="FX60" s="434"/>
      <c r="FY60" s="434"/>
      <c r="FZ60" s="434"/>
      <c r="GA60" s="434"/>
      <c r="GB60" s="434"/>
      <c r="GC60" s="434"/>
      <c r="GD60" s="434"/>
      <c r="GE60" s="434"/>
      <c r="GF60" s="434"/>
      <c r="GG60" s="434"/>
      <c r="GH60" s="434"/>
      <c r="GI60" s="434"/>
      <c r="GJ60" s="434"/>
      <c r="GK60" s="434"/>
      <c r="GL60" s="434"/>
      <c r="GM60" s="434"/>
      <c r="GN60" s="434"/>
    </row>
    <row r="61" spans="1:196" ht="15" customHeight="1">
      <c r="A61" s="206"/>
      <c r="B61" s="140">
        <v>60</v>
      </c>
      <c r="C61" s="43">
        <v>525632</v>
      </c>
      <c r="D61" s="1054" t="s">
        <v>6078</v>
      </c>
      <c r="E61" s="648" t="s">
        <v>6079</v>
      </c>
      <c r="F61" s="1224">
        <v>46148</v>
      </c>
      <c r="G61" s="1225">
        <v>61</v>
      </c>
      <c r="H61" s="44">
        <v>23607</v>
      </c>
      <c r="I61" s="1224">
        <v>46148</v>
      </c>
      <c r="J61" s="43" t="s">
        <v>6080</v>
      </c>
      <c r="K61" s="43" t="s">
        <v>6081</v>
      </c>
      <c r="L61" s="43" t="s">
        <v>461</v>
      </c>
      <c r="M61" s="1225">
        <v>954834909</v>
      </c>
      <c r="N61" s="43"/>
      <c r="O61" s="1169" t="s">
        <v>5865</v>
      </c>
      <c r="P61" s="43" t="s">
        <v>5866</v>
      </c>
      <c r="Q61" s="1061" t="s">
        <v>5867</v>
      </c>
      <c r="R61" s="43" t="s">
        <v>162</v>
      </c>
      <c r="S61" s="43" t="s">
        <v>5868</v>
      </c>
      <c r="T61" s="43" t="s">
        <v>5873</v>
      </c>
      <c r="U61" s="1224">
        <v>46148</v>
      </c>
      <c r="V61" s="1228">
        <v>0.38541666666666702</v>
      </c>
      <c r="W61" s="1226">
        <v>46148</v>
      </c>
      <c r="X61" s="1209" t="s">
        <v>376</v>
      </c>
      <c r="Y61" s="1169" t="s">
        <v>3111</v>
      </c>
      <c r="Z61" s="1210" t="s">
        <v>4477</v>
      </c>
      <c r="AA61" s="1211">
        <v>46149</v>
      </c>
      <c r="AB61" s="244"/>
      <c r="AC61" s="1178"/>
      <c r="AD61" s="1178"/>
      <c r="AE61" s="43"/>
      <c r="AF61" s="43"/>
      <c r="AG61" s="43"/>
      <c r="AH61" s="43"/>
      <c r="AI61" s="43"/>
      <c r="AJ61" s="43"/>
      <c r="AK61" s="43"/>
      <c r="AL61" s="43"/>
      <c r="AM61" s="43"/>
      <c r="AN61" s="43"/>
      <c r="AO61" s="43"/>
      <c r="AP61" s="43"/>
      <c r="AQ61" s="43"/>
      <c r="AR61" s="434"/>
      <c r="AS61" s="434"/>
      <c r="AT61" s="434"/>
      <c r="AU61" s="434"/>
      <c r="AV61" s="434"/>
      <c r="AW61" s="434"/>
      <c r="AX61" s="434"/>
      <c r="AY61" s="434"/>
      <c r="AZ61" s="434"/>
      <c r="BA61" s="434"/>
      <c r="BB61" s="434"/>
      <c r="BC61" s="434"/>
      <c r="BD61" s="434"/>
      <c r="BE61" s="434"/>
      <c r="BF61" s="434"/>
      <c r="BG61" s="434"/>
      <c r="BH61" s="434"/>
      <c r="BI61" s="434"/>
      <c r="BJ61" s="434"/>
      <c r="BK61" s="434"/>
      <c r="BL61" s="434"/>
      <c r="BM61" s="434"/>
      <c r="BN61" s="434"/>
      <c r="BO61" s="434"/>
      <c r="BP61" s="434"/>
      <c r="BQ61" s="434"/>
      <c r="BR61" s="434"/>
      <c r="BS61" s="434"/>
      <c r="BT61" s="434"/>
      <c r="BU61" s="434"/>
      <c r="BV61" s="434"/>
      <c r="BW61" s="434"/>
      <c r="BX61" s="434"/>
      <c r="BY61" s="434"/>
      <c r="BZ61" s="434"/>
      <c r="CA61" s="434"/>
      <c r="CB61" s="434"/>
      <c r="CC61" s="434"/>
      <c r="CD61" s="434"/>
      <c r="CE61" s="434"/>
      <c r="CF61" s="434"/>
      <c r="CG61" s="434"/>
      <c r="CH61" s="434"/>
      <c r="CI61" s="434"/>
      <c r="CJ61" s="434"/>
      <c r="CK61" s="434"/>
      <c r="CL61" s="434"/>
      <c r="CM61" s="434"/>
      <c r="CN61" s="434"/>
      <c r="CO61" s="434"/>
      <c r="CP61" s="434"/>
      <c r="CQ61" s="434"/>
      <c r="CR61" s="434"/>
      <c r="CS61" s="434"/>
      <c r="CT61" s="434"/>
      <c r="CU61" s="434"/>
      <c r="CV61" s="434"/>
      <c r="CW61" s="434"/>
      <c r="CX61" s="434"/>
      <c r="CY61" s="434"/>
      <c r="CZ61" s="434"/>
      <c r="DA61" s="434"/>
      <c r="DB61" s="434"/>
      <c r="DC61" s="434"/>
      <c r="DD61" s="434"/>
      <c r="DE61" s="434"/>
      <c r="DF61" s="434"/>
      <c r="DG61" s="434"/>
      <c r="DH61" s="434"/>
      <c r="DI61" s="434"/>
      <c r="DJ61" s="434"/>
      <c r="DK61" s="434"/>
      <c r="DL61" s="434"/>
      <c r="DM61" s="434"/>
      <c r="DN61" s="434"/>
      <c r="DO61" s="434"/>
      <c r="DP61" s="434"/>
      <c r="DQ61" s="434"/>
      <c r="DR61" s="434"/>
      <c r="DS61" s="434"/>
      <c r="DT61" s="434"/>
      <c r="DU61" s="434"/>
      <c r="DV61" s="434"/>
      <c r="DW61" s="434"/>
      <c r="DX61" s="434"/>
      <c r="DY61" s="434"/>
      <c r="DZ61" s="434"/>
      <c r="EA61" s="434"/>
      <c r="EB61" s="434"/>
      <c r="EC61" s="434"/>
      <c r="ED61" s="434"/>
      <c r="EE61" s="434"/>
      <c r="EF61" s="434"/>
      <c r="EG61" s="434"/>
      <c r="EH61" s="434"/>
      <c r="EI61" s="434"/>
      <c r="EJ61" s="434"/>
      <c r="EK61" s="434"/>
      <c r="EL61" s="434"/>
      <c r="EM61" s="434"/>
      <c r="EN61" s="434"/>
      <c r="EO61" s="434"/>
      <c r="EP61" s="434"/>
      <c r="EQ61" s="434"/>
      <c r="ER61" s="434"/>
      <c r="ES61" s="434"/>
      <c r="ET61" s="434"/>
      <c r="EU61" s="434"/>
      <c r="EV61" s="434"/>
      <c r="EW61" s="434"/>
      <c r="EX61" s="434"/>
      <c r="EY61" s="434"/>
      <c r="EZ61" s="434"/>
      <c r="FA61" s="434"/>
      <c r="FB61" s="434"/>
      <c r="FC61" s="434"/>
      <c r="FD61" s="434"/>
      <c r="FE61" s="434"/>
      <c r="FF61" s="434"/>
      <c r="FG61" s="434"/>
      <c r="FH61" s="434"/>
      <c r="FI61" s="434"/>
      <c r="FJ61" s="434"/>
      <c r="FK61" s="434"/>
      <c r="FL61" s="434"/>
      <c r="FM61" s="434"/>
      <c r="FN61" s="434"/>
      <c r="FO61" s="434"/>
      <c r="FP61" s="434"/>
      <c r="FQ61" s="434"/>
      <c r="FR61" s="434"/>
      <c r="FS61" s="434"/>
      <c r="FT61" s="434"/>
      <c r="FU61" s="434"/>
      <c r="FV61" s="434"/>
      <c r="FW61" s="434"/>
      <c r="FX61" s="434"/>
      <c r="FY61" s="434"/>
      <c r="FZ61" s="434"/>
      <c r="GA61" s="434"/>
      <c r="GB61" s="434"/>
      <c r="GC61" s="434"/>
      <c r="GD61" s="434"/>
      <c r="GE61" s="434"/>
      <c r="GF61" s="434"/>
      <c r="GG61" s="434"/>
      <c r="GH61" s="434"/>
      <c r="GI61" s="434"/>
      <c r="GJ61" s="434"/>
      <c r="GK61" s="434"/>
      <c r="GL61" s="434"/>
      <c r="GM61" s="434"/>
      <c r="GN61" s="434"/>
    </row>
    <row r="62" spans="1:196" ht="15" customHeight="1">
      <c r="A62" s="206"/>
      <c r="B62" s="140">
        <v>61</v>
      </c>
      <c r="C62" s="43">
        <v>525633</v>
      </c>
      <c r="D62" s="1054" t="s">
        <v>6082</v>
      </c>
      <c r="E62" s="648" t="s">
        <v>6083</v>
      </c>
      <c r="F62" s="1224">
        <v>46148</v>
      </c>
      <c r="G62" s="1225">
        <v>41</v>
      </c>
      <c r="H62" s="44">
        <v>30894</v>
      </c>
      <c r="I62" s="1224">
        <v>46148</v>
      </c>
      <c r="J62" s="43" t="s">
        <v>5990</v>
      </c>
      <c r="K62" s="43" t="s">
        <v>6084</v>
      </c>
      <c r="L62" s="43" t="s">
        <v>6085</v>
      </c>
      <c r="M62" s="1225">
        <v>988810065</v>
      </c>
      <c r="N62" s="43"/>
      <c r="O62" s="1169" t="s">
        <v>5865</v>
      </c>
      <c r="P62" s="43" t="s">
        <v>5866</v>
      </c>
      <c r="Q62" s="1061" t="s">
        <v>5867</v>
      </c>
      <c r="R62" s="43" t="s">
        <v>164</v>
      </c>
      <c r="S62" s="43" t="s">
        <v>5868</v>
      </c>
      <c r="T62" s="43" t="s">
        <v>5873</v>
      </c>
      <c r="U62" s="1224">
        <v>46148</v>
      </c>
      <c r="V62" s="1227">
        <v>0.39583333333333298</v>
      </c>
      <c r="W62" s="1226">
        <v>46148</v>
      </c>
      <c r="X62" s="1060" t="s">
        <v>6086</v>
      </c>
      <c r="Y62" s="1223" t="s">
        <v>3122</v>
      </c>
      <c r="Z62" s="1203" t="s">
        <v>1676</v>
      </c>
      <c r="AA62" s="1211">
        <v>46149</v>
      </c>
      <c r="AB62" s="244"/>
      <c r="AC62" s="1178"/>
      <c r="AD62" s="1178"/>
      <c r="AE62" s="43"/>
      <c r="AF62" s="43"/>
      <c r="AG62" s="43"/>
      <c r="AH62" s="43"/>
      <c r="AI62" s="43"/>
      <c r="AJ62" s="43"/>
      <c r="AK62" s="43"/>
      <c r="AL62" s="43"/>
      <c r="AM62" s="43"/>
      <c r="AN62" s="43"/>
      <c r="AO62" s="43"/>
      <c r="AP62" s="43"/>
      <c r="AQ62" s="43"/>
      <c r="AR62" s="434"/>
      <c r="AS62" s="434"/>
      <c r="AT62" s="434"/>
      <c r="AU62" s="434"/>
      <c r="AV62" s="434"/>
      <c r="AW62" s="434"/>
      <c r="AX62" s="434"/>
      <c r="AY62" s="434"/>
      <c r="AZ62" s="434"/>
      <c r="BA62" s="434"/>
      <c r="BB62" s="434"/>
      <c r="BC62" s="434"/>
      <c r="BD62" s="434"/>
      <c r="BE62" s="434"/>
      <c r="BF62" s="434"/>
      <c r="BG62" s="434"/>
      <c r="BH62" s="434"/>
      <c r="BI62" s="434"/>
      <c r="BJ62" s="434"/>
      <c r="BK62" s="434"/>
      <c r="BL62" s="434"/>
      <c r="BM62" s="434"/>
      <c r="BN62" s="434"/>
      <c r="BO62" s="434"/>
      <c r="BP62" s="434"/>
      <c r="BQ62" s="434"/>
      <c r="BR62" s="434"/>
      <c r="BS62" s="434"/>
      <c r="BT62" s="434"/>
      <c r="BU62" s="434"/>
      <c r="BV62" s="434"/>
      <c r="BW62" s="434"/>
      <c r="BX62" s="434"/>
      <c r="BY62" s="434"/>
      <c r="BZ62" s="434"/>
      <c r="CA62" s="434"/>
      <c r="CB62" s="434"/>
      <c r="CC62" s="434"/>
      <c r="CD62" s="434"/>
      <c r="CE62" s="434"/>
      <c r="CF62" s="434"/>
      <c r="CG62" s="434"/>
      <c r="CH62" s="434"/>
      <c r="CI62" s="434"/>
      <c r="CJ62" s="434"/>
      <c r="CK62" s="434"/>
      <c r="CL62" s="434"/>
      <c r="CM62" s="434"/>
      <c r="CN62" s="434"/>
      <c r="CO62" s="434"/>
      <c r="CP62" s="434"/>
      <c r="CQ62" s="434"/>
      <c r="CR62" s="434"/>
      <c r="CS62" s="434"/>
      <c r="CT62" s="434"/>
      <c r="CU62" s="434"/>
      <c r="CV62" s="434"/>
      <c r="CW62" s="434"/>
      <c r="CX62" s="434"/>
      <c r="CY62" s="434"/>
      <c r="CZ62" s="434"/>
      <c r="DA62" s="434"/>
      <c r="DB62" s="434"/>
      <c r="DC62" s="434"/>
      <c r="DD62" s="434"/>
      <c r="DE62" s="434"/>
      <c r="DF62" s="434"/>
      <c r="DG62" s="434"/>
      <c r="DH62" s="434"/>
      <c r="DI62" s="434"/>
      <c r="DJ62" s="434"/>
      <c r="DK62" s="434"/>
      <c r="DL62" s="434"/>
      <c r="DM62" s="434"/>
      <c r="DN62" s="434"/>
      <c r="DO62" s="434"/>
      <c r="DP62" s="434"/>
      <c r="DQ62" s="434"/>
      <c r="DR62" s="434"/>
      <c r="DS62" s="434"/>
      <c r="DT62" s="434"/>
      <c r="DU62" s="434"/>
      <c r="DV62" s="434"/>
      <c r="DW62" s="434"/>
      <c r="DX62" s="434"/>
      <c r="DY62" s="434"/>
      <c r="DZ62" s="434"/>
      <c r="EA62" s="434"/>
      <c r="EB62" s="434"/>
      <c r="EC62" s="434"/>
      <c r="ED62" s="434"/>
      <c r="EE62" s="434"/>
      <c r="EF62" s="434"/>
      <c r="EG62" s="434"/>
      <c r="EH62" s="434"/>
      <c r="EI62" s="434"/>
      <c r="EJ62" s="434"/>
      <c r="EK62" s="434"/>
      <c r="EL62" s="434"/>
      <c r="EM62" s="434"/>
      <c r="EN62" s="434"/>
      <c r="EO62" s="434"/>
      <c r="EP62" s="434"/>
      <c r="EQ62" s="434"/>
      <c r="ER62" s="434"/>
      <c r="ES62" s="434"/>
      <c r="ET62" s="434"/>
      <c r="EU62" s="434"/>
      <c r="EV62" s="434"/>
      <c r="EW62" s="434"/>
      <c r="EX62" s="434"/>
      <c r="EY62" s="434"/>
      <c r="EZ62" s="434"/>
      <c r="FA62" s="434"/>
      <c r="FB62" s="434"/>
      <c r="FC62" s="434"/>
      <c r="FD62" s="434"/>
      <c r="FE62" s="434"/>
      <c r="FF62" s="434"/>
      <c r="FG62" s="434"/>
      <c r="FH62" s="434"/>
      <c r="FI62" s="434"/>
      <c r="FJ62" s="434"/>
      <c r="FK62" s="434"/>
      <c r="FL62" s="434"/>
      <c r="FM62" s="434"/>
      <c r="FN62" s="434"/>
      <c r="FO62" s="434"/>
      <c r="FP62" s="434"/>
      <c r="FQ62" s="434"/>
      <c r="FR62" s="434"/>
      <c r="FS62" s="434"/>
      <c r="FT62" s="434"/>
      <c r="FU62" s="434"/>
      <c r="FV62" s="434"/>
      <c r="FW62" s="434"/>
      <c r="FX62" s="434"/>
      <c r="FY62" s="434"/>
      <c r="FZ62" s="434"/>
      <c r="GA62" s="434"/>
      <c r="GB62" s="434"/>
      <c r="GC62" s="434"/>
      <c r="GD62" s="434"/>
      <c r="GE62" s="434"/>
      <c r="GF62" s="434"/>
      <c r="GG62" s="434"/>
      <c r="GH62" s="434"/>
      <c r="GI62" s="434"/>
      <c r="GJ62" s="434"/>
      <c r="GK62" s="434"/>
      <c r="GL62" s="434"/>
      <c r="GM62" s="434"/>
      <c r="GN62" s="434"/>
    </row>
    <row r="63" spans="1:196" ht="15" customHeight="1">
      <c r="A63" s="1229"/>
      <c r="B63" s="140">
        <v>62</v>
      </c>
      <c r="C63" s="1229">
        <v>525634</v>
      </c>
      <c r="D63" s="349">
        <v>40081696</v>
      </c>
      <c r="E63" s="1230" t="s">
        <v>6087</v>
      </c>
      <c r="F63" s="1231">
        <v>46142</v>
      </c>
      <c r="G63" s="1232">
        <v>47</v>
      </c>
      <c r="H63" s="1233">
        <v>28833</v>
      </c>
      <c r="I63" s="1231">
        <v>46148</v>
      </c>
      <c r="J63" s="1229" t="s">
        <v>5996</v>
      </c>
      <c r="K63" s="1234" t="s">
        <v>6088</v>
      </c>
      <c r="L63" s="1235" t="s">
        <v>1885</v>
      </c>
      <c r="M63" s="1236">
        <v>970356210</v>
      </c>
      <c r="N63" s="1229"/>
      <c r="O63" s="1169" t="s">
        <v>5865</v>
      </c>
      <c r="P63" s="43" t="s">
        <v>5866</v>
      </c>
      <c r="Q63" s="1061" t="s">
        <v>5867</v>
      </c>
      <c r="R63" s="112" t="s">
        <v>164</v>
      </c>
      <c r="S63" s="1229" t="s">
        <v>5868</v>
      </c>
      <c r="T63" s="1229" t="s">
        <v>5873</v>
      </c>
      <c r="U63" s="1233">
        <v>46148</v>
      </c>
      <c r="V63" s="1228">
        <v>0.40625</v>
      </c>
      <c r="W63" s="1226">
        <v>46148</v>
      </c>
      <c r="X63" s="1237" t="s">
        <v>388</v>
      </c>
      <c r="Y63" s="1238" t="s">
        <v>3111</v>
      </c>
      <c r="Z63" s="1239" t="s">
        <v>1676</v>
      </c>
      <c r="AA63" s="1211">
        <v>46149</v>
      </c>
      <c r="AB63" s="1240"/>
      <c r="AC63" s="1240"/>
      <c r="AD63" s="1240"/>
      <c r="AE63" s="1240"/>
      <c r="AF63" s="1240"/>
      <c r="AG63" s="1240"/>
      <c r="AH63" s="1240"/>
      <c r="AI63" s="1240"/>
      <c r="AJ63" s="1240"/>
      <c r="AK63" s="1240"/>
      <c r="AL63" s="1240"/>
      <c r="AM63" s="1240"/>
      <c r="AN63" s="1240"/>
      <c r="AO63" s="1240"/>
      <c r="AP63" s="1240"/>
      <c r="AQ63" s="1240"/>
      <c r="AR63" s="1240"/>
      <c r="AS63" s="1240"/>
      <c r="AT63" s="1240"/>
      <c r="AU63" s="1240"/>
      <c r="AV63" s="1240"/>
      <c r="AW63" s="1240"/>
      <c r="AX63" s="1240"/>
      <c r="AY63" s="1240"/>
      <c r="AZ63" s="1240"/>
      <c r="BA63" s="1240"/>
      <c r="BB63" s="1240"/>
      <c r="BC63" s="1240"/>
      <c r="BD63" s="1240"/>
      <c r="BE63" s="1240"/>
      <c r="BF63" s="1240"/>
      <c r="BG63" s="1240"/>
      <c r="BH63" s="1240"/>
      <c r="BI63" s="1240"/>
      <c r="BJ63" s="1240"/>
      <c r="BK63" s="1240"/>
      <c r="BL63" s="1240"/>
      <c r="BM63" s="1240"/>
      <c r="BN63" s="1240"/>
      <c r="BO63" s="1240"/>
      <c r="BP63" s="1240"/>
      <c r="BQ63" s="1240"/>
      <c r="BR63" s="1240"/>
      <c r="BS63" s="1240"/>
      <c r="BT63" s="1240"/>
      <c r="BU63" s="1240"/>
      <c r="BV63" s="1240"/>
      <c r="BW63" s="1240"/>
      <c r="BX63" s="1240"/>
      <c r="BY63" s="1240"/>
      <c r="BZ63" s="1240"/>
      <c r="CA63" s="1240"/>
      <c r="CB63" s="1240"/>
      <c r="CC63" s="1240"/>
      <c r="CD63" s="1240"/>
      <c r="CE63" s="1240"/>
      <c r="CF63" s="1240"/>
      <c r="CG63" s="1240"/>
      <c r="CH63" s="1240"/>
      <c r="CI63" s="1240"/>
      <c r="CJ63" s="1240"/>
      <c r="CK63" s="1240"/>
      <c r="CL63" s="1240"/>
      <c r="CM63" s="1240"/>
      <c r="CN63" s="1240"/>
      <c r="CO63" s="1240"/>
      <c r="CP63" s="1240"/>
      <c r="CQ63" s="1240"/>
      <c r="CR63" s="1240"/>
      <c r="CS63" s="1240"/>
      <c r="CT63" s="1240"/>
      <c r="CU63" s="1240"/>
      <c r="CV63" s="1240"/>
      <c r="CW63" s="1240"/>
      <c r="CX63" s="1240"/>
      <c r="CY63" s="1240"/>
      <c r="CZ63" s="1240"/>
      <c r="DA63" s="1240"/>
      <c r="DB63" s="1240"/>
      <c r="DC63" s="1240"/>
      <c r="DD63" s="1240"/>
      <c r="DE63" s="1240"/>
      <c r="DF63" s="1240"/>
      <c r="DG63" s="1240"/>
      <c r="DH63" s="1240"/>
      <c r="DI63" s="1240"/>
      <c r="DJ63" s="1240"/>
      <c r="DK63" s="1240"/>
      <c r="DL63" s="1240"/>
      <c r="DM63" s="1240"/>
      <c r="DN63" s="1240"/>
      <c r="DO63" s="1240"/>
      <c r="DP63" s="1240"/>
      <c r="DQ63" s="1240"/>
      <c r="DR63" s="1240"/>
      <c r="DS63" s="1240"/>
      <c r="DT63" s="1240"/>
      <c r="DU63" s="1240"/>
      <c r="DV63" s="1240"/>
      <c r="DW63" s="1240"/>
      <c r="DX63" s="1240"/>
      <c r="DY63" s="1240"/>
      <c r="DZ63" s="1240"/>
      <c r="EA63" s="1240"/>
      <c r="EB63" s="1240"/>
      <c r="EC63" s="1240"/>
      <c r="ED63" s="1240"/>
      <c r="EE63" s="1240"/>
      <c r="EF63" s="1240"/>
      <c r="EG63" s="1240"/>
      <c r="EH63" s="1240"/>
      <c r="EI63" s="1240"/>
      <c r="EJ63" s="1240"/>
      <c r="EK63" s="1240"/>
      <c r="EL63" s="1240"/>
      <c r="EM63" s="1240"/>
      <c r="EN63" s="1240"/>
      <c r="EO63" s="1240"/>
      <c r="EP63" s="1240"/>
      <c r="EQ63" s="1240"/>
      <c r="ER63" s="1240"/>
      <c r="ES63" s="1240"/>
      <c r="ET63" s="1240"/>
      <c r="EU63" s="1240"/>
      <c r="EV63" s="1240"/>
      <c r="EW63" s="1240"/>
      <c r="EX63" s="1240"/>
      <c r="EY63" s="1240"/>
      <c r="EZ63" s="1240"/>
      <c r="FA63" s="1240"/>
      <c r="FB63" s="1240"/>
      <c r="FC63" s="1240"/>
      <c r="FD63" s="1240"/>
      <c r="FE63" s="1240"/>
      <c r="FF63" s="1240"/>
      <c r="FG63" s="1240"/>
      <c r="FH63" s="1240"/>
      <c r="FI63" s="1240"/>
      <c r="FJ63" s="1240"/>
      <c r="FK63" s="1240"/>
      <c r="FL63" s="1240"/>
      <c r="FM63" s="1240"/>
      <c r="FN63" s="1240"/>
      <c r="FO63" s="1240"/>
      <c r="FP63" s="1240"/>
      <c r="FQ63" s="1240"/>
      <c r="FR63" s="1240"/>
      <c r="FS63" s="1240"/>
      <c r="FT63" s="1240"/>
      <c r="FU63" s="1240"/>
      <c r="FV63" s="1240"/>
      <c r="FW63" s="1240"/>
      <c r="FX63" s="1240"/>
      <c r="FY63" s="1240"/>
      <c r="FZ63" s="1240"/>
      <c r="GA63" s="1240"/>
      <c r="GB63" s="1240"/>
      <c r="GC63" s="1240"/>
      <c r="GD63" s="1240"/>
      <c r="GE63" s="1240"/>
      <c r="GF63" s="1240"/>
      <c r="GG63" s="1241"/>
      <c r="GH63" s="1241"/>
      <c r="GI63" s="1241"/>
      <c r="GJ63" s="1241"/>
      <c r="GK63" s="1241"/>
      <c r="GL63" s="434"/>
      <c r="GM63" s="434"/>
      <c r="GN63" s="434"/>
    </row>
    <row r="64" spans="1:196" ht="15" customHeight="1">
      <c r="A64" s="1229"/>
      <c r="B64" s="140">
        <v>63</v>
      </c>
      <c r="C64" s="1229">
        <v>84932</v>
      </c>
      <c r="D64" s="1229">
        <v>15693196</v>
      </c>
      <c r="E64" s="1242" t="s">
        <v>6089</v>
      </c>
      <c r="F64" s="1231">
        <v>46141</v>
      </c>
      <c r="G64" s="1232">
        <v>59</v>
      </c>
      <c r="H64" s="1233">
        <v>24473</v>
      </c>
      <c r="I64" s="1231">
        <v>46148</v>
      </c>
      <c r="J64" s="1229" t="s">
        <v>6045</v>
      </c>
      <c r="K64" s="1229" t="s">
        <v>6090</v>
      </c>
      <c r="L64" s="1229" t="s">
        <v>301</v>
      </c>
      <c r="M64" s="1232">
        <v>902171976</v>
      </c>
      <c r="N64" s="1229"/>
      <c r="O64" s="1169" t="s">
        <v>5865</v>
      </c>
      <c r="P64" s="112" t="s">
        <v>5866</v>
      </c>
      <c r="Q64" s="1061" t="s">
        <v>5867</v>
      </c>
      <c r="R64" s="112" t="s">
        <v>380</v>
      </c>
      <c r="S64" s="1243" t="s">
        <v>5953</v>
      </c>
      <c r="T64" s="1229" t="s">
        <v>5873</v>
      </c>
      <c r="U64" s="1233">
        <v>46148</v>
      </c>
      <c r="V64" s="1228">
        <v>0.41666666666666702</v>
      </c>
      <c r="W64" s="1226">
        <v>46148</v>
      </c>
      <c r="X64" s="1209" t="s">
        <v>376</v>
      </c>
      <c r="Y64" s="1169" t="s">
        <v>3111</v>
      </c>
      <c r="Z64" s="1210" t="s">
        <v>4477</v>
      </c>
      <c r="AA64" s="1240"/>
      <c r="AB64" s="1240"/>
      <c r="AC64" s="1240"/>
      <c r="AD64" s="1240"/>
      <c r="AE64" s="1240"/>
      <c r="AF64" s="1240"/>
      <c r="AG64" s="1240"/>
      <c r="AH64" s="1240"/>
      <c r="AI64" s="1240"/>
      <c r="AJ64" s="1240"/>
      <c r="AK64" s="1240"/>
      <c r="AL64" s="1240"/>
      <c r="AM64" s="1240"/>
      <c r="AN64" s="1240"/>
      <c r="AO64" s="1240"/>
      <c r="AP64" s="1240"/>
      <c r="AQ64" s="1240"/>
      <c r="AR64" s="1169"/>
      <c r="AS64" s="1169"/>
      <c r="AT64" s="1169"/>
      <c r="AU64" s="1169"/>
      <c r="AV64" s="1169"/>
      <c r="AW64" s="1169"/>
      <c r="AX64" s="1169"/>
      <c r="AY64" s="1169"/>
      <c r="AZ64" s="1169"/>
      <c r="BA64" s="1169"/>
      <c r="BB64" s="1169"/>
      <c r="BC64" s="1169"/>
      <c r="BD64" s="1169"/>
      <c r="BE64" s="1169"/>
      <c r="BF64" s="1169"/>
      <c r="BG64" s="1169"/>
      <c r="BH64" s="1169"/>
      <c r="BI64" s="1169"/>
      <c r="BJ64" s="1169"/>
      <c r="BK64" s="1169"/>
      <c r="BL64" s="1169"/>
      <c r="BM64" s="1169"/>
      <c r="BN64" s="1169"/>
      <c r="BO64" s="1169"/>
      <c r="BP64" s="1169"/>
      <c r="BQ64" s="1169"/>
      <c r="BR64" s="1169"/>
      <c r="BS64" s="1169"/>
      <c r="BT64" s="1169"/>
      <c r="BU64" s="1169"/>
      <c r="BV64" s="1169"/>
      <c r="BW64" s="1169"/>
      <c r="BX64" s="1169"/>
      <c r="BY64" s="1169"/>
      <c r="BZ64" s="1169"/>
      <c r="CA64" s="1169"/>
      <c r="CB64" s="1169"/>
      <c r="CC64" s="1169"/>
      <c r="CD64" s="1169"/>
      <c r="CE64" s="1169"/>
      <c r="CF64" s="1169"/>
      <c r="CG64" s="1169"/>
      <c r="CH64" s="1169"/>
      <c r="CI64" s="1169"/>
      <c r="CJ64" s="1169"/>
      <c r="CK64" s="1169"/>
      <c r="CL64" s="1169"/>
      <c r="CM64" s="1169"/>
      <c r="CN64" s="1169"/>
      <c r="CO64" s="1169"/>
      <c r="CP64" s="1169"/>
      <c r="CQ64" s="1169"/>
      <c r="CR64" s="1169"/>
      <c r="CS64" s="1169"/>
      <c r="CT64" s="1169"/>
      <c r="CU64" s="1169"/>
      <c r="CV64" s="1169"/>
      <c r="CW64" s="1169"/>
      <c r="CX64" s="1169"/>
      <c r="CY64" s="1169"/>
      <c r="CZ64" s="1169"/>
      <c r="DA64" s="1169"/>
      <c r="DB64" s="1169"/>
      <c r="DC64" s="1169"/>
      <c r="DD64" s="1169"/>
      <c r="DE64" s="1169"/>
      <c r="DF64" s="1169"/>
      <c r="DG64" s="1169"/>
      <c r="DH64" s="1169"/>
      <c r="DI64" s="1169"/>
      <c r="DJ64" s="1169"/>
      <c r="DK64" s="1169"/>
      <c r="DL64" s="1169"/>
      <c r="DM64" s="1169"/>
      <c r="DN64" s="1169"/>
      <c r="DO64" s="1169"/>
      <c r="DP64" s="1169"/>
      <c r="DQ64" s="1169"/>
      <c r="DR64" s="1169"/>
      <c r="DS64" s="1169"/>
      <c r="DT64" s="1169"/>
      <c r="DU64" s="1169"/>
      <c r="DV64" s="1169"/>
      <c r="DW64" s="1169"/>
      <c r="DX64" s="1169"/>
      <c r="DY64" s="1169"/>
      <c r="DZ64" s="1169"/>
      <c r="EA64" s="1169"/>
      <c r="EB64" s="1169"/>
      <c r="EC64" s="1169"/>
      <c r="ED64" s="1169"/>
      <c r="EE64" s="1169"/>
      <c r="EF64" s="1169"/>
      <c r="EG64" s="1169"/>
      <c r="EH64" s="1169"/>
      <c r="EI64" s="1169"/>
      <c r="EJ64" s="1169"/>
      <c r="EK64" s="1169"/>
      <c r="EL64" s="1169"/>
      <c r="EM64" s="1169"/>
      <c r="EN64" s="1169"/>
      <c r="EO64" s="1169"/>
      <c r="EP64" s="1169"/>
      <c r="EQ64" s="1169"/>
      <c r="ER64" s="1169"/>
      <c r="ES64" s="1169"/>
      <c r="ET64" s="1169"/>
      <c r="EU64" s="1169"/>
      <c r="EV64" s="1169"/>
      <c r="EW64" s="1169"/>
      <c r="EX64" s="1169"/>
      <c r="EY64" s="1169"/>
      <c r="EZ64" s="1169"/>
      <c r="FA64" s="1169"/>
      <c r="FB64" s="1169"/>
      <c r="FC64" s="1169"/>
      <c r="FD64" s="1169"/>
      <c r="FE64" s="1169"/>
      <c r="FF64" s="1169"/>
      <c r="FG64" s="1169"/>
      <c r="FH64" s="1169"/>
      <c r="FI64" s="1169"/>
      <c r="FJ64" s="1169"/>
      <c r="FK64" s="1169"/>
      <c r="FL64" s="1169"/>
      <c r="FM64" s="1169"/>
      <c r="FN64" s="1169"/>
      <c r="FO64" s="1169"/>
      <c r="FP64" s="1169"/>
      <c r="FQ64" s="1169"/>
      <c r="FR64" s="1169"/>
      <c r="FS64" s="1169"/>
      <c r="FT64" s="1169"/>
      <c r="FU64" s="1169"/>
      <c r="FV64" s="1169"/>
      <c r="FW64" s="1169"/>
      <c r="FX64" s="1169"/>
      <c r="FY64" s="1169"/>
      <c r="FZ64" s="1169"/>
      <c r="GA64" s="1169"/>
      <c r="GB64" s="1169"/>
      <c r="GC64" s="1169"/>
      <c r="GD64" s="1169"/>
      <c r="GE64" s="1169"/>
      <c r="GF64" s="1169"/>
      <c r="GG64" s="1169"/>
      <c r="GH64" s="1169"/>
      <c r="GI64" s="1169"/>
      <c r="GJ64" s="1169"/>
      <c r="GK64" s="1169"/>
      <c r="GL64" s="434"/>
      <c r="GM64" s="434"/>
      <c r="GN64" s="434"/>
    </row>
    <row r="65" spans="1:196" ht="15" customHeight="1">
      <c r="A65" s="1244"/>
      <c r="B65" s="840">
        <v>64</v>
      </c>
      <c r="C65" s="1244">
        <v>206264</v>
      </c>
      <c r="D65" s="1244">
        <v>41040815</v>
      </c>
      <c r="E65" s="1245" t="s">
        <v>6091</v>
      </c>
      <c r="F65" s="1246">
        <v>46146</v>
      </c>
      <c r="G65" s="1247">
        <v>45</v>
      </c>
      <c r="H65" s="1244" t="s">
        <v>6092</v>
      </c>
      <c r="I65" s="1248"/>
      <c r="J65" s="1244" t="s">
        <v>6045</v>
      </c>
      <c r="K65" s="1244" t="s">
        <v>6093</v>
      </c>
      <c r="L65" s="1244" t="s">
        <v>288</v>
      </c>
      <c r="M65" s="1249">
        <v>951451599</v>
      </c>
      <c r="N65" s="1244"/>
      <c r="O65" s="1250" t="s">
        <v>5865</v>
      </c>
      <c r="P65" s="132" t="s">
        <v>5866</v>
      </c>
      <c r="Q65" s="1251" t="s">
        <v>5867</v>
      </c>
      <c r="R65" s="132" t="s">
        <v>347</v>
      </c>
      <c r="S65" s="1244" t="s">
        <v>5868</v>
      </c>
      <c r="T65" s="1244" t="s">
        <v>5873</v>
      </c>
      <c r="U65" s="1252">
        <v>46148</v>
      </c>
      <c r="V65" s="1253">
        <v>0.42708333333333298</v>
      </c>
      <c r="W65" s="1254">
        <v>46148</v>
      </c>
      <c r="X65" s="1255" t="s">
        <v>6094</v>
      </c>
      <c r="Y65" s="1256" t="s">
        <v>5893</v>
      </c>
      <c r="Z65" s="1257" t="s">
        <v>6095</v>
      </c>
      <c r="AA65" s="1250"/>
      <c r="AB65" s="1250"/>
      <c r="AC65" s="1250"/>
      <c r="AD65" s="1250"/>
      <c r="AE65" s="1250"/>
      <c r="AF65" s="1250"/>
      <c r="AG65" s="1250"/>
      <c r="AH65" s="1250"/>
      <c r="AI65" s="1250"/>
      <c r="AJ65" s="1250"/>
      <c r="AK65" s="1250"/>
      <c r="AL65" s="1250"/>
      <c r="AM65" s="1250"/>
      <c r="AN65" s="1250"/>
      <c r="AO65" s="1250"/>
      <c r="AP65" s="1250"/>
      <c r="AQ65" s="1250"/>
      <c r="AR65" s="1258"/>
      <c r="AS65" s="1259"/>
      <c r="AT65" s="1259"/>
      <c r="AU65" s="1259"/>
      <c r="AV65" s="1259"/>
      <c r="AW65" s="1259"/>
      <c r="AX65" s="1259"/>
      <c r="AY65" s="1259"/>
      <c r="AZ65" s="1259"/>
      <c r="BA65" s="1259"/>
      <c r="BB65" s="1259"/>
      <c r="BC65" s="1259"/>
      <c r="BD65" s="1259"/>
      <c r="BE65" s="1259"/>
      <c r="BF65" s="1259"/>
      <c r="BG65" s="1259"/>
      <c r="BH65" s="1259"/>
      <c r="BI65" s="1259"/>
      <c r="BJ65" s="1259"/>
      <c r="BK65" s="1259"/>
      <c r="BL65" s="1259"/>
      <c r="BM65" s="1259"/>
      <c r="BN65" s="1259"/>
      <c r="BO65" s="1259"/>
      <c r="BP65" s="1259"/>
      <c r="BQ65" s="1259"/>
      <c r="BR65" s="1259"/>
      <c r="BS65" s="1259"/>
      <c r="BT65" s="1259"/>
      <c r="BU65" s="1259"/>
      <c r="BV65" s="1259"/>
      <c r="BW65" s="1259"/>
      <c r="BX65" s="1259"/>
      <c r="BY65" s="1259"/>
      <c r="BZ65" s="1259"/>
      <c r="CA65" s="1259"/>
      <c r="CB65" s="1259"/>
      <c r="CC65" s="1259"/>
      <c r="CD65" s="1259"/>
      <c r="CE65" s="1259"/>
      <c r="CF65" s="1259"/>
      <c r="CG65" s="1259"/>
      <c r="CH65" s="1259"/>
      <c r="CI65" s="1259"/>
      <c r="CJ65" s="1259"/>
      <c r="CK65" s="1259"/>
      <c r="CL65" s="1259"/>
      <c r="CM65" s="1259"/>
      <c r="CN65" s="1259"/>
      <c r="CO65" s="1259"/>
      <c r="CP65" s="1259"/>
      <c r="CQ65" s="1259"/>
      <c r="CR65" s="1259"/>
      <c r="CS65" s="1259"/>
      <c r="CT65" s="1259"/>
      <c r="CU65" s="1259"/>
      <c r="CV65" s="1259"/>
      <c r="CW65" s="1259"/>
      <c r="CX65" s="1259"/>
      <c r="CY65" s="1259"/>
      <c r="CZ65" s="1259"/>
      <c r="DA65" s="1259"/>
      <c r="DB65" s="1259"/>
      <c r="DC65" s="1259"/>
      <c r="DD65" s="1259"/>
      <c r="DE65" s="1259"/>
      <c r="DF65" s="1259"/>
      <c r="DG65" s="1259"/>
      <c r="DH65" s="1259"/>
      <c r="DI65" s="1259"/>
      <c r="DJ65" s="1259"/>
      <c r="DK65" s="1259"/>
      <c r="DL65" s="1259"/>
      <c r="DM65" s="1259"/>
      <c r="DN65" s="1259"/>
      <c r="DO65" s="1259"/>
      <c r="DP65" s="1259"/>
      <c r="DQ65" s="1259"/>
      <c r="DR65" s="1259"/>
      <c r="DS65" s="1259"/>
      <c r="DT65" s="1259"/>
      <c r="DU65" s="1259"/>
      <c r="DV65" s="1259"/>
      <c r="DW65" s="1259"/>
      <c r="DX65" s="1259"/>
      <c r="DY65" s="1259"/>
      <c r="DZ65" s="1259"/>
      <c r="EA65" s="1259"/>
      <c r="EB65" s="1259"/>
      <c r="EC65" s="1259"/>
      <c r="ED65" s="1259"/>
      <c r="EE65" s="1259"/>
      <c r="EF65" s="1259"/>
      <c r="EG65" s="1259"/>
      <c r="EH65" s="1259"/>
      <c r="EI65" s="1259"/>
      <c r="EJ65" s="1259"/>
      <c r="EK65" s="1259"/>
      <c r="EL65" s="1259"/>
      <c r="EM65" s="1259"/>
      <c r="EN65" s="1259"/>
      <c r="EO65" s="1259"/>
      <c r="EP65" s="1259"/>
      <c r="EQ65" s="1259"/>
      <c r="ER65" s="1259"/>
      <c r="ES65" s="1259"/>
      <c r="ET65" s="1259"/>
      <c r="EU65" s="1259"/>
      <c r="EV65" s="1259"/>
      <c r="EW65" s="1259"/>
      <c r="EX65" s="1259"/>
      <c r="EY65" s="1259"/>
      <c r="EZ65" s="1259"/>
      <c r="FA65" s="1259"/>
      <c r="FB65" s="1259"/>
      <c r="FC65" s="1259"/>
      <c r="FD65" s="1259"/>
      <c r="FE65" s="1259"/>
      <c r="FF65" s="1259"/>
      <c r="FG65" s="1259"/>
      <c r="FH65" s="1259"/>
      <c r="FI65" s="1259"/>
      <c r="FJ65" s="1259"/>
      <c r="FK65" s="1259"/>
      <c r="FL65" s="1259"/>
      <c r="FM65" s="1259"/>
      <c r="FN65" s="1259"/>
      <c r="FO65" s="1259"/>
      <c r="FP65" s="1259"/>
      <c r="FQ65" s="1259"/>
      <c r="FR65" s="1259"/>
      <c r="FS65" s="1259"/>
      <c r="FT65" s="1259"/>
      <c r="FU65" s="1259"/>
      <c r="FV65" s="1259"/>
      <c r="FW65" s="1259"/>
      <c r="FX65" s="1259"/>
      <c r="FY65" s="1259"/>
      <c r="FZ65" s="1259"/>
      <c r="GA65" s="1259"/>
      <c r="GB65" s="1259"/>
      <c r="GC65" s="1259"/>
      <c r="GD65" s="1259"/>
      <c r="GE65" s="1259"/>
      <c r="GF65" s="1259"/>
      <c r="GG65" s="1260"/>
      <c r="GH65" s="1260"/>
      <c r="GI65" s="1260"/>
      <c r="GJ65" s="1260"/>
      <c r="GK65" s="1260"/>
      <c r="GL65" s="847"/>
      <c r="GM65" s="847"/>
      <c r="GN65" s="847"/>
    </row>
    <row r="66" spans="1:196" ht="15" customHeight="1">
      <c r="A66" s="206"/>
      <c r="B66" s="140">
        <v>65</v>
      </c>
      <c r="C66" s="43">
        <v>335292</v>
      </c>
      <c r="D66" s="1054" t="s">
        <v>6096</v>
      </c>
      <c r="E66" s="648" t="s">
        <v>6097</v>
      </c>
      <c r="F66" s="1224">
        <v>14793</v>
      </c>
      <c r="G66" s="1225">
        <v>85</v>
      </c>
      <c r="H66" s="1261">
        <v>14793</v>
      </c>
      <c r="I66" s="1224">
        <v>46178</v>
      </c>
      <c r="J66" s="43" t="s">
        <v>5986</v>
      </c>
      <c r="K66" s="43" t="s">
        <v>6098</v>
      </c>
      <c r="L66" s="43" t="s">
        <v>278</v>
      </c>
      <c r="M66" s="1225">
        <v>974666769</v>
      </c>
      <c r="N66" s="43"/>
      <c r="O66" s="1169" t="s">
        <v>5865</v>
      </c>
      <c r="P66" s="43" t="s">
        <v>5866</v>
      </c>
      <c r="Q66" s="1061" t="s">
        <v>5867</v>
      </c>
      <c r="R66" s="43" t="s">
        <v>238</v>
      </c>
      <c r="S66" s="43" t="s">
        <v>5945</v>
      </c>
      <c r="T66" s="43" t="s">
        <v>5873</v>
      </c>
      <c r="U66" s="44">
        <v>46148</v>
      </c>
      <c r="V66" s="1228">
        <v>0.4375</v>
      </c>
      <c r="W66" s="1226">
        <v>46148</v>
      </c>
      <c r="X66" s="1060" t="s">
        <v>6099</v>
      </c>
      <c r="Y66" s="1223" t="s">
        <v>5893</v>
      </c>
      <c r="Z66" s="1203" t="s">
        <v>1676</v>
      </c>
      <c r="AA66" s="1211">
        <v>46149</v>
      </c>
      <c r="AB66" s="244"/>
      <c r="AC66" s="1178"/>
      <c r="AD66" s="1178"/>
      <c r="AE66" s="43"/>
      <c r="AF66" s="43"/>
      <c r="AG66" s="43"/>
      <c r="AH66" s="43"/>
      <c r="AI66" s="43"/>
      <c r="AJ66" s="43"/>
      <c r="AK66" s="43"/>
      <c r="AL66" s="43"/>
      <c r="AM66" s="43"/>
      <c r="AN66" s="43"/>
      <c r="AO66" s="43"/>
      <c r="AP66" s="43"/>
      <c r="AQ66" s="43"/>
      <c r="AR66" s="434"/>
      <c r="AS66" s="434"/>
      <c r="AT66" s="434"/>
      <c r="AU66" s="434"/>
      <c r="AV66" s="434"/>
      <c r="AW66" s="434"/>
      <c r="AX66" s="434"/>
      <c r="AY66" s="434"/>
      <c r="AZ66" s="434"/>
      <c r="BA66" s="434"/>
      <c r="BB66" s="434"/>
      <c r="BC66" s="434"/>
      <c r="BD66" s="434"/>
      <c r="BE66" s="434"/>
      <c r="BF66" s="434"/>
      <c r="BG66" s="434"/>
      <c r="BH66" s="434"/>
      <c r="BI66" s="434"/>
      <c r="BJ66" s="434"/>
      <c r="BK66" s="434"/>
      <c r="BL66" s="434"/>
      <c r="BM66" s="434"/>
      <c r="BN66" s="434"/>
      <c r="BO66" s="434"/>
      <c r="BP66" s="434"/>
      <c r="BQ66" s="434"/>
      <c r="BR66" s="434"/>
      <c r="BS66" s="434"/>
      <c r="BT66" s="434"/>
      <c r="BU66" s="434"/>
      <c r="BV66" s="434"/>
      <c r="BW66" s="434"/>
      <c r="BX66" s="434"/>
      <c r="BY66" s="434"/>
      <c r="BZ66" s="434"/>
      <c r="CA66" s="434"/>
      <c r="CB66" s="434"/>
      <c r="CC66" s="434"/>
      <c r="CD66" s="434"/>
      <c r="CE66" s="434"/>
      <c r="CF66" s="434"/>
      <c r="CG66" s="434"/>
      <c r="CH66" s="434"/>
      <c r="CI66" s="434"/>
      <c r="CJ66" s="434"/>
      <c r="CK66" s="434"/>
      <c r="CL66" s="434"/>
      <c r="CM66" s="434"/>
      <c r="CN66" s="434"/>
      <c r="CO66" s="434"/>
      <c r="CP66" s="434"/>
      <c r="CQ66" s="434"/>
      <c r="CR66" s="434"/>
      <c r="CS66" s="434"/>
      <c r="CT66" s="434"/>
      <c r="CU66" s="434"/>
      <c r="CV66" s="434"/>
      <c r="CW66" s="434"/>
      <c r="CX66" s="434"/>
      <c r="CY66" s="434"/>
      <c r="CZ66" s="434"/>
      <c r="DA66" s="434"/>
      <c r="DB66" s="434"/>
      <c r="DC66" s="434"/>
      <c r="DD66" s="434"/>
      <c r="DE66" s="434"/>
      <c r="DF66" s="434"/>
      <c r="DG66" s="434"/>
      <c r="DH66" s="434"/>
      <c r="DI66" s="434"/>
      <c r="DJ66" s="434"/>
      <c r="DK66" s="434"/>
      <c r="DL66" s="434"/>
      <c r="DM66" s="434"/>
      <c r="DN66" s="434"/>
      <c r="DO66" s="434"/>
      <c r="DP66" s="434"/>
      <c r="DQ66" s="434"/>
      <c r="DR66" s="434"/>
      <c r="DS66" s="434"/>
      <c r="DT66" s="434"/>
      <c r="DU66" s="434"/>
      <c r="DV66" s="434"/>
      <c r="DW66" s="434"/>
      <c r="DX66" s="434"/>
      <c r="DY66" s="434"/>
      <c r="DZ66" s="434"/>
      <c r="EA66" s="434"/>
      <c r="EB66" s="434"/>
      <c r="EC66" s="434"/>
      <c r="ED66" s="434"/>
      <c r="EE66" s="434"/>
      <c r="EF66" s="434"/>
      <c r="EG66" s="434"/>
      <c r="EH66" s="434"/>
      <c r="EI66" s="434"/>
      <c r="EJ66" s="434"/>
      <c r="EK66" s="434"/>
      <c r="EL66" s="434"/>
      <c r="EM66" s="434"/>
      <c r="EN66" s="434"/>
      <c r="EO66" s="434"/>
      <c r="EP66" s="434"/>
      <c r="EQ66" s="434"/>
      <c r="ER66" s="434"/>
      <c r="ES66" s="434"/>
      <c r="ET66" s="434"/>
      <c r="EU66" s="434"/>
      <c r="EV66" s="434"/>
      <c r="EW66" s="434"/>
      <c r="EX66" s="434"/>
      <c r="EY66" s="434"/>
      <c r="EZ66" s="434"/>
      <c r="FA66" s="434"/>
      <c r="FB66" s="434"/>
      <c r="FC66" s="434"/>
      <c r="FD66" s="434"/>
      <c r="FE66" s="434"/>
      <c r="FF66" s="434"/>
      <c r="FG66" s="434"/>
      <c r="FH66" s="434"/>
      <c r="FI66" s="434"/>
      <c r="FJ66" s="434"/>
      <c r="FK66" s="434"/>
      <c r="FL66" s="434"/>
      <c r="FM66" s="434"/>
      <c r="FN66" s="434"/>
      <c r="FO66" s="434"/>
      <c r="FP66" s="434"/>
      <c r="FQ66" s="434"/>
      <c r="FR66" s="434"/>
      <c r="FS66" s="434"/>
      <c r="FT66" s="434"/>
      <c r="FU66" s="434"/>
      <c r="FV66" s="434"/>
      <c r="FW66" s="434"/>
      <c r="FX66" s="434"/>
      <c r="FY66" s="434"/>
      <c r="FZ66" s="434"/>
      <c r="GA66" s="434"/>
      <c r="GB66" s="434"/>
      <c r="GC66" s="434"/>
      <c r="GD66" s="434"/>
      <c r="GE66" s="434"/>
      <c r="GF66" s="434"/>
      <c r="GG66" s="434"/>
      <c r="GH66" s="434"/>
      <c r="GI66" s="434"/>
      <c r="GJ66" s="434"/>
      <c r="GK66" s="434"/>
      <c r="GL66" s="434"/>
      <c r="GM66" s="434"/>
      <c r="GN66" s="434"/>
    </row>
    <row r="67" spans="1:196" ht="15" customHeight="1">
      <c r="A67" s="1262"/>
      <c r="B67" s="140">
        <v>66</v>
      </c>
      <c r="C67" s="1262">
        <v>214569</v>
      </c>
      <c r="D67" s="1262">
        <v>47010961</v>
      </c>
      <c r="E67" s="1263" t="s">
        <v>6100</v>
      </c>
      <c r="F67" s="1264">
        <v>46147</v>
      </c>
      <c r="G67" s="1265">
        <v>49</v>
      </c>
      <c r="H67" s="1266">
        <v>28176</v>
      </c>
      <c r="I67" s="1264">
        <v>46148</v>
      </c>
      <c r="J67" s="1262" t="s">
        <v>5990</v>
      </c>
      <c r="K67" s="1262" t="s">
        <v>6101</v>
      </c>
      <c r="L67" s="1262" t="s">
        <v>237</v>
      </c>
      <c r="M67" s="1265">
        <v>924277261</v>
      </c>
      <c r="N67" s="1262"/>
      <c r="O67" s="1169" t="s">
        <v>5865</v>
      </c>
      <c r="P67" s="43" t="s">
        <v>5866</v>
      </c>
      <c r="Q67" s="1061" t="s">
        <v>5867</v>
      </c>
      <c r="R67" s="43" t="s">
        <v>238</v>
      </c>
      <c r="S67" s="1262" t="s">
        <v>5945</v>
      </c>
      <c r="T67" s="1262" t="s">
        <v>5873</v>
      </c>
      <c r="U67" s="1266">
        <v>46148</v>
      </c>
      <c r="V67" s="1228">
        <v>0.44791666666666702</v>
      </c>
      <c r="W67" s="1226">
        <v>46148</v>
      </c>
      <c r="X67" s="1267" t="s">
        <v>388</v>
      </c>
      <c r="Y67" s="1238" t="s">
        <v>3111</v>
      </c>
      <c r="Z67" s="1204" t="s">
        <v>6102</v>
      </c>
      <c r="AA67" s="1211">
        <v>46149</v>
      </c>
      <c r="AB67" s="1169"/>
      <c r="AC67" s="1169"/>
      <c r="AD67" s="1169"/>
      <c r="AE67" s="1169"/>
      <c r="AF67" s="1169"/>
      <c r="AG67" s="1169"/>
      <c r="AH67" s="1169"/>
      <c r="AI67" s="1169"/>
      <c r="AJ67" s="1169"/>
      <c r="AK67" s="1169"/>
      <c r="AL67" s="1169"/>
      <c r="AM67" s="1169"/>
      <c r="AN67" s="1169"/>
      <c r="AO67" s="1169"/>
      <c r="AP67" s="1169"/>
      <c r="AQ67" s="1169"/>
      <c r="AR67" s="1268"/>
      <c r="AS67" s="1240"/>
      <c r="AT67" s="1240"/>
      <c r="AU67" s="1240"/>
      <c r="AV67" s="1240"/>
      <c r="AW67" s="1240"/>
      <c r="AX67" s="1240"/>
      <c r="AY67" s="1240"/>
      <c r="AZ67" s="1240"/>
      <c r="BA67" s="1240"/>
      <c r="BB67" s="1240"/>
      <c r="BC67" s="1240"/>
      <c r="BD67" s="1240"/>
      <c r="BE67" s="1240"/>
      <c r="BF67" s="1240"/>
      <c r="BG67" s="1240"/>
      <c r="BH67" s="1240"/>
      <c r="BI67" s="1240"/>
      <c r="BJ67" s="1240"/>
      <c r="BK67" s="1240"/>
      <c r="BL67" s="1240"/>
      <c r="BM67" s="1240"/>
      <c r="BN67" s="1240"/>
      <c r="BO67" s="1240"/>
      <c r="BP67" s="1240"/>
      <c r="BQ67" s="1240"/>
      <c r="BR67" s="1240"/>
      <c r="BS67" s="1240"/>
      <c r="BT67" s="1240"/>
      <c r="BU67" s="1240"/>
      <c r="BV67" s="1240"/>
      <c r="BW67" s="1240"/>
      <c r="BX67" s="1240"/>
      <c r="BY67" s="1240"/>
      <c r="BZ67" s="1240"/>
      <c r="CA67" s="1240"/>
      <c r="CB67" s="1240"/>
      <c r="CC67" s="1240"/>
      <c r="CD67" s="1240"/>
      <c r="CE67" s="1240"/>
      <c r="CF67" s="1240"/>
      <c r="CG67" s="1240"/>
      <c r="CH67" s="1240"/>
      <c r="CI67" s="1240"/>
      <c r="CJ67" s="1240"/>
      <c r="CK67" s="1240"/>
      <c r="CL67" s="1240"/>
      <c r="CM67" s="1240"/>
      <c r="CN67" s="1240"/>
      <c r="CO67" s="1240"/>
      <c r="CP67" s="1240"/>
      <c r="CQ67" s="1240"/>
      <c r="CR67" s="1240"/>
      <c r="CS67" s="1240"/>
      <c r="CT67" s="1240"/>
      <c r="CU67" s="1240"/>
      <c r="CV67" s="1240"/>
      <c r="CW67" s="1240"/>
      <c r="CX67" s="1240"/>
      <c r="CY67" s="1240"/>
      <c r="CZ67" s="1240"/>
      <c r="DA67" s="1240"/>
      <c r="DB67" s="1240"/>
      <c r="DC67" s="1240"/>
      <c r="DD67" s="1240"/>
      <c r="DE67" s="1240"/>
      <c r="DF67" s="1240"/>
      <c r="DG67" s="1240"/>
      <c r="DH67" s="1240"/>
      <c r="DI67" s="1240"/>
      <c r="DJ67" s="1240"/>
      <c r="DK67" s="1240"/>
      <c r="DL67" s="1240"/>
      <c r="DM67" s="1240"/>
      <c r="DN67" s="1240"/>
      <c r="DO67" s="1240"/>
      <c r="DP67" s="1240"/>
      <c r="DQ67" s="1240"/>
      <c r="DR67" s="1240"/>
      <c r="DS67" s="1240"/>
      <c r="DT67" s="1240"/>
      <c r="DU67" s="1240"/>
      <c r="DV67" s="1240"/>
      <c r="DW67" s="1240"/>
      <c r="DX67" s="1240"/>
      <c r="DY67" s="1240"/>
      <c r="DZ67" s="1240"/>
      <c r="EA67" s="1240"/>
      <c r="EB67" s="1240"/>
      <c r="EC67" s="1240"/>
      <c r="ED67" s="1240"/>
      <c r="EE67" s="1240"/>
      <c r="EF67" s="1240"/>
      <c r="EG67" s="1240"/>
      <c r="EH67" s="1240"/>
      <c r="EI67" s="1240"/>
      <c r="EJ67" s="1240"/>
      <c r="EK67" s="1240"/>
      <c r="EL67" s="1240"/>
      <c r="EM67" s="1240"/>
      <c r="EN67" s="1240"/>
      <c r="EO67" s="1240"/>
      <c r="EP67" s="1240"/>
      <c r="EQ67" s="1240"/>
      <c r="ER67" s="1240"/>
      <c r="ES67" s="1240"/>
      <c r="ET67" s="1240"/>
      <c r="EU67" s="1240"/>
      <c r="EV67" s="1240"/>
      <c r="EW67" s="1240"/>
      <c r="EX67" s="1240"/>
      <c r="EY67" s="1240"/>
      <c r="EZ67" s="1240"/>
      <c r="FA67" s="1240"/>
      <c r="FB67" s="1240"/>
      <c r="FC67" s="1240"/>
      <c r="FD67" s="1240"/>
      <c r="FE67" s="1240"/>
      <c r="FF67" s="1240"/>
      <c r="FG67" s="1240"/>
      <c r="FH67" s="1240"/>
      <c r="FI67" s="1240"/>
      <c r="FJ67" s="1240"/>
      <c r="FK67" s="1240"/>
      <c r="FL67" s="1240"/>
      <c r="FM67" s="1240"/>
      <c r="FN67" s="1240"/>
      <c r="FO67" s="1240"/>
      <c r="FP67" s="1240"/>
      <c r="FQ67" s="1240"/>
      <c r="FR67" s="1240"/>
      <c r="FS67" s="1240"/>
      <c r="FT67" s="1240"/>
      <c r="FU67" s="1240"/>
      <c r="FV67" s="1240"/>
      <c r="FW67" s="1240"/>
      <c r="FX67" s="1240"/>
      <c r="FY67" s="1240"/>
      <c r="FZ67" s="1240"/>
      <c r="GA67" s="1240"/>
      <c r="GB67" s="1240"/>
      <c r="GC67" s="1240"/>
      <c r="GD67" s="1240"/>
      <c r="GE67" s="1240"/>
      <c r="GF67" s="1240"/>
      <c r="GG67" s="1241"/>
      <c r="GH67" s="1241"/>
      <c r="GI67" s="1241"/>
      <c r="GJ67" s="1241"/>
      <c r="GK67" s="1241"/>
      <c r="GL67" s="434"/>
      <c r="GM67" s="434"/>
      <c r="GN67" s="434"/>
    </row>
    <row r="68" spans="1:196" ht="15" customHeight="1">
      <c r="A68" s="1269"/>
      <c r="B68" s="1212">
        <v>67</v>
      </c>
      <c r="C68" s="1270">
        <v>252333</v>
      </c>
      <c r="D68" s="1271">
        <v>15762884</v>
      </c>
      <c r="E68" s="1272" t="s">
        <v>6103</v>
      </c>
      <c r="F68" s="1273">
        <v>46141</v>
      </c>
      <c r="G68" s="1274">
        <v>47</v>
      </c>
      <c r="H68" s="1275">
        <v>28658</v>
      </c>
      <c r="I68" s="1276">
        <v>46148</v>
      </c>
      <c r="J68" s="1277" t="s">
        <v>5990</v>
      </c>
      <c r="K68" s="1271" t="s">
        <v>6104</v>
      </c>
      <c r="L68" s="1271" t="s">
        <v>301</v>
      </c>
      <c r="M68" s="1274">
        <v>943542782</v>
      </c>
      <c r="N68" s="1278"/>
      <c r="O68" s="1279" t="s">
        <v>5865</v>
      </c>
      <c r="P68" s="143" t="s">
        <v>5866</v>
      </c>
      <c r="Q68" s="1280" t="s">
        <v>5867</v>
      </c>
      <c r="R68" s="1281" t="s">
        <v>1905</v>
      </c>
      <c r="S68" s="1269" t="s">
        <v>5953</v>
      </c>
      <c r="T68" s="1269" t="s">
        <v>5873</v>
      </c>
      <c r="U68" s="1282">
        <v>46148</v>
      </c>
      <c r="V68" s="1283">
        <v>0.45833333333333298</v>
      </c>
      <c r="W68" s="1284">
        <v>46148</v>
      </c>
      <c r="X68" s="1285" t="s">
        <v>6105</v>
      </c>
      <c r="Y68" s="1286" t="s">
        <v>3122</v>
      </c>
      <c r="Z68" s="1287" t="s">
        <v>1676</v>
      </c>
      <c r="AA68" s="1288"/>
      <c r="AB68" s="1288"/>
      <c r="AC68" s="1288"/>
      <c r="AD68" s="1288"/>
      <c r="AE68" s="1288"/>
      <c r="AF68" s="1288"/>
      <c r="AG68" s="1288"/>
      <c r="AH68" s="1288"/>
      <c r="AI68" s="1288"/>
      <c r="AJ68" s="1288"/>
      <c r="AK68" s="1288"/>
      <c r="AL68" s="1288"/>
      <c r="AM68" s="1288"/>
      <c r="AN68" s="1288"/>
      <c r="AO68" s="1288"/>
      <c r="AP68" s="1288"/>
      <c r="AQ68" s="1288"/>
      <c r="AR68" s="1288"/>
      <c r="AS68" s="1288"/>
      <c r="AT68" s="1288"/>
      <c r="AU68" s="1288"/>
      <c r="AV68" s="1288"/>
      <c r="AW68" s="1288"/>
      <c r="AX68" s="1288"/>
      <c r="AY68" s="1288"/>
      <c r="AZ68" s="1288"/>
      <c r="BA68" s="1288"/>
      <c r="BB68" s="1288"/>
      <c r="BC68" s="1288"/>
      <c r="BD68" s="1288"/>
      <c r="BE68" s="1288"/>
      <c r="BF68" s="1288"/>
      <c r="BG68" s="1288"/>
      <c r="BH68" s="1288"/>
      <c r="BI68" s="1288"/>
      <c r="BJ68" s="1288"/>
      <c r="BK68" s="1288"/>
      <c r="BL68" s="1288"/>
      <c r="BM68" s="1288"/>
      <c r="BN68" s="1288"/>
      <c r="BO68" s="1288"/>
      <c r="BP68" s="1288"/>
      <c r="BQ68" s="1288"/>
      <c r="BR68" s="1288"/>
      <c r="BS68" s="1288"/>
      <c r="BT68" s="1288"/>
      <c r="BU68" s="1288"/>
      <c r="BV68" s="1288"/>
      <c r="BW68" s="1288"/>
      <c r="BX68" s="1288"/>
      <c r="BY68" s="1288"/>
      <c r="BZ68" s="1288"/>
      <c r="CA68" s="1288"/>
      <c r="CB68" s="1288"/>
      <c r="CC68" s="1288"/>
      <c r="CD68" s="1288"/>
      <c r="CE68" s="1288"/>
      <c r="CF68" s="1288"/>
      <c r="CG68" s="1288"/>
      <c r="CH68" s="1288"/>
      <c r="CI68" s="1288"/>
      <c r="CJ68" s="1288"/>
      <c r="CK68" s="1288"/>
      <c r="CL68" s="1288"/>
      <c r="CM68" s="1288"/>
      <c r="CN68" s="1288"/>
      <c r="CO68" s="1288"/>
      <c r="CP68" s="1288"/>
      <c r="CQ68" s="1288"/>
      <c r="CR68" s="1288"/>
      <c r="CS68" s="1288"/>
      <c r="CT68" s="1288"/>
      <c r="CU68" s="1288"/>
      <c r="CV68" s="1288"/>
      <c r="CW68" s="1288"/>
      <c r="CX68" s="1288"/>
      <c r="CY68" s="1288"/>
      <c r="CZ68" s="1288"/>
      <c r="DA68" s="1288"/>
      <c r="DB68" s="1288"/>
      <c r="DC68" s="1288"/>
      <c r="DD68" s="1288"/>
      <c r="DE68" s="1288"/>
      <c r="DF68" s="1288"/>
      <c r="DG68" s="1288"/>
      <c r="DH68" s="1288"/>
      <c r="DI68" s="1288"/>
      <c r="DJ68" s="1288"/>
      <c r="DK68" s="1288"/>
      <c r="DL68" s="1288"/>
      <c r="DM68" s="1288"/>
      <c r="DN68" s="1288"/>
      <c r="DO68" s="1288"/>
      <c r="DP68" s="1288"/>
      <c r="DQ68" s="1288"/>
      <c r="DR68" s="1288"/>
      <c r="DS68" s="1288"/>
      <c r="DT68" s="1288"/>
      <c r="DU68" s="1288"/>
      <c r="DV68" s="1288"/>
      <c r="DW68" s="1288"/>
      <c r="DX68" s="1288"/>
      <c r="DY68" s="1288"/>
      <c r="DZ68" s="1288"/>
      <c r="EA68" s="1288"/>
      <c r="EB68" s="1288"/>
      <c r="EC68" s="1288"/>
      <c r="ED68" s="1288"/>
      <c r="EE68" s="1288"/>
      <c r="EF68" s="1288"/>
      <c r="EG68" s="1288"/>
      <c r="EH68" s="1288"/>
      <c r="EI68" s="1288"/>
      <c r="EJ68" s="1288"/>
      <c r="EK68" s="1288"/>
      <c r="EL68" s="1288"/>
      <c r="EM68" s="1288"/>
      <c r="EN68" s="1288"/>
      <c r="EO68" s="1288"/>
      <c r="EP68" s="1288"/>
      <c r="EQ68" s="1288"/>
      <c r="ER68" s="1288"/>
      <c r="ES68" s="1288"/>
      <c r="ET68" s="1288"/>
      <c r="EU68" s="1288"/>
      <c r="EV68" s="1288"/>
      <c r="EW68" s="1288"/>
      <c r="EX68" s="1288"/>
      <c r="EY68" s="1288"/>
      <c r="EZ68" s="1288"/>
      <c r="FA68" s="1288"/>
      <c r="FB68" s="1288"/>
      <c r="FC68" s="1288"/>
      <c r="FD68" s="1288"/>
      <c r="FE68" s="1288"/>
      <c r="FF68" s="1288"/>
      <c r="FG68" s="1288"/>
      <c r="FH68" s="1288"/>
      <c r="FI68" s="1288"/>
      <c r="FJ68" s="1288"/>
      <c r="FK68" s="1288"/>
      <c r="FL68" s="1288"/>
      <c r="FM68" s="1288"/>
      <c r="FN68" s="1288"/>
      <c r="FO68" s="1288"/>
      <c r="FP68" s="1288"/>
      <c r="FQ68" s="1288"/>
      <c r="FR68" s="1288"/>
      <c r="FS68" s="1288"/>
      <c r="FT68" s="1288"/>
      <c r="FU68" s="1288"/>
      <c r="FV68" s="1288"/>
      <c r="FW68" s="1288"/>
      <c r="FX68" s="1288"/>
      <c r="FY68" s="1288"/>
      <c r="FZ68" s="1288"/>
      <c r="GA68" s="1288"/>
      <c r="GB68" s="1288"/>
      <c r="GC68" s="1288"/>
      <c r="GD68" s="1288"/>
      <c r="GE68" s="1288"/>
      <c r="GF68" s="1288"/>
      <c r="GG68" s="1289"/>
      <c r="GH68" s="1289"/>
      <c r="GI68" s="1289"/>
      <c r="GJ68" s="1289"/>
      <c r="GK68" s="1289"/>
      <c r="GL68" s="1219"/>
      <c r="GM68" s="1219"/>
      <c r="GN68" s="1219"/>
    </row>
    <row r="69" spans="1:196" ht="15" customHeight="1">
      <c r="A69" s="262" t="s">
        <v>6106</v>
      </c>
      <c r="B69" s="140">
        <v>68</v>
      </c>
      <c r="C69" s="43">
        <v>68915</v>
      </c>
      <c r="D69" s="1054" t="s">
        <v>6107</v>
      </c>
      <c r="E69" s="1092" t="s">
        <v>6108</v>
      </c>
      <c r="F69" s="1224">
        <v>46147</v>
      </c>
      <c r="G69" s="1225">
        <v>58</v>
      </c>
      <c r="H69" s="44">
        <v>24669</v>
      </c>
      <c r="I69" s="1224">
        <v>46148</v>
      </c>
      <c r="J69" s="43" t="s">
        <v>5877</v>
      </c>
      <c r="K69" s="43" t="s">
        <v>6109</v>
      </c>
      <c r="L69" s="43" t="s">
        <v>278</v>
      </c>
      <c r="M69" s="1225">
        <v>947111224</v>
      </c>
      <c r="N69" s="43"/>
      <c r="O69" s="1169" t="s">
        <v>5865</v>
      </c>
      <c r="P69" s="43" t="s">
        <v>5866</v>
      </c>
      <c r="Q69" s="1061" t="s">
        <v>5867</v>
      </c>
      <c r="R69" s="43" t="s">
        <v>384</v>
      </c>
      <c r="S69" s="43" t="s">
        <v>5868</v>
      </c>
      <c r="T69" s="43" t="s">
        <v>5873</v>
      </c>
      <c r="U69" s="44">
        <v>46148</v>
      </c>
      <c r="V69" s="953">
        <v>0.10416666666666667</v>
      </c>
      <c r="W69" s="1226">
        <v>46148</v>
      </c>
      <c r="X69" s="1209" t="s">
        <v>376</v>
      </c>
      <c r="Y69" s="1169" t="s">
        <v>3111</v>
      </c>
      <c r="Z69" s="1210" t="s">
        <v>4477</v>
      </c>
      <c r="AA69" s="46"/>
      <c r="AB69" s="244"/>
      <c r="AC69" s="1178"/>
      <c r="AD69" s="1178"/>
      <c r="AE69" s="43"/>
      <c r="AF69" s="43"/>
      <c r="AG69" s="43"/>
      <c r="AH69" s="43"/>
      <c r="AI69" s="43"/>
      <c r="AJ69" s="43"/>
      <c r="AK69" s="43"/>
      <c r="AL69" s="43"/>
      <c r="AM69" s="43"/>
      <c r="AN69" s="43"/>
      <c r="AO69" s="43"/>
      <c r="AP69" s="43"/>
      <c r="AQ69" s="43"/>
      <c r="AR69" s="434"/>
      <c r="AS69" s="434"/>
      <c r="AT69" s="434"/>
      <c r="AU69" s="434"/>
      <c r="AV69" s="434"/>
      <c r="AW69" s="434"/>
      <c r="AX69" s="434"/>
      <c r="AY69" s="434"/>
      <c r="AZ69" s="434"/>
      <c r="BA69" s="434"/>
      <c r="BB69" s="434"/>
      <c r="BC69" s="434"/>
      <c r="BD69" s="434"/>
      <c r="BE69" s="434"/>
      <c r="BF69" s="434"/>
      <c r="BG69" s="434"/>
      <c r="BH69" s="434"/>
      <c r="BI69" s="434"/>
      <c r="BJ69" s="434"/>
      <c r="BK69" s="434"/>
      <c r="BL69" s="434"/>
      <c r="BM69" s="434"/>
      <c r="BN69" s="434"/>
      <c r="BO69" s="434"/>
      <c r="BP69" s="434"/>
      <c r="BQ69" s="434"/>
      <c r="BR69" s="434"/>
      <c r="BS69" s="434"/>
      <c r="BT69" s="434"/>
      <c r="BU69" s="434"/>
      <c r="BV69" s="434"/>
      <c r="BW69" s="434"/>
      <c r="BX69" s="434"/>
      <c r="BY69" s="434"/>
      <c r="BZ69" s="434"/>
      <c r="CA69" s="434"/>
      <c r="CB69" s="434"/>
      <c r="CC69" s="434"/>
      <c r="CD69" s="434"/>
      <c r="CE69" s="434"/>
      <c r="CF69" s="434"/>
      <c r="CG69" s="434"/>
      <c r="CH69" s="434"/>
      <c r="CI69" s="434"/>
      <c r="CJ69" s="434"/>
      <c r="CK69" s="434"/>
      <c r="CL69" s="434"/>
      <c r="CM69" s="434"/>
      <c r="CN69" s="434"/>
      <c r="CO69" s="434"/>
      <c r="CP69" s="434"/>
      <c r="CQ69" s="434"/>
      <c r="CR69" s="434"/>
      <c r="CS69" s="434"/>
      <c r="CT69" s="434"/>
      <c r="CU69" s="434"/>
      <c r="CV69" s="434"/>
      <c r="CW69" s="434"/>
      <c r="CX69" s="434"/>
      <c r="CY69" s="434"/>
      <c r="CZ69" s="434"/>
      <c r="DA69" s="434"/>
      <c r="DB69" s="434"/>
      <c r="DC69" s="434"/>
      <c r="DD69" s="434"/>
      <c r="DE69" s="434"/>
      <c r="DF69" s="434"/>
      <c r="DG69" s="434"/>
      <c r="DH69" s="434"/>
      <c r="DI69" s="434"/>
      <c r="DJ69" s="434"/>
      <c r="DK69" s="434"/>
      <c r="DL69" s="434"/>
      <c r="DM69" s="434"/>
      <c r="DN69" s="434"/>
      <c r="DO69" s="434"/>
      <c r="DP69" s="434"/>
      <c r="DQ69" s="434"/>
      <c r="DR69" s="434"/>
      <c r="DS69" s="434"/>
      <c r="DT69" s="434"/>
      <c r="DU69" s="434"/>
      <c r="DV69" s="434"/>
      <c r="DW69" s="434"/>
      <c r="DX69" s="434"/>
      <c r="DY69" s="434"/>
      <c r="DZ69" s="434"/>
      <c r="EA69" s="434"/>
      <c r="EB69" s="434"/>
      <c r="EC69" s="434"/>
      <c r="ED69" s="434"/>
      <c r="EE69" s="434"/>
      <c r="EF69" s="434"/>
      <c r="EG69" s="434"/>
      <c r="EH69" s="434"/>
      <c r="EI69" s="434"/>
      <c r="EJ69" s="434"/>
      <c r="EK69" s="434"/>
      <c r="EL69" s="434"/>
      <c r="EM69" s="434"/>
      <c r="EN69" s="434"/>
      <c r="EO69" s="434"/>
      <c r="EP69" s="434"/>
      <c r="EQ69" s="434"/>
      <c r="ER69" s="434"/>
      <c r="ES69" s="434"/>
      <c r="ET69" s="434"/>
      <c r="EU69" s="434"/>
      <c r="EV69" s="434"/>
      <c r="EW69" s="434"/>
      <c r="EX69" s="434"/>
      <c r="EY69" s="434"/>
      <c r="EZ69" s="434"/>
      <c r="FA69" s="434"/>
      <c r="FB69" s="434"/>
      <c r="FC69" s="434"/>
      <c r="FD69" s="434"/>
      <c r="FE69" s="434"/>
      <c r="FF69" s="434"/>
      <c r="FG69" s="434"/>
      <c r="FH69" s="434"/>
      <c r="FI69" s="434"/>
      <c r="FJ69" s="434"/>
      <c r="FK69" s="434"/>
      <c r="FL69" s="434"/>
      <c r="FM69" s="434"/>
      <c r="FN69" s="434"/>
      <c r="FO69" s="434"/>
      <c r="FP69" s="434"/>
      <c r="FQ69" s="434"/>
      <c r="FR69" s="434"/>
      <c r="FS69" s="434"/>
      <c r="FT69" s="434"/>
      <c r="FU69" s="434"/>
      <c r="FV69" s="434"/>
      <c r="FW69" s="434"/>
      <c r="FX69" s="434"/>
      <c r="FY69" s="434"/>
      <c r="FZ69" s="434"/>
      <c r="GA69" s="434"/>
      <c r="GB69" s="434"/>
      <c r="GC69" s="434"/>
      <c r="GD69" s="434"/>
      <c r="GE69" s="434"/>
      <c r="GF69" s="434"/>
      <c r="GG69" s="434"/>
      <c r="GH69" s="434"/>
      <c r="GI69" s="434"/>
      <c r="GJ69" s="434"/>
      <c r="GK69" s="434"/>
      <c r="GL69" s="434"/>
      <c r="GM69" s="434"/>
      <c r="GN69" s="434"/>
    </row>
    <row r="70" spans="1:196" ht="15" customHeight="1">
      <c r="A70" s="1229"/>
      <c r="B70" s="140">
        <v>69</v>
      </c>
      <c r="C70" s="1262">
        <v>117971</v>
      </c>
      <c r="D70" s="213">
        <v>15601050</v>
      </c>
      <c r="E70" s="976" t="s">
        <v>6110</v>
      </c>
      <c r="F70" s="1264">
        <v>46141</v>
      </c>
      <c r="G70" s="1290">
        <v>61</v>
      </c>
      <c r="H70" s="1291">
        <v>23646</v>
      </c>
      <c r="I70" s="1292">
        <v>46148</v>
      </c>
      <c r="J70" s="1293" t="s">
        <v>6080</v>
      </c>
      <c r="K70" s="213" t="s">
        <v>5864</v>
      </c>
      <c r="L70" s="213" t="s">
        <v>301</v>
      </c>
      <c r="M70" s="1290">
        <v>977594638</v>
      </c>
      <c r="N70" s="1243"/>
      <c r="O70" s="1169" t="s">
        <v>5865</v>
      </c>
      <c r="P70" s="43" t="s">
        <v>5866</v>
      </c>
      <c r="Q70" s="1061" t="s">
        <v>5867</v>
      </c>
      <c r="R70" s="112" t="s">
        <v>1905</v>
      </c>
      <c r="S70" s="1229" t="s">
        <v>5953</v>
      </c>
      <c r="T70" s="1229" t="s">
        <v>5873</v>
      </c>
      <c r="U70" s="1233">
        <v>46148</v>
      </c>
      <c r="V70" s="1294">
        <v>0.11458333333333333</v>
      </c>
      <c r="W70" s="1226">
        <v>46148</v>
      </c>
      <c r="X70" s="1209" t="s">
        <v>376</v>
      </c>
      <c r="Y70" s="1169" t="s">
        <v>3111</v>
      </c>
      <c r="Z70" s="1210" t="s">
        <v>4477</v>
      </c>
      <c r="AA70" s="1240"/>
      <c r="AB70" s="1240"/>
      <c r="AC70" s="1240"/>
      <c r="AD70" s="1240"/>
      <c r="AE70" s="1240"/>
      <c r="AF70" s="1240"/>
      <c r="AG70" s="1240"/>
      <c r="AH70" s="1240"/>
      <c r="AI70" s="1240"/>
      <c r="AJ70" s="1240"/>
      <c r="AK70" s="1240"/>
      <c r="AL70" s="1240"/>
      <c r="AM70" s="1240"/>
      <c r="AN70" s="1240"/>
      <c r="AO70" s="1240"/>
      <c r="AP70" s="1240"/>
      <c r="AQ70" s="1240"/>
      <c r="AR70" s="1240"/>
      <c r="AS70" s="1240"/>
      <c r="AT70" s="1240"/>
      <c r="AU70" s="1240"/>
      <c r="AV70" s="1240"/>
      <c r="AW70" s="1240"/>
      <c r="AX70" s="1240"/>
      <c r="AY70" s="1240"/>
      <c r="AZ70" s="1240"/>
      <c r="BA70" s="1240"/>
      <c r="BB70" s="1240"/>
      <c r="BC70" s="1240"/>
      <c r="BD70" s="1240"/>
      <c r="BE70" s="1240"/>
      <c r="BF70" s="1240"/>
      <c r="BG70" s="1240"/>
      <c r="BH70" s="1240"/>
      <c r="BI70" s="1240"/>
      <c r="BJ70" s="1240"/>
      <c r="BK70" s="1240"/>
      <c r="BL70" s="1240"/>
      <c r="BM70" s="1240"/>
      <c r="BN70" s="1240"/>
      <c r="BO70" s="1240"/>
      <c r="BP70" s="1240"/>
      <c r="BQ70" s="1240"/>
      <c r="BR70" s="1240"/>
      <c r="BS70" s="1240"/>
      <c r="BT70" s="1240"/>
      <c r="BU70" s="1240"/>
      <c r="BV70" s="1240"/>
      <c r="BW70" s="1240"/>
      <c r="BX70" s="1240"/>
      <c r="BY70" s="1240"/>
      <c r="BZ70" s="1240"/>
      <c r="CA70" s="1240"/>
      <c r="CB70" s="1240"/>
      <c r="CC70" s="1240"/>
      <c r="CD70" s="1240"/>
      <c r="CE70" s="1240"/>
      <c r="CF70" s="1240"/>
      <c r="CG70" s="1240"/>
      <c r="CH70" s="1240"/>
      <c r="CI70" s="1240"/>
      <c r="CJ70" s="1240"/>
      <c r="CK70" s="1240"/>
      <c r="CL70" s="1240"/>
      <c r="CM70" s="1240"/>
      <c r="CN70" s="1240"/>
      <c r="CO70" s="1240"/>
      <c r="CP70" s="1240"/>
      <c r="CQ70" s="1240"/>
      <c r="CR70" s="1240"/>
      <c r="CS70" s="1240"/>
      <c r="CT70" s="1240"/>
      <c r="CU70" s="1240"/>
      <c r="CV70" s="1240"/>
      <c r="CW70" s="1240"/>
      <c r="CX70" s="1240"/>
      <c r="CY70" s="1240"/>
      <c r="CZ70" s="1240"/>
      <c r="DA70" s="1240"/>
      <c r="DB70" s="1240"/>
      <c r="DC70" s="1240"/>
      <c r="DD70" s="1240"/>
      <c r="DE70" s="1240"/>
      <c r="DF70" s="1240"/>
      <c r="DG70" s="1240"/>
      <c r="DH70" s="1240"/>
      <c r="DI70" s="1240"/>
      <c r="DJ70" s="1240"/>
      <c r="DK70" s="1240"/>
      <c r="DL70" s="1240"/>
      <c r="DM70" s="1240"/>
      <c r="DN70" s="1240"/>
      <c r="DO70" s="1240"/>
      <c r="DP70" s="1240"/>
      <c r="DQ70" s="1240"/>
      <c r="DR70" s="1240"/>
      <c r="DS70" s="1240"/>
      <c r="DT70" s="1240"/>
      <c r="DU70" s="1240"/>
      <c r="DV70" s="1240"/>
      <c r="DW70" s="1240"/>
      <c r="DX70" s="1240"/>
      <c r="DY70" s="1240"/>
      <c r="DZ70" s="1240"/>
      <c r="EA70" s="1240"/>
      <c r="EB70" s="1240"/>
      <c r="EC70" s="1240"/>
      <c r="ED70" s="1240"/>
      <c r="EE70" s="1240"/>
      <c r="EF70" s="1240"/>
      <c r="EG70" s="1240"/>
      <c r="EH70" s="1240"/>
      <c r="EI70" s="1240"/>
      <c r="EJ70" s="1240"/>
      <c r="EK70" s="1240"/>
      <c r="EL70" s="1240"/>
      <c r="EM70" s="1240"/>
      <c r="EN70" s="1240"/>
      <c r="EO70" s="1240"/>
      <c r="EP70" s="1240"/>
      <c r="EQ70" s="1240"/>
      <c r="ER70" s="1240"/>
      <c r="ES70" s="1240"/>
      <c r="ET70" s="1240"/>
      <c r="EU70" s="1240"/>
      <c r="EV70" s="1240"/>
      <c r="EW70" s="1240"/>
      <c r="EX70" s="1240"/>
      <c r="EY70" s="1240"/>
      <c r="EZ70" s="1240"/>
      <c r="FA70" s="1240"/>
      <c r="FB70" s="1240"/>
      <c r="FC70" s="1240"/>
      <c r="FD70" s="1240"/>
      <c r="FE70" s="1240"/>
      <c r="FF70" s="1240"/>
      <c r="FG70" s="1240"/>
      <c r="FH70" s="1240"/>
      <c r="FI70" s="1240"/>
      <c r="FJ70" s="1240"/>
      <c r="FK70" s="1240"/>
      <c r="FL70" s="1240"/>
      <c r="FM70" s="1240"/>
      <c r="FN70" s="1240"/>
      <c r="FO70" s="1240"/>
      <c r="FP70" s="1240"/>
      <c r="FQ70" s="1240"/>
      <c r="FR70" s="1240"/>
      <c r="FS70" s="1240"/>
      <c r="FT70" s="1240"/>
      <c r="FU70" s="1240"/>
      <c r="FV70" s="1240"/>
      <c r="FW70" s="1240"/>
      <c r="FX70" s="1240"/>
      <c r="FY70" s="1240"/>
      <c r="FZ70" s="1240"/>
      <c r="GA70" s="1240"/>
      <c r="GB70" s="1240"/>
      <c r="GC70" s="1240"/>
      <c r="GD70" s="1240"/>
      <c r="GE70" s="1240"/>
      <c r="GF70" s="1240"/>
      <c r="GG70" s="1241"/>
      <c r="GH70" s="1241"/>
      <c r="GI70" s="1241"/>
      <c r="GJ70" s="1241"/>
      <c r="GK70" s="1241"/>
      <c r="GL70" s="434"/>
      <c r="GM70" s="434"/>
      <c r="GN70" s="434"/>
    </row>
    <row r="71" spans="1:196" ht="15" customHeight="1">
      <c r="A71" s="1229"/>
      <c r="B71" s="140">
        <v>70</v>
      </c>
      <c r="C71" s="1229">
        <v>435285</v>
      </c>
      <c r="D71" s="1229">
        <v>74056042</v>
      </c>
      <c r="E71" s="1295" t="s">
        <v>6111</v>
      </c>
      <c r="F71" s="1231">
        <v>46147</v>
      </c>
      <c r="G71" s="1232">
        <v>32</v>
      </c>
      <c r="H71" s="1233">
        <v>34551</v>
      </c>
      <c r="I71" s="1231">
        <v>46148</v>
      </c>
      <c r="J71" s="1229" t="s">
        <v>5990</v>
      </c>
      <c r="K71" s="1229" t="s">
        <v>6112</v>
      </c>
      <c r="L71" s="1229" t="s">
        <v>326</v>
      </c>
      <c r="M71" s="1232">
        <v>994673484</v>
      </c>
      <c r="N71" s="1229"/>
      <c r="O71" s="1169" t="s">
        <v>5865</v>
      </c>
      <c r="P71" s="43" t="s">
        <v>5866</v>
      </c>
      <c r="Q71" s="1061" t="s">
        <v>5867</v>
      </c>
      <c r="R71" s="112" t="s">
        <v>617</v>
      </c>
      <c r="S71" s="1229" t="s">
        <v>5953</v>
      </c>
      <c r="T71" s="1229" t="s">
        <v>5873</v>
      </c>
      <c r="U71" s="1233">
        <v>46148</v>
      </c>
      <c r="V71" s="1294">
        <v>0.125</v>
      </c>
      <c r="W71" s="1226">
        <v>46148</v>
      </c>
      <c r="X71" s="1229"/>
      <c r="Y71" s="1240"/>
      <c r="Z71" s="1239"/>
      <c r="AA71" s="1240"/>
      <c r="AB71" s="1240"/>
      <c r="AC71" s="1240"/>
      <c r="AD71" s="1240"/>
      <c r="AE71" s="1240"/>
      <c r="AF71" s="1240"/>
      <c r="AG71" s="1240"/>
      <c r="AH71" s="1240"/>
      <c r="AI71" s="1240"/>
      <c r="AJ71" s="1240"/>
      <c r="AK71" s="1240"/>
      <c r="AL71" s="1240"/>
      <c r="AM71" s="1240"/>
      <c r="AN71" s="1240"/>
      <c r="AO71" s="1240"/>
      <c r="AP71" s="1240"/>
      <c r="AQ71" s="1240"/>
      <c r="AR71" s="1240"/>
      <c r="AS71" s="1240"/>
      <c r="AT71" s="1240"/>
      <c r="AU71" s="1240"/>
      <c r="AV71" s="1240"/>
      <c r="AW71" s="1240"/>
      <c r="AX71" s="1240"/>
      <c r="AY71" s="1240"/>
      <c r="AZ71" s="1240"/>
      <c r="BA71" s="1240"/>
      <c r="BB71" s="1240"/>
      <c r="BC71" s="1240"/>
      <c r="BD71" s="1240"/>
      <c r="BE71" s="1240"/>
      <c r="BF71" s="1240"/>
      <c r="BG71" s="1240"/>
      <c r="BH71" s="1240"/>
      <c r="BI71" s="1240"/>
      <c r="BJ71" s="1240"/>
      <c r="BK71" s="1240"/>
      <c r="BL71" s="1240"/>
      <c r="BM71" s="1240"/>
      <c r="BN71" s="1240"/>
      <c r="BO71" s="1240"/>
      <c r="BP71" s="1240"/>
      <c r="BQ71" s="1240"/>
      <c r="BR71" s="1240"/>
      <c r="BS71" s="1240"/>
      <c r="BT71" s="1240"/>
      <c r="BU71" s="1240"/>
      <c r="BV71" s="1240"/>
      <c r="BW71" s="1240"/>
      <c r="BX71" s="1240"/>
      <c r="BY71" s="1240"/>
      <c r="BZ71" s="1240"/>
      <c r="CA71" s="1240"/>
      <c r="CB71" s="1240"/>
      <c r="CC71" s="1240"/>
      <c r="CD71" s="1240"/>
      <c r="CE71" s="1240"/>
      <c r="CF71" s="1240"/>
      <c r="CG71" s="1240"/>
      <c r="CH71" s="1240"/>
      <c r="CI71" s="1240"/>
      <c r="CJ71" s="1240"/>
      <c r="CK71" s="1240"/>
      <c r="CL71" s="1240"/>
      <c r="CM71" s="1240"/>
      <c r="CN71" s="1240"/>
      <c r="CO71" s="1240"/>
      <c r="CP71" s="1240"/>
      <c r="CQ71" s="1240"/>
      <c r="CR71" s="1240"/>
      <c r="CS71" s="1240"/>
      <c r="CT71" s="1240"/>
      <c r="CU71" s="1240"/>
      <c r="CV71" s="1240"/>
      <c r="CW71" s="1240"/>
      <c r="CX71" s="1240"/>
      <c r="CY71" s="1240"/>
      <c r="CZ71" s="1240"/>
      <c r="DA71" s="1240"/>
      <c r="DB71" s="1240"/>
      <c r="DC71" s="1240"/>
      <c r="DD71" s="1240"/>
      <c r="DE71" s="1240"/>
      <c r="DF71" s="1240"/>
      <c r="DG71" s="1240"/>
      <c r="DH71" s="1240"/>
      <c r="DI71" s="1240"/>
      <c r="DJ71" s="1240"/>
      <c r="DK71" s="1240"/>
      <c r="DL71" s="1240"/>
      <c r="DM71" s="1240"/>
      <c r="DN71" s="1240"/>
      <c r="DO71" s="1240"/>
      <c r="DP71" s="1240"/>
      <c r="DQ71" s="1240"/>
      <c r="DR71" s="1240"/>
      <c r="DS71" s="1240"/>
      <c r="DT71" s="1240"/>
      <c r="DU71" s="1240"/>
      <c r="DV71" s="1240"/>
      <c r="DW71" s="1240"/>
      <c r="DX71" s="1240"/>
      <c r="DY71" s="1240"/>
      <c r="DZ71" s="1240"/>
      <c r="EA71" s="1240"/>
      <c r="EB71" s="1240"/>
      <c r="EC71" s="1240"/>
      <c r="ED71" s="1240"/>
      <c r="EE71" s="1240"/>
      <c r="EF71" s="1240"/>
      <c r="EG71" s="1240"/>
      <c r="EH71" s="1240"/>
      <c r="EI71" s="1240"/>
      <c r="EJ71" s="1240"/>
      <c r="EK71" s="1240"/>
      <c r="EL71" s="1240"/>
      <c r="EM71" s="1240"/>
      <c r="EN71" s="1240"/>
      <c r="EO71" s="1240"/>
      <c r="EP71" s="1240"/>
      <c r="EQ71" s="1240"/>
      <c r="ER71" s="1240"/>
      <c r="ES71" s="1240"/>
      <c r="ET71" s="1240"/>
      <c r="EU71" s="1240"/>
      <c r="EV71" s="1240"/>
      <c r="EW71" s="1240"/>
      <c r="EX71" s="1240"/>
      <c r="EY71" s="1240"/>
      <c r="EZ71" s="1240"/>
      <c r="FA71" s="1240"/>
      <c r="FB71" s="1240"/>
      <c r="FC71" s="1240"/>
      <c r="FD71" s="1240"/>
      <c r="FE71" s="1240"/>
      <c r="FF71" s="1240"/>
      <c r="FG71" s="1240"/>
      <c r="FH71" s="1240"/>
      <c r="FI71" s="1240"/>
      <c r="FJ71" s="1240"/>
      <c r="FK71" s="1240"/>
      <c r="FL71" s="1240"/>
      <c r="FM71" s="1240"/>
      <c r="FN71" s="1240"/>
      <c r="FO71" s="1240"/>
      <c r="FP71" s="1240"/>
      <c r="FQ71" s="1240"/>
      <c r="FR71" s="1240"/>
      <c r="FS71" s="1240"/>
      <c r="FT71" s="1240"/>
      <c r="FU71" s="1240"/>
      <c r="FV71" s="1240"/>
      <c r="FW71" s="1240"/>
      <c r="FX71" s="1240"/>
      <c r="FY71" s="1240"/>
      <c r="FZ71" s="1240"/>
      <c r="GA71" s="1240"/>
      <c r="GB71" s="1240"/>
      <c r="GC71" s="1240"/>
      <c r="GD71" s="1240"/>
      <c r="GE71" s="1240"/>
      <c r="GF71" s="1240"/>
      <c r="GG71" s="1241"/>
      <c r="GH71" s="1241"/>
      <c r="GI71" s="1241"/>
      <c r="GJ71" s="1241"/>
      <c r="GK71" s="1241"/>
      <c r="GL71" s="434"/>
      <c r="GM71" s="434"/>
      <c r="GN71" s="434"/>
    </row>
    <row r="72" spans="1:196" ht="15" customHeight="1">
      <c r="A72" s="1229"/>
      <c r="B72" s="140">
        <v>71</v>
      </c>
      <c r="C72" s="1262">
        <v>238034</v>
      </c>
      <c r="D72" s="213">
        <v>43045326</v>
      </c>
      <c r="E72" s="973" t="s">
        <v>6113</v>
      </c>
      <c r="F72" s="1264">
        <v>46141</v>
      </c>
      <c r="G72" s="1290">
        <v>40</v>
      </c>
      <c r="H72" s="1291">
        <v>31179</v>
      </c>
      <c r="I72" s="1292">
        <v>46148</v>
      </c>
      <c r="J72" s="1293" t="s">
        <v>6045</v>
      </c>
      <c r="K72" s="213" t="s">
        <v>6114</v>
      </c>
      <c r="L72" s="213" t="s">
        <v>301</v>
      </c>
      <c r="M72" s="1290">
        <v>974604282</v>
      </c>
      <c r="N72" s="1243"/>
      <c r="O72" s="1169" t="s">
        <v>5865</v>
      </c>
      <c r="P72" s="43" t="s">
        <v>5866</v>
      </c>
      <c r="Q72" s="1061" t="s">
        <v>5867</v>
      </c>
      <c r="R72" s="112" t="s">
        <v>1905</v>
      </c>
      <c r="S72" s="1229" t="s">
        <v>5953</v>
      </c>
      <c r="T72" s="1229" t="s">
        <v>5873</v>
      </c>
      <c r="U72" s="1233">
        <v>46148</v>
      </c>
      <c r="V72" s="1228">
        <v>0.13541666666666699</v>
      </c>
      <c r="W72" s="1226">
        <v>46148</v>
      </c>
      <c r="X72" s="1209" t="s">
        <v>376</v>
      </c>
      <c r="Y72" s="1169" t="s">
        <v>3111</v>
      </c>
      <c r="Z72" s="1210" t="s">
        <v>4477</v>
      </c>
      <c r="AA72" s="1240"/>
      <c r="AB72" s="1240"/>
      <c r="AC72" s="1240"/>
      <c r="AD72" s="1240"/>
      <c r="AE72" s="1240"/>
      <c r="AF72" s="1240"/>
      <c r="AG72" s="1240"/>
      <c r="AH72" s="1240"/>
      <c r="AI72" s="1240"/>
      <c r="AJ72" s="1240"/>
      <c r="AK72" s="1240"/>
      <c r="AL72" s="1240"/>
      <c r="AM72" s="1240"/>
      <c r="AN72" s="1240"/>
      <c r="AO72" s="1240"/>
      <c r="AP72" s="1240"/>
      <c r="AQ72" s="1240"/>
      <c r="AR72" s="1240"/>
      <c r="AS72" s="1240"/>
      <c r="AT72" s="1240"/>
      <c r="AU72" s="1240"/>
      <c r="AV72" s="1240"/>
      <c r="AW72" s="1240"/>
      <c r="AX72" s="1240"/>
      <c r="AY72" s="1240"/>
      <c r="AZ72" s="1240"/>
      <c r="BA72" s="1240"/>
      <c r="BB72" s="1240"/>
      <c r="BC72" s="1240"/>
      <c r="BD72" s="1240"/>
      <c r="BE72" s="1240"/>
      <c r="BF72" s="1240"/>
      <c r="BG72" s="1240"/>
      <c r="BH72" s="1240"/>
      <c r="BI72" s="1240"/>
      <c r="BJ72" s="1240"/>
      <c r="BK72" s="1240"/>
      <c r="BL72" s="1240"/>
      <c r="BM72" s="1240"/>
      <c r="BN72" s="1240"/>
      <c r="BO72" s="1240"/>
      <c r="BP72" s="1240"/>
      <c r="BQ72" s="1240"/>
      <c r="BR72" s="1240"/>
      <c r="BS72" s="1240"/>
      <c r="BT72" s="1240"/>
      <c r="BU72" s="1240"/>
      <c r="BV72" s="1240"/>
      <c r="BW72" s="1240"/>
      <c r="BX72" s="1240"/>
      <c r="BY72" s="1240"/>
      <c r="BZ72" s="1240"/>
      <c r="CA72" s="1240"/>
      <c r="CB72" s="1240"/>
      <c r="CC72" s="1240"/>
      <c r="CD72" s="1240"/>
      <c r="CE72" s="1240"/>
      <c r="CF72" s="1240"/>
      <c r="CG72" s="1240"/>
      <c r="CH72" s="1240"/>
      <c r="CI72" s="1240"/>
      <c r="CJ72" s="1240"/>
      <c r="CK72" s="1240"/>
      <c r="CL72" s="1240"/>
      <c r="CM72" s="1240"/>
      <c r="CN72" s="1240"/>
      <c r="CO72" s="1240"/>
      <c r="CP72" s="1240"/>
      <c r="CQ72" s="1240"/>
      <c r="CR72" s="1240"/>
      <c r="CS72" s="1240"/>
      <c r="CT72" s="1240"/>
      <c r="CU72" s="1240"/>
      <c r="CV72" s="1240"/>
      <c r="CW72" s="1240"/>
      <c r="CX72" s="1240"/>
      <c r="CY72" s="1240"/>
      <c r="CZ72" s="1240"/>
      <c r="DA72" s="1240"/>
      <c r="DB72" s="1240"/>
      <c r="DC72" s="1240"/>
      <c r="DD72" s="1240"/>
      <c r="DE72" s="1240"/>
      <c r="DF72" s="1240"/>
      <c r="DG72" s="1240"/>
      <c r="DH72" s="1240"/>
      <c r="DI72" s="1240"/>
      <c r="DJ72" s="1240"/>
      <c r="DK72" s="1240"/>
      <c r="DL72" s="1240"/>
      <c r="DM72" s="1240"/>
      <c r="DN72" s="1240"/>
      <c r="DO72" s="1240"/>
      <c r="DP72" s="1240"/>
      <c r="DQ72" s="1240"/>
      <c r="DR72" s="1240"/>
      <c r="DS72" s="1240"/>
      <c r="DT72" s="1240"/>
      <c r="DU72" s="1240"/>
      <c r="DV72" s="1240"/>
      <c r="DW72" s="1240"/>
      <c r="DX72" s="1240"/>
      <c r="DY72" s="1240"/>
      <c r="DZ72" s="1240"/>
      <c r="EA72" s="1240"/>
      <c r="EB72" s="1240"/>
      <c r="EC72" s="1240"/>
      <c r="ED72" s="1240"/>
      <c r="EE72" s="1240"/>
      <c r="EF72" s="1240"/>
      <c r="EG72" s="1240"/>
      <c r="EH72" s="1240"/>
      <c r="EI72" s="1240"/>
      <c r="EJ72" s="1240"/>
      <c r="EK72" s="1240"/>
      <c r="EL72" s="1240"/>
      <c r="EM72" s="1240"/>
      <c r="EN72" s="1240"/>
      <c r="EO72" s="1240"/>
      <c r="EP72" s="1240"/>
      <c r="EQ72" s="1240"/>
      <c r="ER72" s="1240"/>
      <c r="ES72" s="1240"/>
      <c r="ET72" s="1240"/>
      <c r="EU72" s="1240"/>
      <c r="EV72" s="1240"/>
      <c r="EW72" s="1240"/>
      <c r="EX72" s="1240"/>
      <c r="EY72" s="1240"/>
      <c r="EZ72" s="1240"/>
      <c r="FA72" s="1240"/>
      <c r="FB72" s="1240"/>
      <c r="FC72" s="1240"/>
      <c r="FD72" s="1240"/>
      <c r="FE72" s="1240"/>
      <c r="FF72" s="1240"/>
      <c r="FG72" s="1240"/>
      <c r="FH72" s="1240"/>
      <c r="FI72" s="1240"/>
      <c r="FJ72" s="1240"/>
      <c r="FK72" s="1240"/>
      <c r="FL72" s="1240"/>
      <c r="FM72" s="1240"/>
      <c r="FN72" s="1240"/>
      <c r="FO72" s="1240"/>
      <c r="FP72" s="1240"/>
      <c r="FQ72" s="1240"/>
      <c r="FR72" s="1240"/>
      <c r="FS72" s="1240"/>
      <c r="FT72" s="1240"/>
      <c r="FU72" s="1240"/>
      <c r="FV72" s="1240"/>
      <c r="FW72" s="1240"/>
      <c r="FX72" s="1240"/>
      <c r="FY72" s="1240"/>
      <c r="FZ72" s="1240"/>
      <c r="GA72" s="1240"/>
      <c r="GB72" s="1240"/>
      <c r="GC72" s="1240"/>
      <c r="GD72" s="1240"/>
      <c r="GE72" s="1240"/>
      <c r="GF72" s="1240"/>
      <c r="GG72" s="1241"/>
      <c r="GH72" s="1241"/>
      <c r="GI72" s="1241"/>
      <c r="GJ72" s="1241"/>
      <c r="GK72" s="1241"/>
      <c r="GL72" s="434"/>
      <c r="GM72" s="434"/>
      <c r="GN72" s="434"/>
    </row>
    <row r="73" spans="1:196" ht="15" customHeight="1">
      <c r="A73" s="1229"/>
      <c r="B73" s="140">
        <v>72</v>
      </c>
      <c r="C73" s="1229">
        <v>204459</v>
      </c>
      <c r="D73" s="1296">
        <v>15760937</v>
      </c>
      <c r="E73" s="1297" t="s">
        <v>6115</v>
      </c>
      <c r="F73" s="1231">
        <v>46141</v>
      </c>
      <c r="G73" s="1298">
        <v>48</v>
      </c>
      <c r="H73" s="1299">
        <v>28469</v>
      </c>
      <c r="I73" s="1292">
        <v>46148</v>
      </c>
      <c r="J73" s="1293" t="s">
        <v>5986</v>
      </c>
      <c r="K73" s="1296" t="s">
        <v>6114</v>
      </c>
      <c r="L73" s="1296" t="s">
        <v>301</v>
      </c>
      <c r="M73" s="1298">
        <v>966315277</v>
      </c>
      <c r="N73" s="1243"/>
      <c r="O73" s="1169" t="s">
        <v>5865</v>
      </c>
      <c r="P73" s="112" t="s">
        <v>5866</v>
      </c>
      <c r="Q73" s="1061" t="s">
        <v>5867</v>
      </c>
      <c r="R73" s="112" t="s">
        <v>1905</v>
      </c>
      <c r="S73" s="1229" t="s">
        <v>5953</v>
      </c>
      <c r="T73" s="1229" t="s">
        <v>5873</v>
      </c>
      <c r="U73" s="1233">
        <v>46148</v>
      </c>
      <c r="V73" s="1300">
        <v>0.14583333333333301</v>
      </c>
      <c r="W73" s="1226">
        <v>46148</v>
      </c>
      <c r="X73" s="1209" t="s">
        <v>376</v>
      </c>
      <c r="Y73" s="1169" t="s">
        <v>3111</v>
      </c>
      <c r="Z73" s="1210" t="s">
        <v>4477</v>
      </c>
      <c r="AA73" s="1240"/>
      <c r="AB73" s="1240"/>
      <c r="AC73" s="1240"/>
      <c r="AD73" s="1240"/>
      <c r="AE73" s="1240"/>
      <c r="AF73" s="1240"/>
      <c r="AG73" s="1240"/>
      <c r="AH73" s="1240"/>
      <c r="AI73" s="1240"/>
      <c r="AJ73" s="1240"/>
      <c r="AK73" s="1240"/>
      <c r="AL73" s="1240"/>
      <c r="AM73" s="1240"/>
      <c r="AN73" s="1240"/>
      <c r="AO73" s="1240"/>
      <c r="AP73" s="1240"/>
      <c r="AQ73" s="1240"/>
      <c r="AR73" s="1240"/>
      <c r="AS73" s="1240"/>
      <c r="AT73" s="1240"/>
      <c r="AU73" s="1240"/>
      <c r="AV73" s="1240"/>
      <c r="AW73" s="1240"/>
      <c r="AX73" s="1240"/>
      <c r="AY73" s="1240"/>
      <c r="AZ73" s="1240"/>
      <c r="BA73" s="1240"/>
      <c r="BB73" s="1240"/>
      <c r="BC73" s="1240"/>
      <c r="BD73" s="1240"/>
      <c r="BE73" s="1240"/>
      <c r="BF73" s="1240"/>
      <c r="BG73" s="1240"/>
      <c r="BH73" s="1240"/>
      <c r="BI73" s="1240"/>
      <c r="BJ73" s="1240"/>
      <c r="BK73" s="1240"/>
      <c r="BL73" s="1240"/>
      <c r="BM73" s="1240"/>
      <c r="BN73" s="1240"/>
      <c r="BO73" s="1240"/>
      <c r="BP73" s="1240"/>
      <c r="BQ73" s="1240"/>
      <c r="BR73" s="1240"/>
      <c r="BS73" s="1240"/>
      <c r="BT73" s="1240"/>
      <c r="BU73" s="1240"/>
      <c r="BV73" s="1240"/>
      <c r="BW73" s="1240"/>
      <c r="BX73" s="1240"/>
      <c r="BY73" s="1240"/>
      <c r="BZ73" s="1240"/>
      <c r="CA73" s="1240"/>
      <c r="CB73" s="1240"/>
      <c r="CC73" s="1240"/>
      <c r="CD73" s="1240"/>
      <c r="CE73" s="1240"/>
      <c r="CF73" s="1240"/>
      <c r="CG73" s="1240"/>
      <c r="CH73" s="1240"/>
      <c r="CI73" s="1240"/>
      <c r="CJ73" s="1240"/>
      <c r="CK73" s="1240"/>
      <c r="CL73" s="1240"/>
      <c r="CM73" s="1240"/>
      <c r="CN73" s="1240"/>
      <c r="CO73" s="1240"/>
      <c r="CP73" s="1240"/>
      <c r="CQ73" s="1240"/>
      <c r="CR73" s="1240"/>
      <c r="CS73" s="1240"/>
      <c r="CT73" s="1240"/>
      <c r="CU73" s="1240"/>
      <c r="CV73" s="1240"/>
      <c r="CW73" s="1240"/>
      <c r="CX73" s="1240"/>
      <c r="CY73" s="1240"/>
      <c r="CZ73" s="1240"/>
      <c r="DA73" s="1240"/>
      <c r="DB73" s="1240"/>
      <c r="DC73" s="1240"/>
      <c r="DD73" s="1240"/>
      <c r="DE73" s="1240"/>
      <c r="DF73" s="1240"/>
      <c r="DG73" s="1240"/>
      <c r="DH73" s="1240"/>
      <c r="DI73" s="1240"/>
      <c r="DJ73" s="1240"/>
      <c r="DK73" s="1240"/>
      <c r="DL73" s="1240"/>
      <c r="DM73" s="1240"/>
      <c r="DN73" s="1240"/>
      <c r="DO73" s="1240"/>
      <c r="DP73" s="1240"/>
      <c r="DQ73" s="1240"/>
      <c r="DR73" s="1240"/>
      <c r="DS73" s="1240"/>
      <c r="DT73" s="1240"/>
      <c r="DU73" s="1240"/>
      <c r="DV73" s="1240"/>
      <c r="DW73" s="1240"/>
      <c r="DX73" s="1240"/>
      <c r="DY73" s="1240"/>
      <c r="DZ73" s="1240"/>
      <c r="EA73" s="1240"/>
      <c r="EB73" s="1240"/>
      <c r="EC73" s="1240"/>
      <c r="ED73" s="1240"/>
      <c r="EE73" s="1240"/>
      <c r="EF73" s="1240"/>
      <c r="EG73" s="1240"/>
      <c r="EH73" s="1240"/>
      <c r="EI73" s="1240"/>
      <c r="EJ73" s="1240"/>
      <c r="EK73" s="1240"/>
      <c r="EL73" s="1240"/>
      <c r="EM73" s="1240"/>
      <c r="EN73" s="1240"/>
      <c r="EO73" s="1240"/>
      <c r="EP73" s="1240"/>
      <c r="EQ73" s="1240"/>
      <c r="ER73" s="1240"/>
      <c r="ES73" s="1240"/>
      <c r="ET73" s="1240"/>
      <c r="EU73" s="1240"/>
      <c r="EV73" s="1240"/>
      <c r="EW73" s="1240"/>
      <c r="EX73" s="1240"/>
      <c r="EY73" s="1240"/>
      <c r="EZ73" s="1240"/>
      <c r="FA73" s="1240"/>
      <c r="FB73" s="1240"/>
      <c r="FC73" s="1240"/>
      <c r="FD73" s="1240"/>
      <c r="FE73" s="1240"/>
      <c r="FF73" s="1240"/>
      <c r="FG73" s="1240"/>
      <c r="FH73" s="1240"/>
      <c r="FI73" s="1240"/>
      <c r="FJ73" s="1240"/>
      <c r="FK73" s="1240"/>
      <c r="FL73" s="1240"/>
      <c r="FM73" s="1240"/>
      <c r="FN73" s="1240"/>
      <c r="FO73" s="1240"/>
      <c r="FP73" s="1240"/>
      <c r="FQ73" s="1240"/>
      <c r="FR73" s="1240"/>
      <c r="FS73" s="1240"/>
      <c r="FT73" s="1240"/>
      <c r="FU73" s="1240"/>
      <c r="FV73" s="1240"/>
      <c r="FW73" s="1240"/>
      <c r="FX73" s="1240"/>
      <c r="FY73" s="1240"/>
      <c r="FZ73" s="1240"/>
      <c r="GA73" s="1240"/>
      <c r="GB73" s="1240"/>
      <c r="GC73" s="1240"/>
      <c r="GD73" s="1240"/>
      <c r="GE73" s="1240"/>
      <c r="GF73" s="1240"/>
      <c r="GG73" s="1241"/>
      <c r="GH73" s="1241"/>
      <c r="GI73" s="1241"/>
      <c r="GJ73" s="1241"/>
      <c r="GK73" s="1241"/>
      <c r="GL73" s="434"/>
      <c r="GM73" s="434"/>
      <c r="GN73" s="434"/>
    </row>
    <row r="74" spans="1:196" ht="15" customHeight="1">
      <c r="A74" s="206"/>
      <c r="B74" s="140">
        <v>73</v>
      </c>
      <c r="C74" s="43">
        <v>298742</v>
      </c>
      <c r="D74" s="1054" t="s">
        <v>6116</v>
      </c>
      <c r="E74" s="648" t="s">
        <v>6117</v>
      </c>
      <c r="F74" s="1224">
        <v>29621</v>
      </c>
      <c r="G74" s="1225">
        <v>45</v>
      </c>
      <c r="H74" s="44">
        <v>29621</v>
      </c>
      <c r="I74" s="1224">
        <v>46148</v>
      </c>
      <c r="J74" s="43" t="s">
        <v>5877</v>
      </c>
      <c r="K74" s="43" t="s">
        <v>6118</v>
      </c>
      <c r="L74" s="43" t="s">
        <v>288</v>
      </c>
      <c r="M74" s="1225">
        <v>952335034</v>
      </c>
      <c r="N74" s="43"/>
      <c r="O74" s="1169" t="s">
        <v>5865</v>
      </c>
      <c r="P74" s="43" t="s">
        <v>5866</v>
      </c>
      <c r="Q74" s="1061" t="s">
        <v>5867</v>
      </c>
      <c r="R74" s="43" t="s">
        <v>238</v>
      </c>
      <c r="S74" s="43" t="s">
        <v>5868</v>
      </c>
      <c r="T74" s="43" t="s">
        <v>5869</v>
      </c>
      <c r="U74" s="44">
        <v>46148</v>
      </c>
      <c r="V74" s="1300">
        <v>0.15625</v>
      </c>
      <c r="W74" s="1226">
        <v>46148</v>
      </c>
      <c r="X74" t="s">
        <v>1064</v>
      </c>
      <c r="Y74" s="1169" t="s">
        <v>3111</v>
      </c>
      <c r="Z74" s="1203" t="s">
        <v>1676</v>
      </c>
      <c r="AA74" s="1211">
        <v>46149</v>
      </c>
      <c r="AB74" s="244"/>
      <c r="AC74" s="1178"/>
      <c r="AD74" s="1178"/>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c r="DU74" s="43"/>
      <c r="DV74" s="43"/>
      <c r="DW74" s="43"/>
      <c r="DX74" s="43"/>
      <c r="DY74" s="43"/>
      <c r="DZ74" s="43"/>
      <c r="EA74" s="43"/>
      <c r="EB74" s="43"/>
      <c r="EC74" s="43"/>
      <c r="ED74" s="43"/>
      <c r="EE74" s="43"/>
      <c r="EF74" s="43"/>
      <c r="EG74" s="43"/>
      <c r="EH74" s="43"/>
      <c r="EI74" s="43"/>
      <c r="EJ74" s="43"/>
      <c r="EK74" s="43"/>
      <c r="EL74" s="43"/>
      <c r="EM74" s="43"/>
      <c r="EN74" s="43"/>
      <c r="EO74" s="43"/>
      <c r="EP74" s="43"/>
      <c r="EQ74" s="43"/>
      <c r="ER74" s="43"/>
      <c r="ES74" s="43"/>
      <c r="ET74" s="43"/>
      <c r="EU74" s="43"/>
      <c r="EV74" s="43"/>
      <c r="EW74" s="43"/>
      <c r="EX74" s="43"/>
      <c r="EY74" s="43"/>
      <c r="EZ74" s="43"/>
      <c r="FA74" s="43"/>
      <c r="FB74" s="43"/>
      <c r="FC74" s="43"/>
      <c r="FD74" s="43"/>
      <c r="FE74" s="43"/>
      <c r="FF74" s="43"/>
      <c r="FG74" s="43"/>
      <c r="FH74" s="43"/>
      <c r="FI74" s="43"/>
      <c r="FJ74" s="43"/>
      <c r="FK74" s="43"/>
      <c r="FL74" s="43"/>
      <c r="FM74" s="43"/>
      <c r="FN74" s="43"/>
      <c r="FO74" s="43"/>
      <c r="FP74" s="43"/>
      <c r="FQ74" s="43"/>
      <c r="FR74" s="43"/>
      <c r="FS74" s="43"/>
      <c r="FT74" s="43"/>
      <c r="FU74" s="43"/>
      <c r="FV74" s="43"/>
      <c r="FW74" s="43"/>
      <c r="FX74" s="43"/>
      <c r="FY74" s="43"/>
      <c r="FZ74" s="43"/>
      <c r="GA74" s="43"/>
      <c r="GB74" s="43"/>
      <c r="GC74" s="43"/>
      <c r="GD74" s="43"/>
      <c r="GE74" s="43"/>
      <c r="GF74" s="43"/>
      <c r="GG74" s="43"/>
      <c r="GH74" s="43"/>
      <c r="GI74" s="43"/>
      <c r="GJ74" s="43"/>
      <c r="GK74" s="43"/>
      <c r="GL74" s="43"/>
      <c r="GM74" s="43"/>
      <c r="GN74" s="43"/>
    </row>
    <row r="75" spans="1:196" ht="15" customHeight="1">
      <c r="A75" s="1301"/>
      <c r="B75" s="140">
        <v>74</v>
      </c>
      <c r="C75" s="1301">
        <v>214361</v>
      </c>
      <c r="D75" s="1301">
        <v>15728885</v>
      </c>
      <c r="E75" s="1302" t="s">
        <v>6119</v>
      </c>
      <c r="F75" s="1303">
        <v>46147</v>
      </c>
      <c r="G75" s="1304">
        <v>53</v>
      </c>
      <c r="H75" s="1305">
        <v>26772</v>
      </c>
      <c r="I75" s="1303">
        <v>46148</v>
      </c>
      <c r="J75" s="1301" t="s">
        <v>5990</v>
      </c>
      <c r="K75" s="1301" t="s">
        <v>6120</v>
      </c>
      <c r="L75" s="1301" t="s">
        <v>278</v>
      </c>
      <c r="M75" s="1304">
        <v>932127209</v>
      </c>
      <c r="N75" s="1301"/>
      <c r="O75" s="1169" t="s">
        <v>5865</v>
      </c>
      <c r="P75" s="1087" t="s">
        <v>5866</v>
      </c>
      <c r="Q75" s="1061" t="s">
        <v>5867</v>
      </c>
      <c r="R75" s="1087" t="s">
        <v>238</v>
      </c>
      <c r="S75" s="1301" t="s">
        <v>5945</v>
      </c>
      <c r="T75" s="1301" t="s">
        <v>5873</v>
      </c>
      <c r="U75" s="1305">
        <v>46148</v>
      </c>
      <c r="V75" s="1228">
        <v>0.16666666666666699</v>
      </c>
      <c r="W75" s="1226">
        <v>46148</v>
      </c>
      <c r="X75" s="1209" t="s">
        <v>376</v>
      </c>
      <c r="Y75" s="1169" t="s">
        <v>3111</v>
      </c>
      <c r="Z75" s="1210" t="s">
        <v>4477</v>
      </c>
      <c r="AA75" s="1211">
        <v>46149</v>
      </c>
      <c r="AB75" s="1306"/>
      <c r="AC75" s="1306"/>
      <c r="AD75" s="1306"/>
      <c r="AE75" s="1306"/>
      <c r="AF75" s="1306"/>
      <c r="AG75" s="1306"/>
      <c r="AH75" s="1306"/>
      <c r="AI75" s="1306"/>
      <c r="AJ75" s="1306"/>
      <c r="AK75" s="1306"/>
      <c r="AL75" s="1306"/>
      <c r="AM75" s="1306"/>
      <c r="AN75" s="1306"/>
      <c r="AO75" s="1306"/>
      <c r="AP75" s="1306"/>
      <c r="AQ75" s="1306"/>
      <c r="AR75" s="1306"/>
      <c r="AS75" s="1306"/>
      <c r="AT75" s="1306"/>
      <c r="AU75" s="1306"/>
      <c r="AV75" s="1306"/>
      <c r="AW75" s="1306"/>
      <c r="AX75" s="1306"/>
      <c r="AY75" s="1306"/>
      <c r="AZ75" s="1306"/>
      <c r="BA75" s="1306"/>
      <c r="BB75" s="1306"/>
      <c r="BC75" s="1306"/>
      <c r="BD75" s="1306"/>
      <c r="BE75" s="1306"/>
      <c r="BF75" s="1306"/>
      <c r="BG75" s="1306"/>
      <c r="BH75" s="1306"/>
      <c r="BI75" s="1306"/>
      <c r="BJ75" s="1306"/>
      <c r="BK75" s="1306"/>
      <c r="BL75" s="1306"/>
      <c r="BM75" s="1306"/>
      <c r="BN75" s="1306"/>
      <c r="BO75" s="1306"/>
      <c r="BP75" s="1306"/>
      <c r="BQ75" s="1306"/>
      <c r="BR75" s="1306"/>
      <c r="BS75" s="1306"/>
      <c r="BT75" s="1306"/>
      <c r="BU75" s="1306"/>
      <c r="BV75" s="1306"/>
      <c r="BW75" s="1306"/>
      <c r="BX75" s="1306"/>
      <c r="BY75" s="1306"/>
      <c r="BZ75" s="1306"/>
      <c r="CA75" s="1306"/>
      <c r="CB75" s="1306"/>
      <c r="CC75" s="1306"/>
      <c r="CD75" s="1306"/>
      <c r="CE75" s="1306"/>
      <c r="CF75" s="1306"/>
      <c r="CG75" s="1306"/>
      <c r="CH75" s="1306"/>
      <c r="CI75" s="1306"/>
      <c r="CJ75" s="1306"/>
      <c r="CK75" s="1306"/>
      <c r="CL75" s="1306"/>
      <c r="CM75" s="1306"/>
      <c r="CN75" s="1306"/>
      <c r="CO75" s="1306"/>
      <c r="CP75" s="1306"/>
      <c r="CQ75" s="1306"/>
      <c r="CR75" s="1306"/>
      <c r="CS75" s="1306"/>
      <c r="CT75" s="1306"/>
      <c r="CU75" s="1306"/>
      <c r="CV75" s="1306"/>
      <c r="CW75" s="1306"/>
      <c r="CX75" s="1306"/>
      <c r="CY75" s="1306"/>
      <c r="CZ75" s="1306"/>
      <c r="DA75" s="1306"/>
      <c r="DB75" s="1306"/>
      <c r="DC75" s="1306"/>
      <c r="DD75" s="1306"/>
      <c r="DE75" s="1306"/>
      <c r="DF75" s="1306"/>
      <c r="DG75" s="1306"/>
      <c r="DH75" s="1306"/>
      <c r="DI75" s="1306"/>
      <c r="DJ75" s="1306"/>
      <c r="DK75" s="1306"/>
      <c r="DL75" s="1306"/>
      <c r="DM75" s="1306"/>
      <c r="DN75" s="1306"/>
      <c r="DO75" s="1306"/>
      <c r="DP75" s="1306"/>
      <c r="DQ75" s="1306"/>
      <c r="DR75" s="1306"/>
      <c r="DS75" s="1306"/>
      <c r="DT75" s="1306"/>
      <c r="DU75" s="1306"/>
      <c r="DV75" s="1306"/>
      <c r="DW75" s="1306"/>
      <c r="DX75" s="1306"/>
      <c r="DY75" s="1306"/>
      <c r="DZ75" s="1306"/>
      <c r="EA75" s="1306"/>
      <c r="EB75" s="1306"/>
      <c r="EC75" s="1306"/>
      <c r="ED75" s="1306"/>
      <c r="EE75" s="1306"/>
      <c r="EF75" s="1306"/>
      <c r="EG75" s="1306"/>
      <c r="EH75" s="1306"/>
      <c r="EI75" s="1306"/>
      <c r="EJ75" s="1306"/>
      <c r="EK75" s="1306"/>
      <c r="EL75" s="1306"/>
      <c r="EM75" s="1306"/>
      <c r="EN75" s="1306"/>
      <c r="EO75" s="1306"/>
      <c r="EP75" s="1306"/>
      <c r="EQ75" s="1306"/>
      <c r="ER75" s="1306"/>
      <c r="ES75" s="1306"/>
      <c r="ET75" s="1306"/>
      <c r="EU75" s="1306"/>
      <c r="EV75" s="1306"/>
      <c r="EW75" s="1306"/>
      <c r="EX75" s="1306"/>
      <c r="EY75" s="1306"/>
      <c r="EZ75" s="1306"/>
      <c r="FA75" s="1306"/>
      <c r="FB75" s="1306"/>
      <c r="FC75" s="1306"/>
      <c r="FD75" s="1306"/>
      <c r="FE75" s="1306"/>
      <c r="FF75" s="1306"/>
      <c r="FG75" s="1306"/>
      <c r="FH75" s="1306"/>
      <c r="FI75" s="1306"/>
      <c r="FJ75" s="1306"/>
      <c r="FK75" s="1306"/>
      <c r="FL75" s="1306"/>
      <c r="FM75" s="1306"/>
      <c r="FN75" s="1306"/>
      <c r="FO75" s="1306"/>
      <c r="FP75" s="1306"/>
      <c r="FQ75" s="1306"/>
      <c r="FR75" s="1306"/>
      <c r="FS75" s="1306"/>
      <c r="FT75" s="1306"/>
      <c r="FU75" s="1306"/>
      <c r="FV75" s="1306"/>
      <c r="FW75" s="1306"/>
      <c r="FX75" s="1306"/>
      <c r="FY75" s="1306"/>
      <c r="FZ75" s="1306"/>
      <c r="GA75" s="1306"/>
      <c r="GB75" s="1306"/>
      <c r="GC75" s="1306"/>
      <c r="GD75" s="1306"/>
      <c r="GE75" s="1306"/>
      <c r="GF75" s="1306"/>
      <c r="GG75" s="1306"/>
      <c r="GH75" s="1306"/>
      <c r="GI75" s="1306"/>
      <c r="GJ75" s="1306"/>
      <c r="GK75" s="1306"/>
      <c r="GL75" s="1087"/>
      <c r="GM75" s="1087"/>
      <c r="GN75" s="1087"/>
    </row>
    <row r="76" spans="1:196" ht="15" customHeight="1">
      <c r="A76" s="206"/>
      <c r="B76" s="140">
        <v>75</v>
      </c>
      <c r="C76" s="43">
        <v>525646</v>
      </c>
      <c r="D76" s="1054" t="s">
        <v>6121</v>
      </c>
      <c r="E76" s="648" t="s">
        <v>6122</v>
      </c>
      <c r="F76" s="1224">
        <v>46147</v>
      </c>
      <c r="G76" s="1225">
        <v>43</v>
      </c>
      <c r="H76" s="44">
        <v>30080</v>
      </c>
      <c r="I76" s="1224">
        <v>46148</v>
      </c>
      <c r="J76" s="43" t="s">
        <v>5990</v>
      </c>
      <c r="K76" s="43" t="s">
        <v>6123</v>
      </c>
      <c r="L76" s="43" t="s">
        <v>461</v>
      </c>
      <c r="M76" s="1225">
        <v>975327171</v>
      </c>
      <c r="N76" s="43"/>
      <c r="O76" s="1169" t="s">
        <v>5865</v>
      </c>
      <c r="P76" s="1087" t="s">
        <v>5866</v>
      </c>
      <c r="Q76" s="1061" t="s">
        <v>5867</v>
      </c>
      <c r="R76" s="43" t="s">
        <v>162</v>
      </c>
      <c r="S76" s="43" t="s">
        <v>5868</v>
      </c>
      <c r="T76" s="43" t="s">
        <v>5873</v>
      </c>
      <c r="U76" s="44">
        <v>46148</v>
      </c>
      <c r="V76" s="1300">
        <v>0.17708333333333301</v>
      </c>
      <c r="W76" s="1226">
        <v>46148</v>
      </c>
      <c r="X76" t="s">
        <v>1064</v>
      </c>
      <c r="Y76" s="1169" t="s">
        <v>3111</v>
      </c>
      <c r="Z76" s="1203" t="s">
        <v>1676</v>
      </c>
      <c r="AA76" s="1211">
        <v>46149</v>
      </c>
      <c r="AB76" s="244"/>
      <c r="AC76" s="1178"/>
      <c r="AD76" s="1178"/>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c r="DN76" s="43"/>
      <c r="DO76" s="43"/>
      <c r="DP76" s="43"/>
      <c r="DQ76" s="43"/>
      <c r="DR76" s="43"/>
      <c r="DS76" s="43"/>
      <c r="DT76" s="43"/>
      <c r="DU76" s="43"/>
      <c r="DV76" s="43"/>
      <c r="DW76" s="43"/>
      <c r="DX76" s="43"/>
      <c r="DY76" s="43"/>
      <c r="DZ76" s="43"/>
      <c r="EA76" s="43"/>
      <c r="EB76" s="43"/>
      <c r="EC76" s="43"/>
      <c r="ED76" s="43"/>
      <c r="EE76" s="43"/>
      <c r="EF76" s="43"/>
      <c r="EG76" s="43"/>
      <c r="EH76" s="43"/>
      <c r="EI76" s="43"/>
      <c r="EJ76" s="43"/>
      <c r="EK76" s="43"/>
      <c r="EL76" s="43"/>
      <c r="EM76" s="43"/>
      <c r="EN76" s="43"/>
      <c r="EO76" s="43"/>
      <c r="EP76" s="43"/>
      <c r="EQ76" s="43"/>
      <c r="ER76" s="43"/>
      <c r="ES76" s="43"/>
      <c r="ET76" s="43"/>
      <c r="EU76" s="43"/>
      <c r="EV76" s="43"/>
      <c r="EW76" s="43"/>
      <c r="EX76" s="43"/>
      <c r="EY76" s="43"/>
      <c r="EZ76" s="43"/>
      <c r="FA76" s="43"/>
      <c r="FB76" s="43"/>
      <c r="FC76" s="43"/>
      <c r="FD76" s="43"/>
      <c r="FE76" s="43"/>
      <c r="FF76" s="43"/>
      <c r="FG76" s="43"/>
      <c r="FH76" s="43"/>
      <c r="FI76" s="43"/>
      <c r="FJ76" s="43"/>
      <c r="FK76" s="43"/>
      <c r="FL76" s="43"/>
      <c r="FM76" s="43"/>
      <c r="FN76" s="43"/>
      <c r="FO76" s="43"/>
      <c r="FP76" s="43"/>
      <c r="FQ76" s="43"/>
      <c r="FR76" s="43"/>
      <c r="FS76" s="43"/>
      <c r="FT76" s="43"/>
      <c r="FU76" s="43"/>
      <c r="FV76" s="43"/>
      <c r="FW76" s="43"/>
      <c r="FX76" s="43"/>
      <c r="FY76" s="43"/>
      <c r="FZ76" s="43"/>
      <c r="GA76" s="43"/>
      <c r="GB76" s="43"/>
      <c r="GC76" s="43"/>
      <c r="GD76" s="43"/>
      <c r="GE76" s="43"/>
      <c r="GF76" s="43"/>
      <c r="GG76" s="43"/>
      <c r="GH76" s="43"/>
      <c r="GI76" s="43"/>
      <c r="GJ76" s="43"/>
      <c r="GK76" s="43"/>
      <c r="GL76" s="43"/>
      <c r="GM76" s="43"/>
      <c r="GN76" s="43"/>
    </row>
    <row r="77" spans="1:196" ht="15" customHeight="1">
      <c r="A77" s="1229"/>
      <c r="B77" s="140">
        <v>76</v>
      </c>
      <c r="C77" s="1229">
        <v>32848</v>
      </c>
      <c r="D77" s="1229">
        <v>80592065</v>
      </c>
      <c r="E77" s="1242" t="s">
        <v>6124</v>
      </c>
      <c r="F77" s="1231">
        <v>46141</v>
      </c>
      <c r="G77" s="1232">
        <v>52</v>
      </c>
      <c r="H77" s="1233">
        <v>26913</v>
      </c>
      <c r="I77" s="1231">
        <v>46148</v>
      </c>
      <c r="J77" s="1293" t="s">
        <v>5990</v>
      </c>
      <c r="K77" s="1262" t="s">
        <v>6125</v>
      </c>
      <c r="L77" s="1262" t="s">
        <v>2422</v>
      </c>
      <c r="M77" s="1265">
        <v>930291063</v>
      </c>
      <c r="N77" s="1243"/>
      <c r="O77" s="1169" t="s">
        <v>5865</v>
      </c>
      <c r="P77" s="1087" t="s">
        <v>5866</v>
      </c>
      <c r="Q77" s="1061" t="s">
        <v>5867</v>
      </c>
      <c r="R77" s="112" t="s">
        <v>223</v>
      </c>
      <c r="S77" s="1229" t="s">
        <v>5868</v>
      </c>
      <c r="T77" s="1229" t="s">
        <v>5873</v>
      </c>
      <c r="U77" s="1233">
        <v>46148</v>
      </c>
      <c r="V77" s="1300">
        <v>0.1875</v>
      </c>
      <c r="W77" s="1226">
        <v>46148</v>
      </c>
      <c r="X77" s="1209" t="s">
        <v>376</v>
      </c>
      <c r="Y77" s="1169" t="s">
        <v>3111</v>
      </c>
      <c r="Z77" s="1210" t="s">
        <v>4477</v>
      </c>
      <c r="AA77" s="1240"/>
      <c r="AB77" s="1240"/>
      <c r="AC77" s="1240"/>
      <c r="AD77" s="1240"/>
      <c r="AE77" s="1240"/>
      <c r="AF77" s="1240"/>
      <c r="AG77" s="1240"/>
      <c r="AH77" s="1240"/>
      <c r="AI77" s="1240"/>
      <c r="AJ77" s="1240"/>
      <c r="AK77" s="1240"/>
      <c r="AL77" s="1240"/>
      <c r="AM77" s="1240"/>
      <c r="AN77" s="1240"/>
      <c r="AO77" s="1240"/>
      <c r="AP77" s="1240"/>
      <c r="AQ77" s="1240"/>
      <c r="AR77" s="1240"/>
      <c r="AS77" s="1240"/>
      <c r="AT77" s="1240"/>
      <c r="AU77" s="1240"/>
      <c r="AV77" s="1240"/>
      <c r="AW77" s="1240"/>
      <c r="AX77" s="1240"/>
      <c r="AY77" s="1240"/>
      <c r="AZ77" s="1240"/>
      <c r="BA77" s="1240"/>
      <c r="BB77" s="1240"/>
      <c r="BC77" s="1240"/>
      <c r="BD77" s="1240"/>
      <c r="BE77" s="1240"/>
      <c r="BF77" s="1240"/>
      <c r="BG77" s="1240"/>
      <c r="BH77" s="1240"/>
      <c r="BI77" s="1240"/>
      <c r="BJ77" s="1240"/>
      <c r="BK77" s="1240"/>
      <c r="BL77" s="1240"/>
      <c r="BM77" s="1240"/>
      <c r="BN77" s="1240"/>
      <c r="BO77" s="1240"/>
      <c r="BP77" s="1240"/>
      <c r="BQ77" s="1240"/>
      <c r="BR77" s="1240"/>
      <c r="BS77" s="1240"/>
      <c r="BT77" s="1240"/>
      <c r="BU77" s="1240"/>
      <c r="BV77" s="1240"/>
      <c r="BW77" s="1240"/>
      <c r="BX77" s="1240"/>
      <c r="BY77" s="1240"/>
      <c r="BZ77" s="1240"/>
      <c r="CA77" s="1240"/>
      <c r="CB77" s="1240"/>
      <c r="CC77" s="1240"/>
      <c r="CD77" s="1240"/>
      <c r="CE77" s="1240"/>
      <c r="CF77" s="1240"/>
      <c r="CG77" s="1240"/>
      <c r="CH77" s="1240"/>
      <c r="CI77" s="1240"/>
      <c r="CJ77" s="1240"/>
      <c r="CK77" s="1240"/>
      <c r="CL77" s="1240"/>
      <c r="CM77" s="1240"/>
      <c r="CN77" s="1240"/>
      <c r="CO77" s="1240"/>
      <c r="CP77" s="1240"/>
      <c r="CQ77" s="1240"/>
      <c r="CR77" s="1240"/>
      <c r="CS77" s="1240"/>
      <c r="CT77" s="1240"/>
      <c r="CU77" s="1240"/>
      <c r="CV77" s="1240"/>
      <c r="CW77" s="1240"/>
      <c r="CX77" s="1240"/>
      <c r="CY77" s="1240"/>
      <c r="CZ77" s="1240"/>
      <c r="DA77" s="1240"/>
      <c r="DB77" s="1240"/>
      <c r="DC77" s="1240"/>
      <c r="DD77" s="1240"/>
      <c r="DE77" s="1240"/>
      <c r="DF77" s="1240"/>
      <c r="DG77" s="1240"/>
      <c r="DH77" s="1240"/>
      <c r="DI77" s="1240"/>
      <c r="DJ77" s="1240"/>
      <c r="DK77" s="1240"/>
      <c r="DL77" s="1240"/>
      <c r="DM77" s="1240"/>
      <c r="DN77" s="1240"/>
      <c r="DO77" s="1240"/>
      <c r="DP77" s="1240"/>
      <c r="DQ77" s="1240"/>
      <c r="DR77" s="1240"/>
      <c r="DS77" s="1240"/>
      <c r="DT77" s="1240"/>
      <c r="DU77" s="1240"/>
      <c r="DV77" s="1240"/>
      <c r="DW77" s="1240"/>
      <c r="DX77" s="1240"/>
      <c r="DY77" s="1240"/>
      <c r="DZ77" s="1240"/>
      <c r="EA77" s="1240"/>
      <c r="EB77" s="1240"/>
      <c r="EC77" s="1240"/>
      <c r="ED77" s="1240"/>
      <c r="EE77" s="1240"/>
      <c r="EF77" s="1240"/>
      <c r="EG77" s="1240"/>
      <c r="EH77" s="1240"/>
      <c r="EI77" s="1240"/>
      <c r="EJ77" s="1240"/>
      <c r="EK77" s="1240"/>
      <c r="EL77" s="1240"/>
      <c r="EM77" s="1240"/>
      <c r="EN77" s="1240"/>
      <c r="EO77" s="1240"/>
      <c r="EP77" s="1240"/>
      <c r="EQ77" s="1240"/>
      <c r="ER77" s="1240"/>
      <c r="ES77" s="1240"/>
      <c r="ET77" s="1240"/>
      <c r="EU77" s="1240"/>
      <c r="EV77" s="1240"/>
      <c r="EW77" s="1240"/>
      <c r="EX77" s="1240"/>
      <c r="EY77" s="1240"/>
      <c r="EZ77" s="1240"/>
      <c r="FA77" s="1240"/>
      <c r="FB77" s="1240"/>
      <c r="FC77" s="1240"/>
      <c r="FD77" s="1240"/>
      <c r="FE77" s="1240"/>
      <c r="FF77" s="1240"/>
      <c r="FG77" s="1240"/>
      <c r="FH77" s="1240"/>
      <c r="FI77" s="1240"/>
      <c r="FJ77" s="1240"/>
      <c r="FK77" s="1240"/>
      <c r="FL77" s="1240"/>
      <c r="FM77" s="1240"/>
      <c r="FN77" s="1240"/>
      <c r="FO77" s="1240"/>
      <c r="FP77" s="1240"/>
      <c r="FQ77" s="1240"/>
      <c r="FR77" s="1240"/>
      <c r="FS77" s="1240"/>
      <c r="FT77" s="1240"/>
      <c r="FU77" s="1240"/>
      <c r="FV77" s="1240"/>
      <c r="FW77" s="1240"/>
      <c r="FX77" s="1240"/>
      <c r="FY77" s="1240"/>
      <c r="FZ77" s="1240"/>
      <c r="GA77" s="1240"/>
      <c r="GB77" s="1240"/>
      <c r="GC77" s="1240"/>
      <c r="GD77" s="1240"/>
      <c r="GE77" s="1240"/>
      <c r="GF77" s="1240"/>
      <c r="GG77" s="1241"/>
      <c r="GH77" s="1241"/>
      <c r="GI77" s="1241"/>
      <c r="GJ77" s="1241"/>
      <c r="GK77" s="1241"/>
      <c r="GL77" s="43"/>
      <c r="GM77" s="43"/>
      <c r="GN77" s="43"/>
    </row>
    <row r="78" spans="1:196" ht="15" customHeight="1">
      <c r="A78" s="1307"/>
      <c r="B78" s="140">
        <v>77</v>
      </c>
      <c r="C78" s="1229">
        <v>277329</v>
      </c>
      <c r="D78" s="1296">
        <v>15738094</v>
      </c>
      <c r="E78" s="1308" t="s">
        <v>6126</v>
      </c>
      <c r="F78" s="1231">
        <v>46141</v>
      </c>
      <c r="G78" s="1298">
        <v>62</v>
      </c>
      <c r="H78" s="1299">
        <v>23241</v>
      </c>
      <c r="I78" s="1292">
        <v>46148</v>
      </c>
      <c r="J78" s="1309" t="s">
        <v>6064</v>
      </c>
      <c r="K78" s="1296" t="s">
        <v>5864</v>
      </c>
      <c r="L78" s="1296" t="s">
        <v>301</v>
      </c>
      <c r="M78" s="1310">
        <v>944254277</v>
      </c>
      <c r="N78" s="1232"/>
      <c r="O78" s="1169" t="s">
        <v>5865</v>
      </c>
      <c r="P78" s="1311" t="s">
        <v>5866</v>
      </c>
      <c r="Q78" s="1061" t="s">
        <v>5867</v>
      </c>
      <c r="R78" s="112" t="s">
        <v>1905</v>
      </c>
      <c r="S78" s="1229" t="s">
        <v>5868</v>
      </c>
      <c r="T78" s="1229" t="s">
        <v>5873</v>
      </c>
      <c r="U78" s="1233">
        <v>46148</v>
      </c>
      <c r="V78" s="1228">
        <v>0.19791666666666699</v>
      </c>
      <c r="W78" s="1226">
        <v>46148</v>
      </c>
      <c r="X78" s="1312" t="s">
        <v>516</v>
      </c>
      <c r="Y78" s="1238" t="s">
        <v>3104</v>
      </c>
      <c r="Z78" s="1210" t="s">
        <v>4477</v>
      </c>
      <c r="AA78" s="1313"/>
      <c r="AB78" s="1313"/>
      <c r="AC78" s="1313"/>
      <c r="AD78" s="1313"/>
      <c r="AE78" s="1313"/>
      <c r="AF78" s="1313"/>
      <c r="AG78" s="1313"/>
      <c r="AH78" s="1313"/>
      <c r="AI78" s="1313"/>
      <c r="AJ78" s="1313"/>
      <c r="AK78" s="1313"/>
      <c r="AL78" s="1313"/>
      <c r="AM78" s="1313"/>
      <c r="AN78" s="1313"/>
      <c r="AO78" s="1313"/>
      <c r="AP78" s="1313"/>
      <c r="AQ78" s="1313"/>
      <c r="AR78" s="1313"/>
      <c r="AS78" s="1313"/>
      <c r="AT78" s="1313"/>
      <c r="AU78" s="1313"/>
      <c r="AV78" s="1313"/>
      <c r="AW78" s="1313"/>
      <c r="AX78" s="1313"/>
      <c r="AY78" s="1313"/>
      <c r="AZ78" s="1313"/>
      <c r="BA78" s="1313"/>
      <c r="BB78" s="1313"/>
      <c r="BC78" s="1313"/>
      <c r="BD78" s="1313"/>
      <c r="BE78" s="1313"/>
      <c r="BF78" s="1313"/>
      <c r="BG78" s="1313"/>
      <c r="BH78" s="1313"/>
      <c r="BI78" s="1313"/>
      <c r="BJ78" s="1313"/>
      <c r="BK78" s="1313"/>
      <c r="BL78" s="1313"/>
      <c r="BM78" s="1313"/>
      <c r="BN78" s="1313"/>
      <c r="BO78" s="1313"/>
      <c r="BP78" s="1313"/>
      <c r="BQ78" s="1313"/>
      <c r="BR78" s="1313"/>
      <c r="BS78" s="1313"/>
      <c r="BT78" s="1313"/>
      <c r="BU78" s="1313"/>
      <c r="BV78" s="1313"/>
      <c r="BW78" s="1313"/>
      <c r="BX78" s="1313"/>
      <c r="BY78" s="1313"/>
      <c r="BZ78" s="1313"/>
      <c r="CA78" s="1313"/>
      <c r="CB78" s="1313"/>
      <c r="CC78" s="1313"/>
      <c r="CD78" s="1313"/>
      <c r="CE78" s="1313"/>
      <c r="CF78" s="1313"/>
      <c r="CG78" s="1313"/>
      <c r="CH78" s="1313"/>
      <c r="CI78" s="1313"/>
      <c r="CJ78" s="1313"/>
      <c r="CK78" s="1313"/>
      <c r="CL78" s="1313"/>
      <c r="CM78" s="1313"/>
      <c r="CN78" s="1313"/>
      <c r="CO78" s="1313"/>
      <c r="CP78" s="1313"/>
      <c r="CQ78" s="1313"/>
      <c r="CR78" s="1313"/>
      <c r="CS78" s="1313"/>
      <c r="CT78" s="1313"/>
      <c r="CU78" s="1313"/>
      <c r="CV78" s="1313"/>
      <c r="CW78" s="1313"/>
      <c r="CX78" s="1313"/>
      <c r="CY78" s="1313"/>
      <c r="CZ78" s="1313"/>
      <c r="DA78" s="1313"/>
      <c r="DB78" s="1313"/>
      <c r="DC78" s="1313"/>
      <c r="DD78" s="1313"/>
      <c r="DE78" s="1313"/>
      <c r="DF78" s="1313"/>
      <c r="DG78" s="1313"/>
      <c r="DH78" s="1313"/>
      <c r="DI78" s="1313"/>
      <c r="DJ78" s="1313"/>
      <c r="DK78" s="1313"/>
      <c r="DL78" s="1313"/>
      <c r="DM78" s="1313"/>
      <c r="DN78" s="1313"/>
      <c r="DO78" s="1313"/>
      <c r="DP78" s="1313"/>
      <c r="DQ78" s="1313"/>
      <c r="DR78" s="1313"/>
      <c r="DS78" s="1313"/>
      <c r="DT78" s="1313"/>
      <c r="DU78" s="1313"/>
      <c r="DV78" s="1313"/>
      <c r="DW78" s="1313"/>
      <c r="DX78" s="1313"/>
      <c r="DY78" s="1313"/>
      <c r="DZ78" s="1313"/>
      <c r="EA78" s="1313"/>
      <c r="EB78" s="1313"/>
      <c r="EC78" s="1313"/>
      <c r="ED78" s="1313"/>
      <c r="EE78" s="1313"/>
      <c r="EF78" s="1313"/>
      <c r="EG78" s="1313"/>
      <c r="EH78" s="1313"/>
      <c r="EI78" s="1313"/>
      <c r="EJ78" s="1313"/>
      <c r="EK78" s="1313"/>
      <c r="EL78" s="1313"/>
      <c r="EM78" s="1313"/>
      <c r="EN78" s="1313"/>
      <c r="EO78" s="1313"/>
      <c r="EP78" s="1313"/>
      <c r="EQ78" s="1313"/>
      <c r="ER78" s="1313"/>
      <c r="ES78" s="1313"/>
      <c r="ET78" s="1313"/>
      <c r="EU78" s="1313"/>
      <c r="EV78" s="1313"/>
      <c r="EW78" s="1313"/>
      <c r="EX78" s="1313"/>
      <c r="EY78" s="1313"/>
      <c r="EZ78" s="1313"/>
      <c r="FA78" s="1313"/>
      <c r="FB78" s="1313"/>
      <c r="FC78" s="1313"/>
      <c r="FD78" s="1313"/>
      <c r="FE78" s="1313"/>
      <c r="FF78" s="1313"/>
      <c r="FG78" s="1313"/>
      <c r="FH78" s="1313"/>
      <c r="FI78" s="1313"/>
      <c r="FJ78" s="1313"/>
      <c r="FK78" s="1313"/>
      <c r="FL78" s="1313"/>
      <c r="FM78" s="1313"/>
      <c r="FN78" s="1313"/>
      <c r="FO78" s="1313"/>
      <c r="FP78" s="1313"/>
      <c r="FQ78" s="1313"/>
      <c r="FR78" s="1313"/>
      <c r="FS78" s="1313"/>
      <c r="FT78" s="1313"/>
      <c r="FU78" s="1313"/>
      <c r="FV78" s="1313"/>
      <c r="FW78" s="1313"/>
      <c r="FX78" s="1313"/>
      <c r="FY78" s="1313"/>
      <c r="FZ78" s="1313"/>
      <c r="GA78" s="1313"/>
      <c r="GB78" s="1313"/>
      <c r="GC78" s="1313"/>
      <c r="GD78" s="1313"/>
      <c r="GE78" s="1313"/>
      <c r="GF78" s="1313"/>
      <c r="GG78" s="1314"/>
      <c r="GH78" s="1314"/>
      <c r="GI78" s="1314"/>
      <c r="GJ78" s="1314"/>
      <c r="GK78" s="1314"/>
      <c r="GL78" s="1315"/>
      <c r="GM78" s="1315"/>
      <c r="GN78" s="1315"/>
    </row>
    <row r="79" spans="1:196" ht="15" customHeight="1">
      <c r="A79" s="1307"/>
      <c r="B79" s="140">
        <v>78</v>
      </c>
      <c r="C79" s="1229">
        <v>525654</v>
      </c>
      <c r="D79" s="1316">
        <v>16023579</v>
      </c>
      <c r="E79" s="1317" t="s">
        <v>6127</v>
      </c>
      <c r="F79" s="1231">
        <v>46147</v>
      </c>
      <c r="G79" s="1232">
        <v>48</v>
      </c>
      <c r="H79" s="1318">
        <v>28559</v>
      </c>
      <c r="I79" s="1231">
        <v>46148</v>
      </c>
      <c r="J79" s="1232" t="s">
        <v>5990</v>
      </c>
      <c r="K79" s="1316" t="s">
        <v>6128</v>
      </c>
      <c r="L79" s="1316" t="s">
        <v>1885</v>
      </c>
      <c r="M79" s="1319">
        <v>983930109</v>
      </c>
      <c r="N79" s="1229"/>
      <c r="O79" s="1169" t="s">
        <v>5865</v>
      </c>
      <c r="P79" s="112" t="s">
        <v>5866</v>
      </c>
      <c r="Q79" s="1061" t="s">
        <v>5867</v>
      </c>
      <c r="R79" s="112" t="s">
        <v>164</v>
      </c>
      <c r="S79" s="1229" t="s">
        <v>5868</v>
      </c>
      <c r="T79" s="1229" t="s">
        <v>5869</v>
      </c>
      <c r="U79" s="1233">
        <v>46148</v>
      </c>
      <c r="V79" s="1300">
        <v>0.20833333333333401</v>
      </c>
      <c r="W79" s="1226">
        <v>46148</v>
      </c>
      <c r="X79" s="1237" t="s">
        <v>3998</v>
      </c>
      <c r="Y79" s="1238" t="s">
        <v>3104</v>
      </c>
      <c r="Z79" s="1210" t="s">
        <v>4477</v>
      </c>
      <c r="AA79" s="1211">
        <v>46149</v>
      </c>
      <c r="AB79" s="1240"/>
      <c r="AC79" s="1240"/>
      <c r="AD79" s="1240"/>
      <c r="AE79" s="1240"/>
      <c r="AF79" s="1240"/>
      <c r="AG79" s="1240"/>
      <c r="AH79" s="1240"/>
      <c r="AI79" s="1240"/>
      <c r="AJ79" s="1240"/>
      <c r="AK79" s="1240"/>
      <c r="AL79" s="1240"/>
      <c r="AM79" s="1240"/>
      <c r="AN79" s="1240"/>
      <c r="AO79" s="1240"/>
      <c r="AP79" s="1240"/>
      <c r="AQ79" s="1240"/>
      <c r="AR79" s="1240"/>
      <c r="AS79" s="1240"/>
      <c r="AT79" s="1240"/>
      <c r="AU79" s="1240"/>
      <c r="AV79" s="1240"/>
      <c r="AW79" s="1240"/>
      <c r="AX79" s="1240"/>
      <c r="AY79" s="1240"/>
      <c r="AZ79" s="1240"/>
      <c r="BA79" s="1240"/>
      <c r="BB79" s="1240"/>
      <c r="BC79" s="1240"/>
      <c r="BD79" s="1240"/>
      <c r="BE79" s="1240"/>
      <c r="BF79" s="1240"/>
      <c r="BG79" s="1240"/>
      <c r="BH79" s="1240"/>
      <c r="BI79" s="1240"/>
      <c r="BJ79" s="1240"/>
      <c r="BK79" s="1240"/>
      <c r="BL79" s="1240"/>
      <c r="BM79" s="1240"/>
      <c r="BN79" s="1240"/>
      <c r="BO79" s="1240"/>
      <c r="BP79" s="1240"/>
      <c r="BQ79" s="1240"/>
      <c r="BR79" s="1240"/>
      <c r="BS79" s="1240"/>
      <c r="BT79" s="1240"/>
      <c r="BU79" s="1240"/>
      <c r="BV79" s="1240"/>
      <c r="BW79" s="1240"/>
      <c r="BX79" s="1240"/>
      <c r="BY79" s="1240"/>
      <c r="BZ79" s="1240"/>
      <c r="CA79" s="1240"/>
      <c r="CB79" s="1240"/>
      <c r="CC79" s="1240"/>
      <c r="CD79" s="1240"/>
      <c r="CE79" s="1240"/>
      <c r="CF79" s="1240"/>
      <c r="CG79" s="1240"/>
      <c r="CH79" s="1240"/>
      <c r="CI79" s="1240"/>
      <c r="CJ79" s="1240"/>
      <c r="CK79" s="1240"/>
      <c r="CL79" s="1240"/>
      <c r="CM79" s="1240"/>
      <c r="CN79" s="1240"/>
      <c r="CO79" s="1240"/>
      <c r="CP79" s="1240"/>
      <c r="CQ79" s="1240"/>
      <c r="CR79" s="1240"/>
      <c r="CS79" s="1240"/>
      <c r="CT79" s="1240"/>
      <c r="CU79" s="1240"/>
      <c r="CV79" s="1240"/>
      <c r="CW79" s="1240"/>
      <c r="CX79" s="1240"/>
      <c r="CY79" s="1240"/>
      <c r="CZ79" s="1240"/>
      <c r="DA79" s="1240"/>
      <c r="DB79" s="1240"/>
      <c r="DC79" s="1240"/>
      <c r="DD79" s="1240"/>
      <c r="DE79" s="1240"/>
      <c r="DF79" s="1240"/>
      <c r="DG79" s="1240"/>
      <c r="DH79" s="1240"/>
      <c r="DI79" s="1240"/>
      <c r="DJ79" s="1240"/>
      <c r="DK79" s="1240"/>
      <c r="DL79" s="1240"/>
      <c r="DM79" s="1240"/>
      <c r="DN79" s="1240"/>
      <c r="DO79" s="1240"/>
      <c r="DP79" s="1240"/>
      <c r="DQ79" s="1240"/>
      <c r="DR79" s="1240"/>
      <c r="DS79" s="1240"/>
      <c r="DT79" s="1240"/>
      <c r="DU79" s="1240"/>
      <c r="DV79" s="1240"/>
      <c r="DW79" s="1240"/>
      <c r="DX79" s="1240"/>
      <c r="DY79" s="1240"/>
      <c r="DZ79" s="1240"/>
      <c r="EA79" s="1240"/>
      <c r="EB79" s="1240"/>
      <c r="EC79" s="1240"/>
      <c r="ED79" s="1240"/>
      <c r="EE79" s="1240"/>
      <c r="EF79" s="1240"/>
      <c r="EG79" s="1240"/>
      <c r="EH79" s="1240"/>
      <c r="EI79" s="1240"/>
      <c r="EJ79" s="1240"/>
      <c r="EK79" s="1240"/>
      <c r="EL79" s="1240"/>
      <c r="EM79" s="1240"/>
      <c r="EN79" s="1240"/>
      <c r="EO79" s="1240"/>
      <c r="EP79" s="1240"/>
      <c r="EQ79" s="1240"/>
      <c r="ER79" s="1240"/>
      <c r="ES79" s="1240"/>
      <c r="ET79" s="1240"/>
      <c r="EU79" s="1240"/>
      <c r="EV79" s="1240"/>
      <c r="EW79" s="1240"/>
      <c r="EX79" s="1240"/>
      <c r="EY79" s="1240"/>
      <c r="EZ79" s="1240"/>
      <c r="FA79" s="1240"/>
      <c r="FB79" s="1240"/>
      <c r="FC79" s="1240"/>
      <c r="FD79" s="1240"/>
      <c r="FE79" s="1240"/>
      <c r="FF79" s="1240"/>
      <c r="FG79" s="1240"/>
      <c r="FH79" s="1240"/>
      <c r="FI79" s="1240"/>
      <c r="FJ79" s="1240"/>
      <c r="FK79" s="1240"/>
      <c r="FL79" s="1240"/>
      <c r="FM79" s="1240"/>
      <c r="FN79" s="1240"/>
      <c r="FO79" s="1240"/>
      <c r="FP79" s="1240"/>
      <c r="FQ79" s="1240"/>
      <c r="FR79" s="1240"/>
      <c r="FS79" s="1240"/>
      <c r="FT79" s="1240"/>
      <c r="FU79" s="1240"/>
      <c r="FV79" s="1240"/>
      <c r="FW79" s="1240"/>
      <c r="FX79" s="1240"/>
      <c r="FY79" s="1240"/>
      <c r="FZ79" s="1240"/>
      <c r="GA79" s="1240"/>
      <c r="GB79" s="1240"/>
      <c r="GC79" s="1240"/>
      <c r="GD79" s="1240"/>
      <c r="GE79" s="1240"/>
      <c r="GF79" s="1240"/>
      <c r="GG79" s="1240"/>
      <c r="GH79" s="1240"/>
      <c r="GI79" s="1240"/>
      <c r="GJ79" s="1240"/>
      <c r="GK79" s="1240"/>
      <c r="GL79" s="112"/>
      <c r="GM79" s="112"/>
      <c r="GN79" s="112"/>
    </row>
    <row r="80" spans="1:196" ht="15" customHeight="1">
      <c r="A80" s="1320" t="s">
        <v>6129</v>
      </c>
      <c r="B80" s="1321">
        <v>79</v>
      </c>
      <c r="C80" s="1322">
        <v>268424</v>
      </c>
      <c r="D80" s="1322">
        <v>43456923</v>
      </c>
      <c r="E80" s="1323" t="s">
        <v>6130</v>
      </c>
      <c r="F80" s="1324">
        <v>46146</v>
      </c>
      <c r="G80" s="1321">
        <v>41</v>
      </c>
      <c r="H80" s="1325">
        <v>31398</v>
      </c>
      <c r="I80" s="1324">
        <v>46149</v>
      </c>
      <c r="J80" s="1325" t="s">
        <v>5990</v>
      </c>
      <c r="K80" s="1322" t="s">
        <v>6131</v>
      </c>
      <c r="L80" s="1322" t="s">
        <v>278</v>
      </c>
      <c r="M80" s="1321">
        <v>991823593</v>
      </c>
      <c r="N80" s="1322"/>
      <c r="O80" s="1169" t="s">
        <v>5865</v>
      </c>
      <c r="P80" s="1061" t="s">
        <v>5866</v>
      </c>
      <c r="Q80" s="1061" t="s">
        <v>5867</v>
      </c>
      <c r="R80" s="1322" t="s">
        <v>238</v>
      </c>
      <c r="S80" s="1326" t="s">
        <v>5868</v>
      </c>
      <c r="T80" s="1322" t="s">
        <v>5869</v>
      </c>
      <c r="U80" s="1325">
        <v>46149</v>
      </c>
      <c r="V80" s="1327">
        <v>0.30208333333333331</v>
      </c>
      <c r="W80" s="1325">
        <v>46149</v>
      </c>
      <c r="X80" s="1322"/>
      <c r="Y80" s="1322"/>
      <c r="Z80" s="1322"/>
      <c r="AA80" s="1326"/>
      <c r="AB80" s="1322"/>
      <c r="AC80" s="1322"/>
      <c r="AD80" s="1322"/>
      <c r="AE80" s="1322"/>
      <c r="AF80" s="1322"/>
      <c r="AG80" s="1322"/>
      <c r="AH80" s="1322"/>
      <c r="AI80" s="1322"/>
      <c r="AJ80" s="1322"/>
      <c r="AK80" s="1322"/>
      <c r="AL80" s="1322"/>
      <c r="AM80" s="1322"/>
      <c r="AN80" s="1322"/>
      <c r="AO80" s="1322"/>
      <c r="AP80" s="1322"/>
      <c r="AQ80" s="1322"/>
      <c r="AR80" s="1322"/>
      <c r="AS80" s="1322"/>
      <c r="AT80" s="1061"/>
      <c r="AU80" s="1061"/>
      <c r="AV80" s="1061"/>
      <c r="AW80" s="1061"/>
      <c r="AX80" s="1061"/>
      <c r="AY80" s="1061"/>
      <c r="AZ80" s="1061"/>
      <c r="BA80" s="1061"/>
      <c r="BB80" s="1061"/>
      <c r="BC80" s="1061"/>
      <c r="BD80" s="1061"/>
      <c r="BE80" s="1061"/>
      <c r="BF80" s="1061"/>
      <c r="BG80" s="1061"/>
      <c r="BH80" s="1061"/>
      <c r="BI80" s="1061"/>
      <c r="BJ80" s="1061"/>
      <c r="BK80" s="1061"/>
      <c r="BL80" s="1061"/>
      <c r="BM80" s="1061"/>
      <c r="BN80" s="1061"/>
      <c r="BO80" s="1061"/>
      <c r="BP80" s="1061"/>
      <c r="BQ80" s="1061"/>
      <c r="BR80" s="1061"/>
      <c r="BS80" s="1061"/>
      <c r="BT80" s="1061"/>
      <c r="BU80" s="1061"/>
      <c r="BV80" s="1061"/>
      <c r="BW80" s="1061"/>
      <c r="BX80" s="1061"/>
      <c r="BY80" s="1061"/>
      <c r="BZ80" s="1061"/>
      <c r="CA80" s="1061"/>
      <c r="CB80" s="1061"/>
      <c r="CC80" s="1061"/>
      <c r="CD80" s="1061"/>
      <c r="CE80" s="1061"/>
      <c r="CF80" s="1061"/>
      <c r="CG80" s="1061"/>
      <c r="CH80" s="1061"/>
      <c r="CI80" s="1061"/>
      <c r="CJ80" s="1061"/>
      <c r="CK80" s="1061"/>
      <c r="CL80" s="1061"/>
      <c r="CM80" s="1061"/>
      <c r="CN80" s="1061"/>
      <c r="CO80" s="1061"/>
      <c r="CP80" s="1061"/>
      <c r="CQ80" s="1061"/>
      <c r="CR80" s="1061"/>
      <c r="CS80" s="1061"/>
      <c r="CT80" s="1061"/>
      <c r="CU80" s="1061"/>
      <c r="CV80" s="1061"/>
      <c r="CW80" s="1061"/>
      <c r="CX80" s="1061"/>
      <c r="CY80" s="1061"/>
      <c r="CZ80" s="1061"/>
      <c r="DA80" s="1061"/>
      <c r="DB80" s="1061"/>
      <c r="DC80" s="1061"/>
      <c r="DD80" s="1061"/>
      <c r="DE80" s="1061"/>
      <c r="DF80" s="1061"/>
      <c r="DG80" s="1061"/>
      <c r="DH80" s="1061"/>
      <c r="DI80" s="1061"/>
      <c r="DJ80" s="1061"/>
      <c r="DK80" s="1061"/>
      <c r="DL80" s="1061"/>
      <c r="DM80" s="1061"/>
      <c r="DN80" s="1061"/>
      <c r="DO80" s="1061"/>
      <c r="DP80" s="1061"/>
      <c r="DQ80" s="1061"/>
      <c r="DR80" s="1061"/>
      <c r="DS80" s="1061"/>
      <c r="DT80" s="1061"/>
      <c r="DU80" s="1061"/>
      <c r="DV80" s="1061"/>
      <c r="DW80" s="1061"/>
      <c r="DX80" s="1061"/>
      <c r="DY80" s="1061"/>
      <c r="DZ80" s="1061"/>
      <c r="EA80" s="1061"/>
      <c r="EB80" s="1061"/>
      <c r="EC80" s="1061"/>
      <c r="ED80" s="1061"/>
      <c r="EE80" s="1061"/>
      <c r="EF80" s="1061"/>
      <c r="EG80" s="1061"/>
      <c r="EH80" s="1061"/>
      <c r="EI80" s="1061"/>
      <c r="EJ80" s="1061"/>
      <c r="EK80" s="1061"/>
      <c r="EL80" s="1061"/>
      <c r="EM80" s="1061"/>
      <c r="EN80" s="1061"/>
      <c r="EO80" s="1061"/>
      <c r="EP80" s="1061"/>
      <c r="EQ80" s="1061"/>
      <c r="ER80" s="1061"/>
      <c r="ES80" s="1061"/>
      <c r="ET80" s="1061"/>
      <c r="EU80" s="1061"/>
      <c r="EV80" s="1061"/>
      <c r="EW80" s="1061"/>
      <c r="EX80" s="1061"/>
      <c r="EY80" s="1061"/>
      <c r="EZ80" s="1061"/>
      <c r="FA80" s="1061"/>
      <c r="FB80" s="1061"/>
      <c r="FC80" s="1061"/>
      <c r="FD80" s="1061"/>
      <c r="FE80" s="1061"/>
      <c r="FF80" s="1061"/>
      <c r="FG80" s="1061"/>
      <c r="FH80" s="1061"/>
      <c r="FI80" s="1061"/>
      <c r="FJ80" s="1061"/>
      <c r="FK80" s="1061"/>
      <c r="FL80" s="1061"/>
      <c r="FM80" s="1061"/>
      <c r="FN80" s="1061"/>
      <c r="FO80" s="1061"/>
      <c r="FP80" s="1061"/>
      <c r="FQ80" s="1061"/>
      <c r="FR80" s="1061"/>
      <c r="FS80" s="1061"/>
      <c r="FT80" s="1061"/>
      <c r="FU80" s="1061"/>
      <c r="FV80" s="1061"/>
      <c r="FW80" s="1322"/>
      <c r="FX80" s="1322"/>
      <c r="FY80" s="1322"/>
      <c r="FZ80" s="1061"/>
      <c r="GA80" s="1061"/>
      <c r="GB80" s="1061"/>
      <c r="GC80" s="1061"/>
      <c r="GD80" s="1061"/>
      <c r="GE80" s="1061"/>
      <c r="GF80" s="1061"/>
      <c r="GG80" s="1328"/>
      <c r="GH80" s="1328"/>
      <c r="GI80" s="1328"/>
      <c r="GJ80" s="1328"/>
      <c r="GK80" s="1328"/>
      <c r="GL80" s="43"/>
      <c r="GM80" s="43"/>
      <c r="GN80" s="43"/>
    </row>
    <row r="81" spans="1:196" ht="15" customHeight="1">
      <c r="A81" s="1329"/>
      <c r="B81" s="1330">
        <v>80</v>
      </c>
      <c r="C81" s="1322">
        <v>525669</v>
      </c>
      <c r="D81" s="1331">
        <v>40870571</v>
      </c>
      <c r="E81" s="1332" t="s">
        <v>6132</v>
      </c>
      <c r="F81" s="1324">
        <v>46147</v>
      </c>
      <c r="G81" s="1321">
        <v>45</v>
      </c>
      <c r="H81" s="1325">
        <v>29704</v>
      </c>
      <c r="I81" s="1324">
        <v>46149</v>
      </c>
      <c r="J81" s="1333" t="s">
        <v>6133</v>
      </c>
      <c r="K81" s="1334" t="s">
        <v>2149</v>
      </c>
      <c r="L81" s="1334" t="s">
        <v>5468</v>
      </c>
      <c r="M81" s="1335">
        <v>951192303</v>
      </c>
      <c r="N81" s="1336"/>
      <c r="O81" s="1169" t="s">
        <v>5865</v>
      </c>
      <c r="P81" s="1061" t="s">
        <v>5866</v>
      </c>
      <c r="Q81" s="1061" t="s">
        <v>5867</v>
      </c>
      <c r="R81" s="1322" t="s">
        <v>164</v>
      </c>
      <c r="S81" s="1337" t="s">
        <v>5868</v>
      </c>
      <c r="T81" s="1337" t="s">
        <v>5873</v>
      </c>
      <c r="U81" s="1325">
        <v>46149</v>
      </c>
      <c r="V81" s="1338">
        <v>0.3125</v>
      </c>
      <c r="W81" s="1325">
        <v>46149</v>
      </c>
      <c r="X81" s="1336"/>
      <c r="Y81" s="1336"/>
      <c r="Z81" s="1336"/>
      <c r="AA81" s="1339"/>
      <c r="AB81" s="1336"/>
      <c r="AC81" s="1336"/>
      <c r="AD81" s="1336"/>
      <c r="AE81" s="1336"/>
      <c r="AF81" s="1336"/>
      <c r="AG81" s="1336"/>
      <c r="AH81" s="1336"/>
      <c r="AI81" s="1336"/>
      <c r="AJ81" s="1336"/>
      <c r="AK81" s="1336"/>
      <c r="AL81" s="1336"/>
      <c r="AM81" s="1336"/>
      <c r="AN81" s="1336"/>
      <c r="AO81" s="1336"/>
      <c r="AP81" s="1336"/>
      <c r="AQ81" s="1336"/>
      <c r="AR81" s="1336"/>
      <c r="AS81" s="1336"/>
      <c r="AT81" s="1340"/>
      <c r="AU81" s="1340"/>
      <c r="AV81" s="1340"/>
      <c r="AW81" s="1340"/>
      <c r="AX81" s="1340"/>
      <c r="AY81" s="1340"/>
      <c r="AZ81" s="1340"/>
      <c r="BA81" s="1340"/>
      <c r="BB81" s="1340"/>
      <c r="BC81" s="1340"/>
      <c r="BD81" s="1340"/>
      <c r="BE81" s="1340"/>
      <c r="BF81" s="1340"/>
      <c r="BG81" s="1340"/>
      <c r="BH81" s="1340"/>
      <c r="BI81" s="1340"/>
      <c r="BJ81" s="1340"/>
      <c r="BK81" s="1340"/>
      <c r="BL81" s="1340"/>
      <c r="BM81" s="1340"/>
      <c r="BN81" s="1340"/>
      <c r="BO81" s="1340"/>
      <c r="BP81" s="1340"/>
      <c r="BQ81" s="1340"/>
      <c r="BR81" s="1340"/>
      <c r="BS81" s="1340"/>
      <c r="BT81" s="1340"/>
      <c r="BU81" s="1340"/>
      <c r="BV81" s="1340"/>
      <c r="BW81" s="1340"/>
      <c r="BX81" s="1340"/>
      <c r="BY81" s="1340"/>
      <c r="BZ81" s="1340"/>
      <c r="CA81" s="1340"/>
      <c r="CB81" s="1340"/>
      <c r="CC81" s="1340"/>
      <c r="CD81" s="1340"/>
      <c r="CE81" s="1340"/>
      <c r="CF81" s="1340"/>
      <c r="CG81" s="1340"/>
      <c r="CH81" s="1340"/>
      <c r="CI81" s="1340"/>
      <c r="CJ81" s="1340"/>
      <c r="CK81" s="1340"/>
      <c r="CL81" s="1340"/>
      <c r="CM81" s="1340"/>
      <c r="CN81" s="1340"/>
      <c r="CO81" s="1340"/>
      <c r="CP81" s="1340"/>
      <c r="CQ81" s="1340"/>
      <c r="CR81" s="1340"/>
      <c r="CS81" s="1340"/>
      <c r="CT81" s="1340"/>
      <c r="CU81" s="1340"/>
      <c r="CV81" s="1340"/>
      <c r="CW81" s="1340"/>
      <c r="CX81" s="1340"/>
      <c r="CY81" s="1340"/>
      <c r="CZ81" s="1340"/>
      <c r="DA81" s="1340"/>
      <c r="DB81" s="1340"/>
      <c r="DC81" s="1340"/>
      <c r="DD81" s="1340"/>
      <c r="DE81" s="1340"/>
      <c r="DF81" s="1340"/>
      <c r="DG81" s="1340"/>
      <c r="DH81" s="1340"/>
      <c r="DI81" s="1340"/>
      <c r="DJ81" s="1340"/>
      <c r="DK81" s="1340"/>
      <c r="DL81" s="1340"/>
      <c r="DM81" s="1340"/>
      <c r="DN81" s="1340"/>
      <c r="DO81" s="1340"/>
      <c r="DP81" s="1340"/>
      <c r="DQ81" s="1340"/>
      <c r="DR81" s="1340"/>
      <c r="DS81" s="1340"/>
      <c r="DT81" s="1340"/>
      <c r="DU81" s="1340"/>
      <c r="DV81" s="1340"/>
      <c r="DW81" s="1340"/>
      <c r="DX81" s="1340"/>
      <c r="DY81" s="1340"/>
      <c r="DZ81" s="1340"/>
      <c r="EA81" s="1340"/>
      <c r="EB81" s="1340"/>
      <c r="EC81" s="1340"/>
      <c r="ED81" s="1340"/>
      <c r="EE81" s="1340"/>
      <c r="EF81" s="1340"/>
      <c r="EG81" s="1340"/>
      <c r="EH81" s="1340"/>
      <c r="EI81" s="1340"/>
      <c r="EJ81" s="1340"/>
      <c r="EK81" s="1340"/>
      <c r="EL81" s="1340"/>
      <c r="EM81" s="1340"/>
      <c r="EN81" s="1340"/>
      <c r="EO81" s="1340"/>
      <c r="EP81" s="1340"/>
      <c r="EQ81" s="1340"/>
      <c r="ER81" s="1340"/>
      <c r="ES81" s="1340"/>
      <c r="ET81" s="1340"/>
      <c r="EU81" s="1340"/>
      <c r="EV81" s="1340"/>
      <c r="EW81" s="1340"/>
      <c r="EX81" s="1340"/>
      <c r="EY81" s="1340"/>
      <c r="EZ81" s="1340"/>
      <c r="FA81" s="1340"/>
      <c r="FB81" s="1340"/>
      <c r="FC81" s="1340"/>
      <c r="FD81" s="1340"/>
      <c r="FE81" s="1340"/>
      <c r="FF81" s="1340"/>
      <c r="FG81" s="1340"/>
      <c r="FH81" s="1340"/>
      <c r="FI81" s="1340"/>
      <c r="FJ81" s="1340"/>
      <c r="FK81" s="1340"/>
      <c r="FL81" s="1340"/>
      <c r="FM81" s="1340"/>
      <c r="FN81" s="1340"/>
      <c r="FO81" s="1340"/>
      <c r="FP81" s="1340"/>
      <c r="FQ81" s="1340"/>
      <c r="FR81" s="1340"/>
      <c r="FS81" s="1340"/>
      <c r="FT81" s="1340"/>
      <c r="FU81" s="1340"/>
      <c r="FV81" s="1340"/>
      <c r="FW81" s="1322"/>
      <c r="FX81" s="1322"/>
      <c r="FY81" s="1322"/>
      <c r="FZ81" s="1340"/>
      <c r="GA81" s="1340"/>
      <c r="GB81" s="1340"/>
      <c r="GC81" s="1340"/>
      <c r="GD81" s="1340"/>
      <c r="GE81" s="1340"/>
      <c r="GF81" s="1340"/>
      <c r="GG81" s="1341"/>
      <c r="GH81" s="1341"/>
      <c r="GI81" s="1341"/>
      <c r="GJ81" s="1341"/>
      <c r="GK81" s="1341"/>
      <c r="GL81" s="43"/>
      <c r="GM81" s="43"/>
      <c r="GN81" s="43"/>
    </row>
    <row r="82" spans="1:196" ht="15" customHeight="1">
      <c r="A82" s="1325"/>
      <c r="B82" s="1321">
        <v>81</v>
      </c>
      <c r="C82" s="1322">
        <v>222583</v>
      </c>
      <c r="D82" s="1322">
        <v>41432792</v>
      </c>
      <c r="E82" s="1323" t="s">
        <v>6134</v>
      </c>
      <c r="F82" s="1324">
        <v>46147</v>
      </c>
      <c r="G82" s="1321">
        <v>42</v>
      </c>
      <c r="H82" s="1325">
        <v>30192</v>
      </c>
      <c r="I82" s="1324">
        <v>46149</v>
      </c>
      <c r="J82" s="1325" t="s">
        <v>5996</v>
      </c>
      <c r="K82" s="1322" t="s">
        <v>6135</v>
      </c>
      <c r="L82" s="1322" t="s">
        <v>2422</v>
      </c>
      <c r="M82" s="1321">
        <v>920758578</v>
      </c>
      <c r="N82" s="1322"/>
      <c r="O82" s="1169" t="s">
        <v>5865</v>
      </c>
      <c r="P82" s="1061" t="s">
        <v>5866</v>
      </c>
      <c r="Q82" s="1061" t="s">
        <v>5867</v>
      </c>
      <c r="R82" s="1322" t="s">
        <v>223</v>
      </c>
      <c r="S82" s="1322" t="s">
        <v>5868</v>
      </c>
      <c r="T82" s="1322" t="s">
        <v>5873</v>
      </c>
      <c r="U82" s="1325">
        <v>46149</v>
      </c>
      <c r="V82" s="1327">
        <v>0.33333333333333331</v>
      </c>
      <c r="W82" s="1325">
        <v>46149</v>
      </c>
      <c r="X82" s="1322"/>
      <c r="Y82" s="1322"/>
      <c r="Z82" s="1322"/>
      <c r="AA82" s="1326"/>
      <c r="AB82" s="1322"/>
      <c r="AC82" s="1322"/>
      <c r="AD82" s="1322"/>
      <c r="AE82" s="1322"/>
      <c r="AF82" s="1322"/>
      <c r="AG82" s="1322"/>
      <c r="AH82" s="1322"/>
      <c r="AI82" s="1322"/>
      <c r="AJ82" s="1322"/>
      <c r="AK82" s="1322"/>
      <c r="AL82" s="1322"/>
      <c r="AM82" s="1322"/>
      <c r="AN82" s="1322"/>
      <c r="AO82" s="1322"/>
      <c r="AP82" s="1322"/>
      <c r="AQ82" s="1322"/>
      <c r="AR82" s="1322"/>
      <c r="AS82" s="1322"/>
      <c r="AT82" s="1061"/>
      <c r="AU82" s="1061"/>
      <c r="AV82" s="1061"/>
      <c r="AW82" s="1061"/>
      <c r="AX82" s="1061"/>
      <c r="AY82" s="1061"/>
      <c r="AZ82" s="1061"/>
      <c r="BA82" s="1061"/>
      <c r="BB82" s="1061"/>
      <c r="BC82" s="1061"/>
      <c r="BD82" s="1061"/>
      <c r="BE82" s="1061"/>
      <c r="BF82" s="1061"/>
      <c r="BG82" s="1061"/>
      <c r="BH82" s="1061"/>
      <c r="BI82" s="1061"/>
      <c r="BJ82" s="1061"/>
      <c r="BK82" s="1061"/>
      <c r="BL82" s="1061"/>
      <c r="BM82" s="1061"/>
      <c r="BN82" s="1061"/>
      <c r="BO82" s="1061"/>
      <c r="BP82" s="1061"/>
      <c r="BQ82" s="1061"/>
      <c r="BR82" s="1061"/>
      <c r="BS82" s="1061"/>
      <c r="BT82" s="1061"/>
      <c r="BU82" s="1061"/>
      <c r="BV82" s="1061"/>
      <c r="BW82" s="1061"/>
      <c r="BX82" s="1061"/>
      <c r="BY82" s="1061"/>
      <c r="BZ82" s="1061"/>
      <c r="CA82" s="1061"/>
      <c r="CB82" s="1061"/>
      <c r="CC82" s="1061"/>
      <c r="CD82" s="1061"/>
      <c r="CE82" s="1061"/>
      <c r="CF82" s="1061"/>
      <c r="CG82" s="1061"/>
      <c r="CH82" s="1061"/>
      <c r="CI82" s="1061"/>
      <c r="CJ82" s="1061"/>
      <c r="CK82" s="1061"/>
      <c r="CL82" s="1061"/>
      <c r="CM82" s="1061"/>
      <c r="CN82" s="1061"/>
      <c r="CO82" s="1061"/>
      <c r="CP82" s="1061"/>
      <c r="CQ82" s="1061"/>
      <c r="CR82" s="1061"/>
      <c r="CS82" s="1061"/>
      <c r="CT82" s="1061"/>
      <c r="CU82" s="1061"/>
      <c r="CV82" s="1061"/>
      <c r="CW82" s="1061"/>
      <c r="CX82" s="1061"/>
      <c r="CY82" s="1061"/>
      <c r="CZ82" s="1061"/>
      <c r="DA82" s="1061"/>
      <c r="DB82" s="1061"/>
      <c r="DC82" s="1061"/>
      <c r="DD82" s="1061"/>
      <c r="DE82" s="1061"/>
      <c r="DF82" s="1061"/>
      <c r="DG82" s="1061"/>
      <c r="DH82" s="1061"/>
      <c r="DI82" s="1061"/>
      <c r="DJ82" s="1061"/>
      <c r="DK82" s="1061"/>
      <c r="DL82" s="1061"/>
      <c r="DM82" s="1061"/>
      <c r="DN82" s="1061"/>
      <c r="DO82" s="1061"/>
      <c r="DP82" s="1061"/>
      <c r="DQ82" s="1061"/>
      <c r="DR82" s="1061"/>
      <c r="DS82" s="1061"/>
      <c r="DT82" s="1061"/>
      <c r="DU82" s="1061"/>
      <c r="DV82" s="1061"/>
      <c r="DW82" s="1061"/>
      <c r="DX82" s="1061"/>
      <c r="DY82" s="1061"/>
      <c r="DZ82" s="1061"/>
      <c r="EA82" s="1061"/>
      <c r="EB82" s="1061"/>
      <c r="EC82" s="1061"/>
      <c r="ED82" s="1061"/>
      <c r="EE82" s="1061"/>
      <c r="EF82" s="1061"/>
      <c r="EG82" s="1061"/>
      <c r="EH82" s="1061"/>
      <c r="EI82" s="1061"/>
      <c r="EJ82" s="1061"/>
      <c r="EK82" s="1061"/>
      <c r="EL82" s="1061"/>
      <c r="EM82" s="1061"/>
      <c r="EN82" s="1061"/>
      <c r="EO82" s="1061"/>
      <c r="EP82" s="1061"/>
      <c r="EQ82" s="1061"/>
      <c r="ER82" s="1061"/>
      <c r="ES82" s="1061"/>
      <c r="ET82" s="1061"/>
      <c r="EU82" s="1061"/>
      <c r="EV82" s="1061"/>
      <c r="EW82" s="1061"/>
      <c r="EX82" s="1061"/>
      <c r="EY82" s="1061"/>
      <c r="EZ82" s="1061"/>
      <c r="FA82" s="1061"/>
      <c r="FB82" s="1061"/>
      <c r="FC82" s="1061"/>
      <c r="FD82" s="1061"/>
      <c r="FE82" s="1061"/>
      <c r="FF82" s="1061"/>
      <c r="FG82" s="1061"/>
      <c r="FH82" s="1061"/>
      <c r="FI82" s="1061"/>
      <c r="FJ82" s="1061"/>
      <c r="FK82" s="1061"/>
      <c r="FL82" s="1061"/>
      <c r="FM82" s="1061"/>
      <c r="FN82" s="1061"/>
      <c r="FO82" s="1061"/>
      <c r="FP82" s="1061"/>
      <c r="FQ82" s="1061"/>
      <c r="FR82" s="1061"/>
      <c r="FS82" s="1061"/>
      <c r="FT82" s="1061"/>
      <c r="FU82" s="1061"/>
      <c r="FV82" s="1061"/>
      <c r="FW82" s="1322"/>
      <c r="FX82" s="1322"/>
      <c r="FY82" s="1322"/>
      <c r="FZ82" s="1061"/>
      <c r="GA82" s="1061"/>
      <c r="GB82" s="1061"/>
      <c r="GC82" s="1061"/>
      <c r="GD82" s="1061"/>
      <c r="GE82" s="1061"/>
      <c r="GF82" s="1061"/>
      <c r="GG82" s="1328"/>
      <c r="GH82" s="1328"/>
      <c r="GI82" s="1328"/>
      <c r="GJ82" s="1328"/>
      <c r="GK82" s="1328"/>
      <c r="GL82" s="43"/>
      <c r="GM82" s="43"/>
      <c r="GN82" s="43"/>
    </row>
    <row r="83" spans="1:196" ht="15" customHeight="1">
      <c r="A83" s="206"/>
      <c r="B83" s="1330">
        <v>82</v>
      </c>
      <c r="C83" s="43">
        <v>81178</v>
      </c>
      <c r="D83" s="1054" t="s">
        <v>6136</v>
      </c>
      <c r="E83" s="648" t="s">
        <v>6137</v>
      </c>
      <c r="F83" s="1224">
        <v>46147</v>
      </c>
      <c r="G83" s="1225">
        <v>53</v>
      </c>
      <c r="H83" s="44">
        <v>26447</v>
      </c>
      <c r="I83" s="1224">
        <v>46149</v>
      </c>
      <c r="J83" s="43" t="s">
        <v>5996</v>
      </c>
      <c r="K83" s="43" t="s">
        <v>6138</v>
      </c>
      <c r="L83" s="43" t="s">
        <v>461</v>
      </c>
      <c r="M83" s="1225">
        <v>986274980</v>
      </c>
      <c r="N83" s="43"/>
      <c r="O83" s="1169" t="s">
        <v>5865</v>
      </c>
      <c r="P83" s="1061" t="s">
        <v>5866</v>
      </c>
      <c r="Q83" s="1061" t="s">
        <v>5867</v>
      </c>
      <c r="R83" s="43" t="s">
        <v>162</v>
      </c>
      <c r="S83" s="43" t="s">
        <v>5868</v>
      </c>
      <c r="T83" s="43" t="s">
        <v>5873</v>
      </c>
      <c r="U83" s="44">
        <v>46149</v>
      </c>
      <c r="V83" s="953">
        <v>0.35416666666666669</v>
      </c>
      <c r="W83" s="1325">
        <v>46149</v>
      </c>
      <c r="X83" s="955"/>
      <c r="Y83" s="43"/>
      <c r="Z83" s="43"/>
      <c r="AA83" s="46"/>
      <c r="AB83" s="244"/>
      <c r="AC83" s="1178"/>
      <c r="AD83" s="1178"/>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c r="DW83" s="43"/>
      <c r="DX83" s="43"/>
      <c r="DY83" s="43"/>
      <c r="DZ83" s="43"/>
      <c r="EA83" s="43"/>
      <c r="EB83" s="43"/>
      <c r="EC83" s="43"/>
      <c r="ED83" s="43"/>
      <c r="EE83" s="43"/>
      <c r="EF83" s="43"/>
      <c r="EG83" s="43"/>
      <c r="EH83" s="43"/>
      <c r="EI83" s="43"/>
      <c r="EJ83" s="43"/>
      <c r="EK83" s="43"/>
      <c r="EL83" s="43"/>
      <c r="EM83" s="43"/>
      <c r="EN83" s="43"/>
      <c r="EO83" s="43"/>
      <c r="EP83" s="43"/>
      <c r="EQ83" s="43"/>
      <c r="ER83" s="43"/>
      <c r="ES83" s="43"/>
      <c r="ET83" s="43"/>
      <c r="EU83" s="43"/>
      <c r="EV83" s="43"/>
      <c r="EW83" s="43"/>
      <c r="EX83" s="43"/>
      <c r="EY83" s="43"/>
      <c r="EZ83" s="43"/>
      <c r="FA83" s="43"/>
      <c r="FB83" s="43"/>
      <c r="FC83" s="43"/>
      <c r="FD83" s="43"/>
      <c r="FE83" s="43"/>
      <c r="FF83" s="43"/>
      <c r="FG83" s="43"/>
      <c r="FH83" s="43"/>
      <c r="FI83" s="43"/>
      <c r="FJ83" s="43"/>
      <c r="FK83" s="43"/>
      <c r="FL83" s="43"/>
      <c r="FM83" s="43"/>
      <c r="FN83" s="43"/>
      <c r="FO83" s="43"/>
      <c r="FP83" s="43"/>
      <c r="FQ83" s="43"/>
      <c r="FR83" s="43"/>
      <c r="FS83" s="43"/>
      <c r="FT83" s="43"/>
      <c r="FU83" s="43"/>
      <c r="FV83" s="43"/>
      <c r="FW83" s="43"/>
      <c r="FX83" s="43"/>
      <c r="FY83" s="43"/>
      <c r="FZ83" s="43"/>
      <c r="GA83" s="43"/>
      <c r="GB83" s="43"/>
      <c r="GC83" s="43"/>
      <c r="GD83" s="43"/>
      <c r="GE83" s="43"/>
      <c r="GF83" s="43"/>
      <c r="GG83" s="43"/>
      <c r="GH83" s="43"/>
      <c r="GI83" s="43"/>
      <c r="GJ83" s="43"/>
      <c r="GK83" s="43"/>
      <c r="GL83" s="43"/>
      <c r="GM83" s="43"/>
      <c r="GN83" s="43"/>
    </row>
    <row r="84" spans="1:196" ht="15" customHeight="1">
      <c r="A84" s="206"/>
      <c r="B84" s="1330">
        <v>83</v>
      </c>
      <c r="C84" s="43">
        <v>525674</v>
      </c>
      <c r="D84" s="1054" t="s">
        <v>6139</v>
      </c>
      <c r="E84" s="648" t="s">
        <v>6140</v>
      </c>
      <c r="F84" s="1224">
        <v>46142</v>
      </c>
      <c r="G84" s="1225">
        <v>53</v>
      </c>
      <c r="H84" s="44">
        <v>26745</v>
      </c>
      <c r="I84" s="1224">
        <v>46149</v>
      </c>
      <c r="J84" s="43" t="s">
        <v>6080</v>
      </c>
      <c r="K84" s="43" t="s">
        <v>6141</v>
      </c>
      <c r="L84" s="43" t="s">
        <v>461</v>
      </c>
      <c r="M84" s="1225">
        <v>975370684</v>
      </c>
      <c r="N84" s="43"/>
      <c r="O84" s="1169" t="s">
        <v>5865</v>
      </c>
      <c r="P84" s="1061" t="s">
        <v>5866</v>
      </c>
      <c r="Q84" s="1061" t="s">
        <v>5867</v>
      </c>
      <c r="R84" s="43" t="s">
        <v>162</v>
      </c>
      <c r="S84" s="43" t="s">
        <v>5868</v>
      </c>
      <c r="T84" s="43" t="s">
        <v>5873</v>
      </c>
      <c r="U84" s="44">
        <v>46149</v>
      </c>
      <c r="V84" s="953">
        <v>0.36805555555555558</v>
      </c>
      <c r="W84" s="1325">
        <v>46149</v>
      </c>
      <c r="X84" s="955"/>
      <c r="Y84" s="43"/>
      <c r="Z84" s="43"/>
      <c r="AA84" s="46"/>
      <c r="AB84" s="244"/>
      <c r="AC84" s="1178"/>
      <c r="AD84" s="1178"/>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c r="DV84" s="43"/>
      <c r="DW84" s="43"/>
      <c r="DX84" s="43"/>
      <c r="DY84" s="43"/>
      <c r="DZ84" s="43"/>
      <c r="EA84" s="43"/>
      <c r="EB84" s="43"/>
      <c r="EC84" s="43"/>
      <c r="ED84" s="43"/>
      <c r="EE84" s="43"/>
      <c r="EF84" s="43"/>
      <c r="EG84" s="43"/>
      <c r="EH84" s="43"/>
      <c r="EI84" s="43"/>
      <c r="EJ84" s="43"/>
      <c r="EK84" s="43"/>
      <c r="EL84" s="43"/>
      <c r="EM84" s="43"/>
      <c r="EN84" s="43"/>
      <c r="EO84" s="43"/>
      <c r="EP84" s="43"/>
      <c r="EQ84" s="43"/>
      <c r="ER84" s="43"/>
      <c r="ES84" s="43"/>
      <c r="ET84" s="43"/>
      <c r="EU84" s="43"/>
      <c r="EV84" s="43"/>
      <c r="EW84" s="43"/>
      <c r="EX84" s="43"/>
      <c r="EY84" s="43"/>
      <c r="EZ84" s="43"/>
      <c r="FA84" s="43"/>
      <c r="FB84" s="43"/>
      <c r="FC84" s="43"/>
      <c r="FD84" s="43"/>
      <c r="FE84" s="43"/>
      <c r="FF84" s="43"/>
      <c r="FG84" s="43"/>
      <c r="FH84" s="43"/>
      <c r="FI84" s="43"/>
      <c r="FJ84" s="43"/>
      <c r="FK84" s="43"/>
      <c r="FL84" s="43"/>
      <c r="FM84" s="43"/>
      <c r="FN84" s="43"/>
      <c r="FO84" s="43"/>
      <c r="FP84" s="43"/>
      <c r="FQ84" s="43"/>
      <c r="FR84" s="43"/>
      <c r="FS84" s="43"/>
      <c r="FT84" s="43"/>
      <c r="FU84" s="43"/>
      <c r="FV84" s="43"/>
      <c r="FW84" s="43"/>
      <c r="FX84" s="43"/>
      <c r="FY84" s="43"/>
      <c r="FZ84" s="43"/>
      <c r="GA84" s="43"/>
      <c r="GB84" s="43"/>
      <c r="GC84" s="43"/>
      <c r="GD84" s="43"/>
      <c r="GE84" s="43"/>
      <c r="GF84" s="43"/>
      <c r="GG84" s="43"/>
      <c r="GH84" s="43"/>
      <c r="GI84" s="43"/>
      <c r="GJ84" s="43"/>
      <c r="GK84" s="43"/>
      <c r="GL84" s="43"/>
      <c r="GM84" s="43"/>
      <c r="GN84" s="43"/>
    </row>
    <row r="85" spans="1:196" ht="15" customHeight="1">
      <c r="A85" s="206"/>
      <c r="B85" s="1321">
        <v>84</v>
      </c>
      <c r="C85" s="43">
        <v>525673</v>
      </c>
      <c r="D85" s="1054" t="s">
        <v>6142</v>
      </c>
      <c r="E85" s="648" t="s">
        <v>6143</v>
      </c>
      <c r="F85" s="1224">
        <v>46147</v>
      </c>
      <c r="G85" s="1225">
        <v>49</v>
      </c>
      <c r="H85" s="44">
        <v>28202</v>
      </c>
      <c r="I85" s="1224">
        <v>46149</v>
      </c>
      <c r="J85" s="43" t="s">
        <v>5990</v>
      </c>
      <c r="K85" s="43" t="s">
        <v>6144</v>
      </c>
      <c r="L85" s="43" t="s">
        <v>461</v>
      </c>
      <c r="M85" s="1225">
        <v>991852131</v>
      </c>
      <c r="N85" s="43"/>
      <c r="O85" s="1169" t="s">
        <v>5865</v>
      </c>
      <c r="P85" s="1061" t="s">
        <v>5866</v>
      </c>
      <c r="Q85" s="1061" t="s">
        <v>5867</v>
      </c>
      <c r="R85" s="43" t="s">
        <v>162</v>
      </c>
      <c r="S85" s="43" t="s">
        <v>5868</v>
      </c>
      <c r="T85" s="43" t="s">
        <v>5873</v>
      </c>
      <c r="U85" s="44">
        <v>46149</v>
      </c>
      <c r="V85" s="953">
        <v>0.38194444444444442</v>
      </c>
      <c r="W85" s="1325">
        <v>46149</v>
      </c>
      <c r="X85" s="955"/>
      <c r="Y85" s="43"/>
      <c r="Z85" s="43"/>
      <c r="AA85" s="46"/>
      <c r="AB85" s="244"/>
      <c r="AC85" s="1178"/>
      <c r="AD85" s="1178"/>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c r="DW85" s="43"/>
      <c r="DX85" s="43"/>
      <c r="DY85" s="43"/>
      <c r="DZ85" s="43"/>
      <c r="EA85" s="43"/>
      <c r="EB85" s="43"/>
      <c r="EC85" s="43"/>
      <c r="ED85" s="43"/>
      <c r="EE85" s="43"/>
      <c r="EF85" s="43"/>
      <c r="EG85" s="43"/>
      <c r="EH85" s="43"/>
      <c r="EI85" s="43"/>
      <c r="EJ85" s="43"/>
      <c r="EK85" s="43"/>
      <c r="EL85" s="43"/>
      <c r="EM85" s="43"/>
      <c r="EN85" s="43"/>
      <c r="EO85" s="43"/>
      <c r="EP85" s="43"/>
      <c r="EQ85" s="43"/>
      <c r="ER85" s="43"/>
      <c r="ES85" s="43"/>
      <c r="ET85" s="43"/>
      <c r="EU85" s="43"/>
      <c r="EV85" s="43"/>
      <c r="EW85" s="43"/>
      <c r="EX85" s="43"/>
      <c r="EY85" s="43"/>
      <c r="EZ85" s="43"/>
      <c r="FA85" s="43"/>
      <c r="FB85" s="43"/>
      <c r="FC85" s="43"/>
      <c r="FD85" s="43"/>
      <c r="FE85" s="43"/>
      <c r="FF85" s="43"/>
      <c r="FG85" s="43"/>
      <c r="FH85" s="43"/>
      <c r="FI85" s="43"/>
      <c r="FJ85" s="43"/>
      <c r="FK85" s="43"/>
      <c r="FL85" s="43"/>
      <c r="FM85" s="43"/>
      <c r="FN85" s="43"/>
      <c r="FO85" s="43"/>
      <c r="FP85" s="43"/>
      <c r="FQ85" s="43"/>
      <c r="FR85" s="43"/>
      <c r="FS85" s="43"/>
      <c r="FT85" s="43"/>
      <c r="FU85" s="43"/>
      <c r="FV85" s="43"/>
      <c r="FW85" s="43"/>
      <c r="FX85" s="43"/>
      <c r="FY85" s="43"/>
      <c r="FZ85" s="43"/>
      <c r="GA85" s="43"/>
      <c r="GB85" s="43"/>
      <c r="GC85" s="43"/>
      <c r="GD85" s="43"/>
      <c r="GE85" s="43"/>
      <c r="GF85" s="43"/>
      <c r="GG85" s="43"/>
      <c r="GH85" s="43"/>
      <c r="GI85" s="43"/>
      <c r="GJ85" s="43"/>
      <c r="GK85" s="43"/>
      <c r="GL85" s="43"/>
      <c r="GM85" s="43"/>
      <c r="GN85" s="43"/>
    </row>
    <row r="86" spans="1:196" ht="15" customHeight="1">
      <c r="A86" s="206"/>
      <c r="B86" s="1330">
        <v>85</v>
      </c>
      <c r="C86" s="43">
        <v>525679</v>
      </c>
      <c r="D86" s="1054" t="s">
        <v>6145</v>
      </c>
      <c r="E86" s="648" t="s">
        <v>6146</v>
      </c>
      <c r="F86" s="44">
        <v>46144</v>
      </c>
      <c r="G86" s="1225">
        <v>56</v>
      </c>
      <c r="H86" s="44">
        <v>25464</v>
      </c>
      <c r="I86" s="1224">
        <v>46149</v>
      </c>
      <c r="J86" s="43" t="s">
        <v>5996</v>
      </c>
      <c r="K86" s="43" t="s">
        <v>6147</v>
      </c>
      <c r="L86" s="43" t="s">
        <v>461</v>
      </c>
      <c r="M86" s="1225">
        <v>964838465</v>
      </c>
      <c r="N86" s="43"/>
      <c r="O86" s="1169" t="s">
        <v>5865</v>
      </c>
      <c r="P86" s="1061" t="s">
        <v>5866</v>
      </c>
      <c r="Q86" s="1061" t="s">
        <v>5867</v>
      </c>
      <c r="R86" s="43" t="s">
        <v>162</v>
      </c>
      <c r="S86" s="43" t="s">
        <v>5868</v>
      </c>
      <c r="T86" s="43" t="s">
        <v>5873</v>
      </c>
      <c r="U86" s="44">
        <v>46149</v>
      </c>
      <c r="V86" s="953">
        <v>0.3923611111111111</v>
      </c>
      <c r="W86" s="1325">
        <v>46149</v>
      </c>
      <c r="X86" s="955"/>
      <c r="Y86" s="43"/>
      <c r="Z86" s="43"/>
      <c r="AA86" s="46"/>
      <c r="AB86" s="244"/>
      <c r="AC86" s="1178"/>
      <c r="AD86" s="1178"/>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c r="DV86" s="43"/>
      <c r="DW86" s="43"/>
      <c r="DX86" s="43"/>
      <c r="DY86" s="43"/>
      <c r="DZ86" s="43"/>
      <c r="EA86" s="43"/>
      <c r="EB86" s="43"/>
      <c r="EC86" s="43"/>
      <c r="ED86" s="43"/>
      <c r="EE86" s="43"/>
      <c r="EF86" s="43"/>
      <c r="EG86" s="43"/>
      <c r="EH86" s="43"/>
      <c r="EI86" s="43"/>
      <c r="EJ86" s="43"/>
      <c r="EK86" s="43"/>
      <c r="EL86" s="43"/>
      <c r="EM86" s="43"/>
      <c r="EN86" s="43"/>
      <c r="EO86" s="43"/>
      <c r="EP86" s="43"/>
      <c r="EQ86" s="43"/>
      <c r="ER86" s="43"/>
      <c r="ES86" s="43"/>
      <c r="ET86" s="43"/>
      <c r="EU86" s="43"/>
      <c r="EV86" s="43"/>
      <c r="EW86" s="43"/>
      <c r="EX86" s="43"/>
      <c r="EY86" s="43"/>
      <c r="EZ86" s="43"/>
      <c r="FA86" s="43"/>
      <c r="FB86" s="43"/>
      <c r="FC86" s="43"/>
      <c r="FD86" s="43"/>
      <c r="FE86" s="43"/>
      <c r="FF86" s="43"/>
      <c r="FG86" s="43"/>
      <c r="FH86" s="43"/>
      <c r="FI86" s="43"/>
      <c r="FJ86" s="43"/>
      <c r="FK86" s="43"/>
      <c r="FL86" s="43"/>
      <c r="FM86" s="43"/>
      <c r="FN86" s="43"/>
      <c r="FO86" s="43"/>
      <c r="FP86" s="43"/>
      <c r="FQ86" s="43"/>
      <c r="FR86" s="43"/>
      <c r="FS86" s="43"/>
      <c r="FT86" s="43"/>
      <c r="FU86" s="43"/>
      <c r="FV86" s="43"/>
      <c r="FW86" s="43"/>
      <c r="FX86" s="43"/>
      <c r="FY86" s="43"/>
      <c r="FZ86" s="43"/>
      <c r="GA86" s="43"/>
      <c r="GB86" s="43"/>
      <c r="GC86" s="43"/>
      <c r="GD86" s="43"/>
      <c r="GE86" s="43"/>
      <c r="GF86" s="43"/>
      <c r="GG86" s="43"/>
      <c r="GH86" s="43"/>
      <c r="GI86" s="43"/>
      <c r="GJ86" s="43"/>
      <c r="GK86" s="43"/>
      <c r="GL86" s="43"/>
      <c r="GM86" s="43"/>
      <c r="GN86" s="43"/>
    </row>
    <row r="87" spans="1:196" ht="15" customHeight="1">
      <c r="A87" s="207" t="s">
        <v>219</v>
      </c>
      <c r="B87" s="1330">
        <v>86</v>
      </c>
      <c r="C87" s="132">
        <v>525063</v>
      </c>
      <c r="D87" s="1342">
        <v>41169410</v>
      </c>
      <c r="E87" s="137" t="s">
        <v>5313</v>
      </c>
      <c r="F87" s="133">
        <v>46130</v>
      </c>
      <c r="G87" s="1343">
        <v>44</v>
      </c>
      <c r="H87" s="133">
        <v>29915</v>
      </c>
      <c r="I87" s="133">
        <v>46130</v>
      </c>
      <c r="J87" s="132" t="s">
        <v>6148</v>
      </c>
      <c r="K87" s="132" t="s">
        <v>5314</v>
      </c>
      <c r="L87" s="132" t="s">
        <v>2724</v>
      </c>
      <c r="M87" s="1343">
        <v>969750225</v>
      </c>
      <c r="N87" s="132">
        <v>967875048</v>
      </c>
      <c r="O87" s="1169" t="s">
        <v>5865</v>
      </c>
      <c r="P87" s="1061" t="s">
        <v>5866</v>
      </c>
      <c r="Q87" s="1061" t="s">
        <v>5867</v>
      </c>
      <c r="R87" s="132" t="s">
        <v>238</v>
      </c>
      <c r="S87" s="132" t="s">
        <v>5868</v>
      </c>
      <c r="T87" s="132" t="s">
        <v>5869</v>
      </c>
      <c r="U87" s="299">
        <v>46130</v>
      </c>
      <c r="V87" s="1344">
        <v>0.46527777777777779</v>
      </c>
      <c r="W87" s="299">
        <v>46130</v>
      </c>
      <c r="X87" s="966" t="s">
        <v>5315</v>
      </c>
      <c r="Y87" s="267" t="s">
        <v>260</v>
      </c>
      <c r="Z87" s="132" t="s">
        <v>5316</v>
      </c>
      <c r="AA87" s="998">
        <v>46133</v>
      </c>
      <c r="AB87" s="974"/>
      <c r="AC87" s="137" t="s">
        <v>6149</v>
      </c>
      <c r="AD87" s="137"/>
      <c r="AE87" s="137"/>
      <c r="AF87" s="132"/>
      <c r="AG87" s="132"/>
      <c r="AH87" s="132"/>
      <c r="AI87" s="132"/>
      <c r="AJ87" s="132"/>
      <c r="AK87" s="132"/>
      <c r="AL87" s="132"/>
      <c r="AM87" s="132"/>
      <c r="AN87" s="132"/>
      <c r="AO87" s="132"/>
      <c r="AP87" s="132"/>
      <c r="AQ87" s="132"/>
      <c r="AR87" s="132"/>
      <c r="AS87" s="1345"/>
      <c r="AT87" s="132"/>
      <c r="AU87" s="132"/>
      <c r="AV87" s="132"/>
      <c r="AW87" s="132"/>
      <c r="AX87" s="132"/>
      <c r="AY87" s="132"/>
      <c r="AZ87" s="132"/>
      <c r="BA87" s="132"/>
      <c r="BB87" s="132"/>
      <c r="BC87" s="132"/>
      <c r="BD87" s="132"/>
      <c r="BE87" s="132"/>
      <c r="BF87" s="132"/>
      <c r="BG87" s="132"/>
      <c r="BH87" s="132"/>
      <c r="BI87" s="132"/>
      <c r="BJ87" s="132"/>
      <c r="BK87" s="132"/>
      <c r="BL87" s="132"/>
      <c r="BM87" s="132"/>
      <c r="BN87" s="132"/>
      <c r="BO87" s="132"/>
      <c r="BP87" s="132"/>
      <c r="BQ87" s="132"/>
      <c r="BR87" s="132"/>
      <c r="BS87" s="132"/>
      <c r="BT87" s="132"/>
      <c r="BU87" s="132"/>
      <c r="BV87" s="132"/>
      <c r="BW87" s="132"/>
      <c r="BX87" s="132"/>
      <c r="BY87" s="132"/>
      <c r="BZ87" s="132"/>
      <c r="CA87" s="132"/>
      <c r="CB87" s="132"/>
      <c r="CC87" s="132"/>
      <c r="CD87" s="132"/>
      <c r="CE87" s="132"/>
      <c r="CF87" s="132"/>
      <c r="CG87" s="132"/>
      <c r="CH87" s="132"/>
      <c r="CI87" s="132"/>
      <c r="CJ87" s="132"/>
      <c r="CK87" s="132"/>
      <c r="CL87" s="132"/>
      <c r="CM87" s="132"/>
      <c r="CN87" s="132"/>
      <c r="CO87" s="132"/>
      <c r="CP87" s="132"/>
      <c r="CQ87" s="132"/>
      <c r="CR87" s="132"/>
      <c r="CS87" s="132"/>
      <c r="CT87" s="132"/>
      <c r="CU87" s="132"/>
      <c r="CV87" s="132"/>
      <c r="CW87" s="132"/>
      <c r="CX87" s="132"/>
      <c r="CY87" s="132"/>
      <c r="CZ87" s="132"/>
      <c r="DA87" s="132"/>
      <c r="DB87" s="132"/>
      <c r="DC87" s="132"/>
      <c r="DD87" s="132"/>
      <c r="DE87" s="132"/>
      <c r="DF87" s="132"/>
      <c r="DG87" s="132"/>
      <c r="DH87" s="132"/>
      <c r="DI87" s="132"/>
      <c r="DJ87" s="132"/>
      <c r="DK87" s="132"/>
      <c r="DL87" s="132"/>
      <c r="DM87" s="132"/>
      <c r="DN87" s="132"/>
      <c r="DO87" s="132"/>
      <c r="DP87" s="132"/>
      <c r="DQ87" s="132"/>
      <c r="DR87" s="132"/>
      <c r="DS87" s="132"/>
      <c r="DT87" s="132"/>
      <c r="DU87" s="132"/>
      <c r="DV87" s="132"/>
      <c r="DW87" s="132"/>
      <c r="DX87" s="132"/>
      <c r="DY87" s="132"/>
      <c r="DZ87" s="132"/>
      <c r="EA87" s="132"/>
      <c r="EB87" s="132"/>
      <c r="EC87" s="132"/>
      <c r="ED87" s="132"/>
      <c r="EE87" s="132"/>
      <c r="EF87" s="132"/>
      <c r="EG87" s="132"/>
      <c r="EH87" s="132"/>
      <c r="EI87" s="132"/>
      <c r="EJ87" s="132"/>
      <c r="EK87" s="132"/>
      <c r="EL87" s="132"/>
      <c r="EM87" s="132"/>
      <c r="EN87" s="132"/>
      <c r="EO87" s="132"/>
      <c r="EP87" s="132"/>
      <c r="EQ87" s="132"/>
      <c r="ER87" s="132"/>
      <c r="ES87" s="132"/>
      <c r="ET87" s="132"/>
      <c r="EU87" s="132"/>
      <c r="EV87" s="132"/>
      <c r="EW87" s="132"/>
      <c r="EX87" s="132"/>
      <c r="EY87" s="132"/>
      <c r="EZ87" s="132"/>
      <c r="FA87" s="132"/>
      <c r="FB87" s="132"/>
      <c r="FC87" s="132"/>
      <c r="FD87" s="132"/>
      <c r="FE87" s="132"/>
      <c r="FF87" s="132"/>
      <c r="FG87" s="132"/>
      <c r="FH87" s="132"/>
      <c r="FI87" s="132"/>
      <c r="FJ87" s="132"/>
      <c r="FK87" s="132"/>
      <c r="FL87" s="132"/>
      <c r="FM87" s="132"/>
      <c r="FN87" s="132"/>
      <c r="FO87" s="132"/>
      <c r="FP87" s="132"/>
      <c r="FQ87" s="132"/>
      <c r="FR87" s="132"/>
      <c r="FS87" s="132"/>
      <c r="FT87" s="132"/>
      <c r="FU87" s="132"/>
      <c r="FV87" s="132"/>
      <c r="FW87" s="132"/>
      <c r="FX87" s="132"/>
      <c r="FY87" s="132"/>
      <c r="FZ87" s="132"/>
      <c r="GA87" s="132"/>
      <c r="GB87" s="132"/>
      <c r="GC87" s="132"/>
      <c r="GD87" s="132"/>
      <c r="GE87" s="132"/>
      <c r="GF87" s="132"/>
      <c r="GG87" s="132"/>
      <c r="GH87" s="132"/>
      <c r="GI87" s="132"/>
      <c r="GJ87" s="132"/>
      <c r="GK87" s="132"/>
      <c r="GL87" s="43"/>
      <c r="GM87" s="43"/>
      <c r="GN87" s="43"/>
    </row>
    <row r="88" spans="1:196" ht="15" customHeight="1">
      <c r="A88" s="206"/>
      <c r="B88" s="1321">
        <v>87</v>
      </c>
      <c r="C88" s="43">
        <v>213360</v>
      </c>
      <c r="D88" s="1054" t="s">
        <v>6150</v>
      </c>
      <c r="E88" s="648" t="s">
        <v>6151</v>
      </c>
      <c r="F88" s="44">
        <v>46149</v>
      </c>
      <c r="G88" s="1225">
        <v>49</v>
      </c>
      <c r="H88" s="44">
        <v>28240</v>
      </c>
      <c r="I88" s="44">
        <v>46149</v>
      </c>
      <c r="J88" s="43" t="s">
        <v>6152</v>
      </c>
      <c r="K88" s="43" t="s">
        <v>6153</v>
      </c>
      <c r="L88" s="43" t="s">
        <v>278</v>
      </c>
      <c r="M88" s="1225">
        <v>934065347</v>
      </c>
      <c r="N88" s="43"/>
      <c r="O88" s="1169" t="s">
        <v>5865</v>
      </c>
      <c r="P88" s="1061" t="s">
        <v>5866</v>
      </c>
      <c r="Q88" s="1061" t="s">
        <v>5867</v>
      </c>
      <c r="R88" s="43" t="s">
        <v>238</v>
      </c>
      <c r="S88" s="43" t="s">
        <v>6154</v>
      </c>
      <c r="T88" s="43" t="s">
        <v>5869</v>
      </c>
      <c r="U88" s="44">
        <v>46149</v>
      </c>
      <c r="V88" s="953">
        <v>0.4201388888888889</v>
      </c>
      <c r="W88" s="1325">
        <v>46149</v>
      </c>
      <c r="X88" s="955"/>
      <c r="Y88" s="43"/>
      <c r="Z88" s="43"/>
      <c r="AA88" s="46"/>
      <c r="AB88" s="244"/>
      <c r="AC88" s="1178"/>
      <c r="AD88" s="1178"/>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c r="DV88" s="43"/>
      <c r="DW88" s="43"/>
      <c r="DX88" s="43"/>
      <c r="DY88" s="43"/>
      <c r="DZ88" s="43"/>
      <c r="EA88" s="43"/>
      <c r="EB88" s="43"/>
      <c r="EC88" s="43"/>
      <c r="ED88" s="43"/>
      <c r="EE88" s="43"/>
      <c r="EF88" s="43"/>
      <c r="EG88" s="43"/>
      <c r="EH88" s="43"/>
      <c r="EI88" s="43"/>
      <c r="EJ88" s="43"/>
      <c r="EK88" s="43"/>
      <c r="EL88" s="43"/>
      <c r="EM88" s="43"/>
      <c r="EN88" s="43"/>
      <c r="EO88" s="43"/>
      <c r="EP88" s="43"/>
      <c r="EQ88" s="43"/>
      <c r="ER88" s="43"/>
      <c r="ES88" s="43"/>
      <c r="ET88" s="43"/>
      <c r="EU88" s="43"/>
      <c r="EV88" s="43"/>
      <c r="EW88" s="43"/>
      <c r="EX88" s="43"/>
      <c r="EY88" s="43"/>
      <c r="EZ88" s="43"/>
      <c r="FA88" s="43"/>
      <c r="FB88" s="43"/>
      <c r="FC88" s="43"/>
      <c r="FD88" s="43"/>
      <c r="FE88" s="43"/>
      <c r="FF88" s="43"/>
      <c r="FG88" s="43"/>
      <c r="FH88" s="43"/>
      <c r="FI88" s="43"/>
      <c r="FJ88" s="43"/>
      <c r="FK88" s="43"/>
      <c r="FL88" s="43"/>
      <c r="FM88" s="43"/>
      <c r="FN88" s="43"/>
      <c r="FO88" s="43"/>
      <c r="FP88" s="43"/>
      <c r="FQ88" s="43"/>
      <c r="FR88" s="43"/>
      <c r="FS88" s="43"/>
      <c r="FT88" s="43"/>
      <c r="FU88" s="43"/>
      <c r="FV88" s="43"/>
      <c r="FW88" s="43"/>
      <c r="FX88" s="43"/>
      <c r="FY88" s="43"/>
      <c r="FZ88" s="43"/>
      <c r="GA88" s="43"/>
      <c r="GB88" s="43"/>
      <c r="GC88" s="43"/>
      <c r="GD88" s="43"/>
      <c r="GE88" s="43"/>
      <c r="GF88" s="43"/>
      <c r="GG88" s="43"/>
      <c r="GH88" s="43"/>
      <c r="GI88" s="43"/>
      <c r="GJ88" s="43"/>
      <c r="GK88" s="43"/>
      <c r="GL88" s="43"/>
      <c r="GM88" s="43"/>
      <c r="GN88" s="43"/>
    </row>
    <row r="89" spans="1:196" ht="15" customHeight="1">
      <c r="A89" s="206"/>
      <c r="B89" s="1330">
        <v>88</v>
      </c>
      <c r="C89" s="43">
        <v>116921</v>
      </c>
      <c r="D89" s="1054" t="s">
        <v>6155</v>
      </c>
      <c r="E89" s="648" t="s">
        <v>6156</v>
      </c>
      <c r="F89" s="44">
        <v>46149</v>
      </c>
      <c r="G89" s="1225">
        <v>60</v>
      </c>
      <c r="H89" s="43" t="s">
        <v>6157</v>
      </c>
      <c r="I89" s="44">
        <v>46149</v>
      </c>
      <c r="J89" s="43" t="s">
        <v>5877</v>
      </c>
      <c r="K89" s="43" t="s">
        <v>6158</v>
      </c>
      <c r="L89" s="112" t="s">
        <v>432</v>
      </c>
      <c r="M89" s="1225">
        <v>951761070</v>
      </c>
      <c r="N89" s="43"/>
      <c r="O89" s="1169" t="s">
        <v>5865</v>
      </c>
      <c r="P89" s="1061" t="s">
        <v>5866</v>
      </c>
      <c r="Q89" s="1061" t="s">
        <v>5867</v>
      </c>
      <c r="R89" s="43" t="s">
        <v>238</v>
      </c>
      <c r="S89" s="43" t="s">
        <v>5868</v>
      </c>
      <c r="T89" s="43" t="s">
        <v>5873</v>
      </c>
      <c r="U89" s="44">
        <v>46149</v>
      </c>
      <c r="V89" s="953">
        <v>0.43402777777777779</v>
      </c>
      <c r="W89" s="1325">
        <v>46149</v>
      </c>
      <c r="X89" s="955"/>
      <c r="Y89" s="43"/>
      <c r="Z89" s="43"/>
      <c r="AA89" s="46"/>
      <c r="AB89" s="244"/>
      <c r="AC89" s="1178"/>
      <c r="AD89" s="1178"/>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c r="DX89" s="43"/>
      <c r="DY89" s="43"/>
      <c r="DZ89" s="43"/>
      <c r="EA89" s="43"/>
      <c r="EB89" s="43"/>
      <c r="EC89" s="43"/>
      <c r="ED89" s="43"/>
      <c r="EE89" s="43"/>
      <c r="EF89" s="43"/>
      <c r="EG89" s="43"/>
      <c r="EH89" s="43"/>
      <c r="EI89" s="43"/>
      <c r="EJ89" s="43"/>
      <c r="EK89" s="43"/>
      <c r="EL89" s="43"/>
      <c r="EM89" s="43"/>
      <c r="EN89" s="43"/>
      <c r="EO89" s="43"/>
      <c r="EP89" s="43"/>
      <c r="EQ89" s="43"/>
      <c r="ER89" s="43"/>
      <c r="ES89" s="43"/>
      <c r="ET89" s="43"/>
      <c r="EU89" s="43"/>
      <c r="EV89" s="43"/>
      <c r="EW89" s="43"/>
      <c r="EX89" s="43"/>
      <c r="EY89" s="43"/>
      <c r="EZ89" s="43"/>
      <c r="FA89" s="43"/>
      <c r="FB89" s="43"/>
      <c r="FC89" s="43"/>
      <c r="FD89" s="43"/>
      <c r="FE89" s="43"/>
      <c r="FF89" s="43"/>
      <c r="FG89" s="43"/>
      <c r="FH89" s="43"/>
      <c r="FI89" s="43"/>
      <c r="FJ89" s="43"/>
      <c r="FK89" s="43"/>
      <c r="FL89" s="43"/>
      <c r="FM89" s="43"/>
      <c r="FN89" s="43"/>
      <c r="FO89" s="43"/>
      <c r="FP89" s="43"/>
      <c r="FQ89" s="43"/>
      <c r="FR89" s="43"/>
      <c r="FS89" s="43"/>
      <c r="FT89" s="43"/>
      <c r="FU89" s="43"/>
      <c r="FV89" s="43"/>
      <c r="FW89" s="43"/>
      <c r="FX89" s="43"/>
      <c r="FY89" s="43"/>
      <c r="FZ89" s="43"/>
      <c r="GA89" s="43"/>
      <c r="GB89" s="43"/>
      <c r="GC89" s="43"/>
      <c r="GD89" s="43"/>
      <c r="GE89" s="43"/>
      <c r="GF89" s="43"/>
      <c r="GG89" s="43"/>
      <c r="GH89" s="43"/>
      <c r="GI89" s="43"/>
      <c r="GJ89" s="43"/>
      <c r="GK89" s="43"/>
      <c r="GL89" s="43"/>
      <c r="GM89" s="43"/>
      <c r="GN89" s="43"/>
    </row>
    <row r="90" spans="1:196" ht="15" customHeight="1">
      <c r="A90" s="1229"/>
      <c r="B90" s="1330">
        <v>89</v>
      </c>
      <c r="C90" s="1229">
        <v>227607</v>
      </c>
      <c r="D90" s="346">
        <v>44958632</v>
      </c>
      <c r="E90" s="1346" t="s">
        <v>6159</v>
      </c>
      <c r="F90" s="1233">
        <v>46148</v>
      </c>
      <c r="G90" s="1347">
        <v>45</v>
      </c>
      <c r="H90" s="1348" t="s">
        <v>6160</v>
      </c>
      <c r="I90" s="1233">
        <v>46149</v>
      </c>
      <c r="J90" s="1229" t="s">
        <v>6080</v>
      </c>
      <c r="K90" s="346" t="s">
        <v>6161</v>
      </c>
      <c r="L90" s="1349" t="s">
        <v>432</v>
      </c>
      <c r="M90" s="1347">
        <v>973165857</v>
      </c>
      <c r="N90" s="1229"/>
      <c r="O90" s="1169" t="s">
        <v>5865</v>
      </c>
      <c r="P90" s="1061" t="s">
        <v>5866</v>
      </c>
      <c r="Q90" s="1061" t="s">
        <v>5867</v>
      </c>
      <c r="R90" s="1229" t="s">
        <v>588</v>
      </c>
      <c r="S90" s="1229" t="s">
        <v>5868</v>
      </c>
      <c r="T90" s="1229" t="s">
        <v>5873</v>
      </c>
      <c r="U90" s="1233">
        <v>46149</v>
      </c>
      <c r="V90" s="1294">
        <v>0.44791666666666669</v>
      </c>
      <c r="W90" s="1325">
        <v>46149</v>
      </c>
      <c r="X90" s="1268"/>
      <c r="Y90" s="1240"/>
      <c r="Z90" s="1240"/>
      <c r="AA90" s="1240"/>
      <c r="AB90" s="1240"/>
      <c r="AC90" s="1241"/>
      <c r="AD90" s="1241"/>
      <c r="AE90" s="1241"/>
      <c r="AF90" s="1241"/>
      <c r="AG90" s="1241"/>
      <c r="AH90" s="1241"/>
      <c r="AI90" s="1241"/>
      <c r="AJ90" s="1241"/>
      <c r="AK90" s="1241"/>
      <c r="AL90" s="1241"/>
      <c r="AM90" s="1241"/>
      <c r="AN90" s="1241"/>
      <c r="AO90" s="1241"/>
      <c r="AP90" s="1241"/>
      <c r="AQ90" s="1241"/>
      <c r="AR90" s="1241"/>
      <c r="AS90" s="1241"/>
      <c r="AT90" s="1241"/>
      <c r="AU90" s="1241"/>
      <c r="AV90" s="1241"/>
      <c r="AW90" s="1241"/>
      <c r="AX90" s="1241"/>
      <c r="AY90" s="1241"/>
      <c r="AZ90" s="1241"/>
      <c r="BA90" s="1241"/>
      <c r="BB90" s="1241"/>
      <c r="BC90" s="1241"/>
      <c r="BD90" s="1241"/>
      <c r="BE90" s="1241"/>
      <c r="BF90" s="1241"/>
      <c r="BG90" s="1241"/>
      <c r="BH90" s="1241"/>
      <c r="BI90" s="1241"/>
      <c r="BJ90" s="1241"/>
      <c r="BK90" s="1241"/>
      <c r="BL90" s="1241"/>
      <c r="BM90" s="1241"/>
      <c r="BN90" s="1241"/>
      <c r="BO90" s="1241"/>
      <c r="BP90" s="1241"/>
      <c r="BQ90" s="1241"/>
      <c r="BR90" s="1241"/>
      <c r="BS90" s="1241"/>
      <c r="BT90" s="1241"/>
      <c r="BU90" s="1241"/>
      <c r="BV90" s="1241"/>
      <c r="BW90" s="1241"/>
      <c r="BX90" s="1241"/>
      <c r="BY90" s="1241"/>
      <c r="BZ90" s="1241"/>
      <c r="CA90" s="1241"/>
      <c r="CB90" s="1241"/>
      <c r="CC90" s="1241"/>
      <c r="CD90" s="1241"/>
      <c r="CE90" s="1241"/>
      <c r="CF90" s="1241"/>
      <c r="CG90" s="1241"/>
      <c r="CH90" s="1241"/>
      <c r="CI90" s="1241"/>
      <c r="CJ90" s="1241"/>
      <c r="CK90" s="1241"/>
      <c r="CL90" s="1241"/>
      <c r="CM90" s="1241"/>
      <c r="CN90" s="1241"/>
      <c r="CO90" s="1241"/>
      <c r="CP90" s="1241"/>
      <c r="CQ90" s="1241"/>
      <c r="CR90" s="1241"/>
      <c r="CS90" s="1241"/>
      <c r="CT90" s="1241"/>
      <c r="CU90" s="1241"/>
      <c r="CV90" s="1241"/>
      <c r="CW90" s="1241"/>
      <c r="CX90" s="1241"/>
      <c r="CY90" s="1241"/>
      <c r="CZ90" s="1241"/>
      <c r="DA90" s="1241"/>
      <c r="DB90" s="1241"/>
      <c r="DC90" s="1241"/>
      <c r="DD90" s="1241"/>
      <c r="DE90" s="1241"/>
      <c r="DF90" s="1241"/>
      <c r="DG90" s="1241"/>
      <c r="DH90" s="1241"/>
      <c r="DI90" s="1241"/>
      <c r="DJ90" s="1241"/>
      <c r="DK90" s="1241"/>
      <c r="DL90" s="1241"/>
      <c r="DM90" s="1241"/>
      <c r="DN90" s="1241"/>
      <c r="DO90" s="1241"/>
      <c r="DP90" s="1241"/>
      <c r="DQ90" s="1241"/>
      <c r="DR90" s="1241"/>
      <c r="DS90" s="1241"/>
      <c r="DT90" s="1241"/>
      <c r="DU90" s="1241"/>
      <c r="DV90" s="1241"/>
      <c r="DW90" s="1241"/>
      <c r="DX90" s="1241"/>
      <c r="DY90" s="1241"/>
      <c r="DZ90" s="1241"/>
      <c r="EA90" s="1241"/>
      <c r="EB90" s="1241"/>
      <c r="EC90" s="1241"/>
      <c r="ED90" s="1241"/>
      <c r="EE90" s="1241"/>
      <c r="EF90" s="1241"/>
      <c r="EG90" s="1241"/>
      <c r="EH90" s="1241"/>
      <c r="EI90" s="1241"/>
      <c r="EJ90" s="1241"/>
      <c r="EK90" s="1241"/>
      <c r="EL90" s="1241"/>
      <c r="EM90" s="1241"/>
      <c r="EN90" s="1241"/>
      <c r="EO90" s="1241"/>
      <c r="EP90" s="1241"/>
      <c r="EQ90" s="1241"/>
      <c r="ER90" s="1241"/>
      <c r="ES90" s="1241"/>
      <c r="ET90" s="1241"/>
      <c r="EU90" s="1241"/>
      <c r="EV90" s="1241"/>
      <c r="EW90" s="1241"/>
      <c r="EX90" s="1241"/>
      <c r="EY90" s="1241"/>
      <c r="EZ90" s="1241"/>
      <c r="FA90" s="1241"/>
      <c r="FB90" s="1241"/>
      <c r="FC90" s="1241"/>
      <c r="FD90" s="1241"/>
      <c r="FE90" s="1241"/>
      <c r="FF90" s="1241"/>
      <c r="FG90" s="1241"/>
      <c r="FH90" s="1241"/>
      <c r="FI90" s="1241"/>
      <c r="FJ90" s="1241"/>
      <c r="FK90" s="1241"/>
      <c r="FL90" s="1241"/>
      <c r="FM90" s="1241"/>
      <c r="FN90" s="1241"/>
      <c r="FO90" s="1241"/>
      <c r="FP90" s="1241"/>
      <c r="FQ90" s="1241"/>
      <c r="FR90" s="1241"/>
      <c r="FS90" s="1241"/>
      <c r="FT90" s="1241"/>
      <c r="FU90" s="1241"/>
      <c r="FV90" s="1241"/>
      <c r="FW90" s="1241"/>
      <c r="FX90" s="1241"/>
      <c r="FY90" s="1241"/>
      <c r="FZ90" s="1241"/>
      <c r="GA90" s="1241"/>
      <c r="GB90" s="1241"/>
      <c r="GC90" s="1241"/>
      <c r="GD90" s="1241"/>
      <c r="GE90" s="1241"/>
      <c r="GF90" s="1241"/>
      <c r="GG90" s="1241"/>
      <c r="GH90" s="1241"/>
      <c r="GI90" s="1241"/>
      <c r="GJ90" s="1241"/>
      <c r="GK90" s="43"/>
      <c r="GL90" s="43"/>
      <c r="GM90" s="43"/>
      <c r="GN90" s="43"/>
    </row>
    <row r="91" spans="1:196" ht="15" customHeight="1">
      <c r="A91" s="1350" t="s">
        <v>513</v>
      </c>
      <c r="B91" s="1321">
        <v>90</v>
      </c>
      <c r="C91" s="1262">
        <v>109731</v>
      </c>
      <c r="D91" s="1349">
        <v>15733406</v>
      </c>
      <c r="E91" s="1351" t="s">
        <v>6162</v>
      </c>
      <c r="F91" s="1266">
        <v>46146</v>
      </c>
      <c r="G91" s="1352">
        <v>54</v>
      </c>
      <c r="H91" s="1353">
        <v>26187</v>
      </c>
      <c r="I91" s="1266">
        <v>46149</v>
      </c>
      <c r="J91" s="1262" t="s">
        <v>6163</v>
      </c>
      <c r="K91" s="1349" t="s">
        <v>6164</v>
      </c>
      <c r="L91" s="1354" t="s">
        <v>2330</v>
      </c>
      <c r="M91" s="1352">
        <v>994750291</v>
      </c>
      <c r="N91" s="1355"/>
      <c r="O91" s="1169" t="s">
        <v>5865</v>
      </c>
      <c r="P91" s="1356" t="s">
        <v>5866</v>
      </c>
      <c r="Q91" s="849" t="s">
        <v>5867</v>
      </c>
      <c r="R91" s="1357" t="s">
        <v>347</v>
      </c>
      <c r="S91" s="1357" t="s">
        <v>5868</v>
      </c>
      <c r="T91" s="1357" t="s">
        <v>5873</v>
      </c>
      <c r="U91" s="1358">
        <v>46149</v>
      </c>
      <c r="V91" s="1359">
        <v>0.59027777777777779</v>
      </c>
      <c r="W91" s="1325">
        <v>46149</v>
      </c>
      <c r="X91" s="1360"/>
      <c r="Y91" s="1361"/>
      <c r="Z91" s="1361"/>
      <c r="AA91" s="1361"/>
      <c r="AB91" s="1361"/>
      <c r="AC91" s="1241"/>
      <c r="AD91" s="1241"/>
      <c r="AE91" s="1241"/>
      <c r="AF91" s="1241"/>
      <c r="AG91" s="1241"/>
      <c r="AH91" s="1241"/>
      <c r="AI91" s="1241"/>
      <c r="AJ91" s="1241"/>
      <c r="AK91" s="1241"/>
      <c r="AL91" s="1241"/>
      <c r="AM91" s="1241"/>
      <c r="AN91" s="1241"/>
      <c r="AO91" s="1241"/>
      <c r="AP91" s="1241"/>
      <c r="AQ91" s="1241"/>
      <c r="AR91" s="1241"/>
      <c r="AS91" s="1241"/>
      <c r="AT91" s="1241"/>
      <c r="AU91" s="1241"/>
      <c r="AV91" s="1241"/>
      <c r="AW91" s="1241"/>
      <c r="AX91" s="1241"/>
      <c r="AY91" s="1241"/>
      <c r="AZ91" s="1241"/>
      <c r="BA91" s="1241"/>
      <c r="BB91" s="1241"/>
      <c r="BC91" s="1241"/>
      <c r="BD91" s="1241"/>
      <c r="BE91" s="1241"/>
      <c r="BF91" s="1241"/>
      <c r="BG91" s="1241"/>
      <c r="BH91" s="1241"/>
      <c r="BI91" s="1241"/>
      <c r="BJ91" s="1241"/>
      <c r="BK91" s="1241"/>
      <c r="BL91" s="1241"/>
      <c r="BM91" s="1241"/>
      <c r="BN91" s="1241"/>
      <c r="BO91" s="1241"/>
      <c r="BP91" s="1241"/>
      <c r="BQ91" s="1241"/>
      <c r="BR91" s="1241"/>
      <c r="BS91" s="1241"/>
      <c r="BT91" s="1241"/>
      <c r="BU91" s="1241"/>
      <c r="BV91" s="1241"/>
      <c r="BW91" s="1241"/>
      <c r="BX91" s="1241"/>
      <c r="BY91" s="1241"/>
      <c r="BZ91" s="1241"/>
      <c r="CA91" s="1241"/>
      <c r="CB91" s="1241"/>
      <c r="CC91" s="1241"/>
      <c r="CD91" s="1241"/>
      <c r="CE91" s="1241"/>
      <c r="CF91" s="1241"/>
      <c r="CG91" s="1241"/>
      <c r="CH91" s="1241"/>
      <c r="CI91" s="1241"/>
      <c r="CJ91" s="1241"/>
      <c r="CK91" s="1241"/>
      <c r="CL91" s="1241"/>
      <c r="CM91" s="1241"/>
      <c r="CN91" s="1241"/>
      <c r="CO91" s="1241"/>
      <c r="CP91" s="1241"/>
      <c r="CQ91" s="1241"/>
      <c r="CR91" s="1241"/>
      <c r="CS91" s="1241"/>
      <c r="CT91" s="1241"/>
      <c r="CU91" s="1241"/>
      <c r="CV91" s="1241"/>
      <c r="CW91" s="1241"/>
      <c r="CX91" s="1241"/>
      <c r="CY91" s="1241"/>
      <c r="CZ91" s="1241"/>
      <c r="DA91" s="1241"/>
      <c r="DB91" s="1241"/>
      <c r="DC91" s="1241"/>
      <c r="DD91" s="1241"/>
      <c r="DE91" s="1241"/>
      <c r="DF91" s="1241"/>
      <c r="DG91" s="1241"/>
      <c r="DH91" s="1241"/>
      <c r="DI91" s="1241"/>
      <c r="DJ91" s="1241"/>
      <c r="DK91" s="1241"/>
      <c r="DL91" s="1241"/>
      <c r="DM91" s="1241"/>
      <c r="DN91" s="1241"/>
      <c r="DO91" s="1241"/>
      <c r="DP91" s="1241"/>
      <c r="DQ91" s="1241"/>
      <c r="DR91" s="1241"/>
      <c r="DS91" s="1241"/>
      <c r="DT91" s="1241"/>
      <c r="DU91" s="1241"/>
      <c r="DV91" s="1241"/>
      <c r="DW91" s="1241"/>
      <c r="DX91" s="1241"/>
      <c r="DY91" s="1241"/>
      <c r="DZ91" s="1241"/>
      <c r="EA91" s="1241"/>
      <c r="EB91" s="1241"/>
      <c r="EC91" s="1241"/>
      <c r="ED91" s="1241"/>
      <c r="EE91" s="1241"/>
      <c r="EF91" s="1241"/>
      <c r="EG91" s="1241"/>
      <c r="EH91" s="1241"/>
      <c r="EI91" s="1241"/>
      <c r="EJ91" s="1241"/>
      <c r="EK91" s="1241"/>
      <c r="EL91" s="1241"/>
      <c r="EM91" s="1241"/>
      <c r="EN91" s="1241"/>
      <c r="EO91" s="1241"/>
      <c r="EP91" s="1241"/>
      <c r="EQ91" s="1241"/>
      <c r="ER91" s="1241"/>
      <c r="ES91" s="1241"/>
      <c r="ET91" s="1241"/>
      <c r="EU91" s="1241"/>
      <c r="EV91" s="1241"/>
      <c r="EW91" s="1241"/>
      <c r="EX91" s="1241"/>
      <c r="EY91" s="1241"/>
      <c r="EZ91" s="1241"/>
      <c r="FA91" s="1241"/>
      <c r="FB91" s="1241"/>
      <c r="FC91" s="1241"/>
      <c r="FD91" s="1241"/>
      <c r="FE91" s="1241"/>
      <c r="FF91" s="1241"/>
      <c r="FG91" s="1241"/>
      <c r="FH91" s="1241"/>
      <c r="FI91" s="1241"/>
      <c r="FJ91" s="1241"/>
      <c r="FK91" s="1241"/>
      <c r="FL91" s="1241"/>
      <c r="FM91" s="1241"/>
      <c r="FN91" s="1241"/>
      <c r="FO91" s="1241"/>
      <c r="FP91" s="1241"/>
      <c r="FQ91" s="1241"/>
      <c r="FR91" s="1241"/>
      <c r="FS91" s="1241"/>
      <c r="FT91" s="1241"/>
      <c r="FU91" s="1241"/>
      <c r="FV91" s="1241"/>
      <c r="FW91" s="1241"/>
      <c r="FX91" s="1241"/>
      <c r="FY91" s="1241"/>
      <c r="FZ91" s="1241"/>
      <c r="GA91" s="1241"/>
      <c r="GB91" s="1241"/>
      <c r="GC91" s="1241"/>
      <c r="GD91" s="1241"/>
      <c r="GE91" s="1241"/>
      <c r="GF91" s="1241"/>
      <c r="GG91" s="1241"/>
      <c r="GH91" s="1241"/>
      <c r="GI91" s="1241"/>
      <c r="GJ91" s="1241"/>
      <c r="GK91" s="43"/>
      <c r="GL91" s="43"/>
      <c r="GM91" s="43"/>
      <c r="GN91" s="43"/>
    </row>
    <row r="92" spans="1:196" ht="15" customHeight="1">
      <c r="A92" s="206"/>
      <c r="B92" s="1330">
        <v>91</v>
      </c>
      <c r="C92" s="43">
        <v>234109</v>
      </c>
      <c r="D92" s="1054" t="s">
        <v>6165</v>
      </c>
      <c r="E92" s="648" t="s">
        <v>6166</v>
      </c>
      <c r="F92" s="44">
        <v>46147</v>
      </c>
      <c r="G92" s="1225">
        <v>48</v>
      </c>
      <c r="H92" s="44">
        <v>28848</v>
      </c>
      <c r="I92" s="44">
        <v>46149</v>
      </c>
      <c r="J92" s="43" t="s">
        <v>5877</v>
      </c>
      <c r="K92" s="43" t="s">
        <v>6167</v>
      </c>
      <c r="L92" s="43" t="s">
        <v>278</v>
      </c>
      <c r="M92" s="1225">
        <v>952635306</v>
      </c>
      <c r="N92" s="43"/>
      <c r="O92" s="1169" t="s">
        <v>5865</v>
      </c>
      <c r="P92" s="1061" t="s">
        <v>5866</v>
      </c>
      <c r="Q92" s="1061" t="s">
        <v>5867</v>
      </c>
      <c r="R92" s="43" t="s">
        <v>1012</v>
      </c>
      <c r="S92" s="43" t="s">
        <v>5868</v>
      </c>
      <c r="T92" s="43" t="s">
        <v>5873</v>
      </c>
      <c r="U92" s="44">
        <v>46149</v>
      </c>
      <c r="V92" s="953">
        <v>0.60416666666666663</v>
      </c>
      <c r="W92" s="1325">
        <v>46149</v>
      </c>
      <c r="X92" s="955"/>
      <c r="Y92" s="43"/>
      <c r="Z92" s="43"/>
      <c r="AA92" s="46"/>
      <c r="AB92" s="244"/>
      <c r="AC92" s="1178"/>
      <c r="AD92" s="1178"/>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c r="DV92" s="43"/>
      <c r="DW92" s="43"/>
      <c r="DX92" s="43"/>
      <c r="DY92" s="43"/>
      <c r="DZ92" s="43"/>
      <c r="EA92" s="43"/>
      <c r="EB92" s="43"/>
      <c r="EC92" s="43"/>
      <c r="ED92" s="43"/>
      <c r="EE92" s="43"/>
      <c r="EF92" s="43"/>
      <c r="EG92" s="43"/>
      <c r="EH92" s="43"/>
      <c r="EI92" s="43"/>
      <c r="EJ92" s="43"/>
      <c r="EK92" s="43"/>
      <c r="EL92" s="43"/>
      <c r="EM92" s="43"/>
      <c r="EN92" s="43"/>
      <c r="EO92" s="43"/>
      <c r="EP92" s="43"/>
      <c r="EQ92" s="43"/>
      <c r="ER92" s="43"/>
      <c r="ES92" s="43"/>
      <c r="ET92" s="43"/>
      <c r="EU92" s="43"/>
      <c r="EV92" s="43"/>
      <c r="EW92" s="43"/>
      <c r="EX92" s="43"/>
      <c r="EY92" s="43"/>
      <c r="EZ92" s="43"/>
      <c r="FA92" s="43"/>
      <c r="FB92" s="43"/>
      <c r="FC92" s="43"/>
      <c r="FD92" s="43"/>
      <c r="FE92" s="43"/>
      <c r="FF92" s="43"/>
      <c r="FG92" s="43"/>
      <c r="FH92" s="43"/>
      <c r="FI92" s="43"/>
      <c r="FJ92" s="43"/>
      <c r="FK92" s="43"/>
      <c r="FL92" s="43"/>
      <c r="FM92" s="43"/>
      <c r="FN92" s="43"/>
      <c r="FO92" s="43"/>
      <c r="FP92" s="43"/>
      <c r="FQ92" s="43"/>
      <c r="FR92" s="43"/>
      <c r="FS92" s="43"/>
      <c r="FT92" s="43"/>
      <c r="FU92" s="43"/>
      <c r="FV92" s="43"/>
      <c r="FW92" s="43"/>
      <c r="FX92" s="43"/>
      <c r="FY92" s="43"/>
      <c r="FZ92" s="43"/>
      <c r="GA92" s="43"/>
      <c r="GB92" s="43"/>
      <c r="GC92" s="43"/>
      <c r="GD92" s="43"/>
      <c r="GE92" s="43"/>
      <c r="GF92" s="43"/>
      <c r="GG92" s="43"/>
      <c r="GH92" s="43"/>
      <c r="GI92" s="43"/>
      <c r="GJ92" s="43"/>
      <c r="GK92" s="43"/>
      <c r="GL92" s="43"/>
      <c r="GM92" s="43"/>
      <c r="GN92" s="43"/>
    </row>
    <row r="93" spans="1:196" ht="15" customHeight="1">
      <c r="A93" s="1229"/>
      <c r="B93" s="1330">
        <v>92</v>
      </c>
      <c r="C93" s="1229">
        <v>324781</v>
      </c>
      <c r="D93" s="1362">
        <v>80570552</v>
      </c>
      <c r="E93" s="1363" t="s">
        <v>6168</v>
      </c>
      <c r="F93" s="1233">
        <v>46142</v>
      </c>
      <c r="G93" s="1364">
        <v>52</v>
      </c>
      <c r="H93" s="1365">
        <v>27323</v>
      </c>
      <c r="I93" s="1233">
        <v>46149</v>
      </c>
      <c r="J93" s="1229" t="s">
        <v>5996</v>
      </c>
      <c r="K93" s="1362" t="s">
        <v>6169</v>
      </c>
      <c r="L93" s="1362" t="s">
        <v>5864</v>
      </c>
      <c r="M93" s="1364">
        <v>970713172</v>
      </c>
      <c r="N93" s="1262"/>
      <c r="O93" s="1169" t="s">
        <v>5865</v>
      </c>
      <c r="P93" s="325" t="s">
        <v>5866</v>
      </c>
      <c r="Q93" s="1061" t="s">
        <v>5867</v>
      </c>
      <c r="R93" s="1262" t="s">
        <v>1905</v>
      </c>
      <c r="S93" s="1262" t="s">
        <v>5953</v>
      </c>
      <c r="T93" s="1262" t="s">
        <v>5873</v>
      </c>
      <c r="U93" s="1266">
        <v>46149</v>
      </c>
      <c r="V93" s="1366">
        <v>0.61458333333333337</v>
      </c>
      <c r="W93" s="1325">
        <v>46149</v>
      </c>
      <c r="X93" s="1169"/>
      <c r="Y93" s="1169"/>
      <c r="Z93" s="1169"/>
      <c r="AA93" s="1169"/>
      <c r="AB93" s="1169"/>
      <c r="AC93" s="1169"/>
      <c r="AD93" s="1169"/>
      <c r="AE93" s="1169"/>
      <c r="AF93" s="1169"/>
      <c r="AG93" s="1169"/>
      <c r="AH93" s="1169"/>
      <c r="AI93" s="1169"/>
      <c r="AJ93" s="1169"/>
      <c r="AK93" s="1169"/>
      <c r="AL93" s="1169"/>
      <c r="AM93" s="1169"/>
      <c r="AN93" s="1169"/>
      <c r="AO93" s="1169"/>
      <c r="AP93" s="1169"/>
      <c r="AQ93" s="1169"/>
      <c r="AR93" s="1169"/>
      <c r="AS93" s="1169"/>
      <c r="AT93" s="1169"/>
      <c r="AU93" s="1169"/>
      <c r="AV93" s="1169"/>
      <c r="AW93" s="1169"/>
      <c r="AX93" s="1169"/>
      <c r="AY93" s="1169"/>
      <c r="AZ93" s="1169"/>
      <c r="BA93" s="1169"/>
      <c r="BB93" s="1169"/>
      <c r="BC93" s="1169"/>
      <c r="BD93" s="1169"/>
      <c r="BE93" s="1169"/>
      <c r="BF93" s="1169"/>
      <c r="BG93" s="1169"/>
      <c r="BH93" s="1169"/>
      <c r="BI93" s="1169"/>
      <c r="BJ93" s="1169"/>
      <c r="BK93" s="1169"/>
      <c r="BL93" s="1169"/>
      <c r="BM93" s="1169"/>
      <c r="BN93" s="1169"/>
      <c r="BO93" s="1169"/>
      <c r="BP93" s="1169"/>
      <c r="BQ93" s="1169"/>
      <c r="BR93" s="1169"/>
      <c r="BS93" s="1169"/>
      <c r="BT93" s="1169"/>
      <c r="BU93" s="1169"/>
      <c r="BV93" s="1169"/>
      <c r="BW93" s="1169"/>
      <c r="BX93" s="1169"/>
      <c r="BY93" s="1169"/>
      <c r="BZ93" s="1169"/>
      <c r="CA93" s="1169"/>
      <c r="CB93" s="1169"/>
      <c r="CC93" s="1169"/>
      <c r="CD93" s="1169"/>
      <c r="CE93" s="1169"/>
      <c r="CF93" s="1169"/>
      <c r="CG93" s="1169"/>
      <c r="CH93" s="1169"/>
      <c r="CI93" s="1169"/>
      <c r="CJ93" s="1169"/>
      <c r="CK93" s="1169"/>
      <c r="CL93" s="1169"/>
      <c r="CM93" s="1169"/>
      <c r="CN93" s="1169"/>
      <c r="CO93" s="1169"/>
      <c r="CP93" s="1169"/>
      <c r="CQ93" s="1169"/>
      <c r="CR93" s="1169"/>
      <c r="CS93" s="1169"/>
      <c r="CT93" s="1169"/>
      <c r="CU93" s="1169"/>
      <c r="CV93" s="1169"/>
      <c r="CW93" s="1169"/>
      <c r="CX93" s="1169"/>
      <c r="CY93" s="1169"/>
      <c r="CZ93" s="1169"/>
      <c r="DA93" s="1169"/>
      <c r="DB93" s="1169"/>
      <c r="DC93" s="1169"/>
      <c r="DD93" s="1169"/>
      <c r="DE93" s="1169"/>
      <c r="DF93" s="1169"/>
      <c r="DG93" s="1169"/>
      <c r="DH93" s="1169"/>
      <c r="DI93" s="1169"/>
      <c r="DJ93" s="1169"/>
      <c r="DK93" s="1169"/>
      <c r="DL93" s="1169"/>
      <c r="DM93" s="1169"/>
      <c r="DN93" s="1169"/>
      <c r="DO93" s="1169"/>
      <c r="DP93" s="1169"/>
      <c r="DQ93" s="1169"/>
      <c r="DR93" s="1169"/>
      <c r="DS93" s="1169"/>
      <c r="DT93" s="1169"/>
      <c r="DU93" s="1169"/>
      <c r="DV93" s="1169"/>
      <c r="DW93" s="1169"/>
      <c r="DX93" s="1169"/>
      <c r="DY93" s="1169"/>
      <c r="DZ93" s="1169"/>
      <c r="EA93" s="1169"/>
      <c r="EB93" s="1169"/>
      <c r="EC93" s="1169"/>
      <c r="ED93" s="1169"/>
      <c r="EE93" s="1169"/>
      <c r="EF93" s="1169"/>
      <c r="EG93" s="1169"/>
      <c r="EH93" s="1169"/>
      <c r="EI93" s="1169"/>
      <c r="EJ93" s="1169"/>
      <c r="EK93" s="1169"/>
      <c r="EL93" s="1169"/>
      <c r="EM93" s="1169"/>
      <c r="EN93" s="1169"/>
      <c r="EO93" s="1169"/>
      <c r="EP93" s="1169"/>
      <c r="EQ93" s="1169"/>
      <c r="ER93" s="1169"/>
      <c r="ES93" s="1169"/>
      <c r="ET93" s="1169"/>
      <c r="EU93" s="1169"/>
      <c r="EV93" s="1169"/>
      <c r="EW93" s="1169"/>
      <c r="EX93" s="1169"/>
      <c r="EY93" s="1169"/>
      <c r="EZ93" s="1169"/>
      <c r="FA93" s="1169"/>
      <c r="FB93" s="1169"/>
      <c r="FC93" s="1169"/>
      <c r="FD93" s="1169"/>
      <c r="FE93" s="1169"/>
      <c r="FF93" s="1169"/>
      <c r="FG93" s="1169"/>
      <c r="FH93" s="1169"/>
      <c r="FI93" s="1169"/>
      <c r="FJ93" s="1169"/>
      <c r="FK93" s="1169"/>
      <c r="FL93" s="1169"/>
      <c r="FM93" s="1169"/>
      <c r="FN93" s="1169"/>
      <c r="FO93" s="1169"/>
      <c r="FP93" s="1169"/>
      <c r="FQ93" s="1169"/>
      <c r="FR93" s="1169"/>
      <c r="FS93" s="1169"/>
      <c r="FT93" s="1169"/>
      <c r="FU93" s="1169"/>
      <c r="FV93" s="1169"/>
      <c r="FW93" s="1169"/>
      <c r="FX93" s="1169"/>
      <c r="FY93" s="1169"/>
      <c r="FZ93" s="1169"/>
      <c r="GA93" s="1169"/>
      <c r="GB93" s="1169"/>
      <c r="GC93" s="1169"/>
      <c r="GD93" s="1169"/>
      <c r="GE93" s="1169"/>
      <c r="GF93" s="1169"/>
      <c r="GG93" s="1169"/>
      <c r="GH93" s="1169"/>
      <c r="GI93" s="1169"/>
      <c r="GJ93" s="1169"/>
      <c r="GK93" s="43"/>
      <c r="GL93" s="43"/>
      <c r="GM93" s="43"/>
      <c r="GN93" s="43"/>
    </row>
    <row r="94" spans="1:196" ht="15" customHeight="1">
      <c r="A94" s="1229"/>
      <c r="B94" s="1321">
        <v>93</v>
      </c>
      <c r="C94" s="1229">
        <v>525683</v>
      </c>
      <c r="D94" s="1362">
        <v>41336616</v>
      </c>
      <c r="E94" s="1363" t="s">
        <v>6170</v>
      </c>
      <c r="F94" s="1233">
        <v>46146</v>
      </c>
      <c r="G94" s="1364">
        <v>44</v>
      </c>
      <c r="H94" s="1365">
        <v>29846</v>
      </c>
      <c r="I94" s="1233">
        <v>46149</v>
      </c>
      <c r="J94" s="1229" t="s">
        <v>5990</v>
      </c>
      <c r="K94" s="1362" t="s">
        <v>326</v>
      </c>
      <c r="L94" s="1362" t="s">
        <v>326</v>
      </c>
      <c r="M94" s="1364">
        <v>927419397</v>
      </c>
      <c r="N94" s="1243"/>
      <c r="O94" s="1240" t="s">
        <v>5865</v>
      </c>
      <c r="P94" s="1367" t="s">
        <v>5866</v>
      </c>
      <c r="Q94" s="1061" t="s">
        <v>5867</v>
      </c>
      <c r="R94" s="1229" t="s">
        <v>375</v>
      </c>
      <c r="S94" s="1229" t="s">
        <v>5868</v>
      </c>
      <c r="T94" s="1229" t="s">
        <v>5873</v>
      </c>
      <c r="U94" s="1233">
        <v>46149</v>
      </c>
      <c r="V94" s="1294">
        <v>0.625</v>
      </c>
      <c r="W94" s="1325">
        <v>46149</v>
      </c>
      <c r="X94" s="1268"/>
      <c r="Y94" s="1240"/>
      <c r="Z94" s="1240"/>
      <c r="AA94" s="1240"/>
      <c r="AB94" s="1240"/>
      <c r="AC94" s="1241"/>
      <c r="AD94" s="1241"/>
      <c r="AE94" s="1241"/>
      <c r="AF94" s="1241"/>
      <c r="AG94" s="1241"/>
      <c r="AH94" s="1241"/>
      <c r="AI94" s="1241"/>
      <c r="AJ94" s="1241"/>
      <c r="AK94" s="1241"/>
      <c r="AL94" s="1241"/>
      <c r="AM94" s="1241"/>
      <c r="AN94" s="1241"/>
      <c r="AO94" s="1241"/>
      <c r="AP94" s="1241"/>
      <c r="AQ94" s="1241"/>
      <c r="AR94" s="1241"/>
      <c r="AS94" s="1241"/>
      <c r="AT94" s="1241"/>
      <c r="AU94" s="1241"/>
      <c r="AV94" s="1241"/>
      <c r="AW94" s="1241"/>
      <c r="AX94" s="1241"/>
      <c r="AY94" s="1241"/>
      <c r="AZ94" s="1241"/>
      <c r="BA94" s="1241"/>
      <c r="BB94" s="1241"/>
      <c r="BC94" s="1241"/>
      <c r="BD94" s="1241"/>
      <c r="BE94" s="1241"/>
      <c r="BF94" s="1241"/>
      <c r="BG94" s="1241"/>
      <c r="BH94" s="1241"/>
      <c r="BI94" s="1241"/>
      <c r="BJ94" s="1241"/>
      <c r="BK94" s="1241"/>
      <c r="BL94" s="1241"/>
      <c r="BM94" s="1241"/>
      <c r="BN94" s="1241"/>
      <c r="BO94" s="1241"/>
      <c r="BP94" s="1241"/>
      <c r="BQ94" s="1241"/>
      <c r="BR94" s="1241"/>
      <c r="BS94" s="1241"/>
      <c r="BT94" s="1241"/>
      <c r="BU94" s="1241"/>
      <c r="BV94" s="1241"/>
      <c r="BW94" s="1241"/>
      <c r="BX94" s="1241"/>
      <c r="BY94" s="1241"/>
      <c r="BZ94" s="1241"/>
      <c r="CA94" s="1241"/>
      <c r="CB94" s="1241"/>
      <c r="CC94" s="1241"/>
      <c r="CD94" s="1241"/>
      <c r="CE94" s="1241"/>
      <c r="CF94" s="1241"/>
      <c r="CG94" s="1241"/>
      <c r="CH94" s="1241"/>
      <c r="CI94" s="1241"/>
      <c r="CJ94" s="1241"/>
      <c r="CK94" s="1241"/>
      <c r="CL94" s="1241"/>
      <c r="CM94" s="1241"/>
      <c r="CN94" s="1241"/>
      <c r="CO94" s="1241"/>
      <c r="CP94" s="1241"/>
      <c r="CQ94" s="1241"/>
      <c r="CR94" s="1241"/>
      <c r="CS94" s="1241"/>
      <c r="CT94" s="1241"/>
      <c r="CU94" s="1241"/>
      <c r="CV94" s="1241"/>
      <c r="CW94" s="1241"/>
      <c r="CX94" s="1241"/>
      <c r="CY94" s="1241"/>
      <c r="CZ94" s="1241"/>
      <c r="DA94" s="1241"/>
      <c r="DB94" s="1241"/>
      <c r="DC94" s="1241"/>
      <c r="DD94" s="1241"/>
      <c r="DE94" s="1241"/>
      <c r="DF94" s="1241"/>
      <c r="DG94" s="1241"/>
      <c r="DH94" s="1241"/>
      <c r="DI94" s="1241"/>
      <c r="DJ94" s="1241"/>
      <c r="DK94" s="1241"/>
      <c r="DL94" s="1241"/>
      <c r="DM94" s="1241"/>
      <c r="DN94" s="1241"/>
      <c r="DO94" s="1241"/>
      <c r="DP94" s="1241"/>
      <c r="DQ94" s="1241"/>
      <c r="DR94" s="1241"/>
      <c r="DS94" s="1241"/>
      <c r="DT94" s="1241"/>
      <c r="DU94" s="1241"/>
      <c r="DV94" s="1241"/>
      <c r="DW94" s="1241"/>
      <c r="DX94" s="1241"/>
      <c r="DY94" s="1241"/>
      <c r="DZ94" s="1241"/>
      <c r="EA94" s="1241"/>
      <c r="EB94" s="1241"/>
      <c r="EC94" s="1241"/>
      <c r="ED94" s="1241"/>
      <c r="EE94" s="1241"/>
      <c r="EF94" s="1241"/>
      <c r="EG94" s="1241"/>
      <c r="EH94" s="1241"/>
      <c r="EI94" s="1241"/>
      <c r="EJ94" s="1241"/>
      <c r="EK94" s="1241"/>
      <c r="EL94" s="1241"/>
      <c r="EM94" s="1241"/>
      <c r="EN94" s="1241"/>
      <c r="EO94" s="1241"/>
      <c r="EP94" s="1241"/>
      <c r="EQ94" s="1241"/>
      <c r="ER94" s="1241"/>
      <c r="ES94" s="1241"/>
      <c r="ET94" s="1241"/>
      <c r="EU94" s="1241"/>
      <c r="EV94" s="1241"/>
      <c r="EW94" s="1241"/>
      <c r="EX94" s="1241"/>
      <c r="EY94" s="1241"/>
      <c r="EZ94" s="1241"/>
      <c r="FA94" s="1241"/>
      <c r="FB94" s="1241"/>
      <c r="FC94" s="1241"/>
      <c r="FD94" s="1241"/>
      <c r="FE94" s="1241"/>
      <c r="FF94" s="1241"/>
      <c r="FG94" s="1241"/>
      <c r="FH94" s="1241"/>
      <c r="FI94" s="1241"/>
      <c r="FJ94" s="1241"/>
      <c r="FK94" s="1241"/>
      <c r="FL94" s="1241"/>
      <c r="FM94" s="1241"/>
      <c r="FN94" s="1241"/>
      <c r="FO94" s="1241"/>
      <c r="FP94" s="1241"/>
      <c r="FQ94" s="1241"/>
      <c r="FR94" s="1241"/>
      <c r="FS94" s="1241"/>
      <c r="FT94" s="1241"/>
      <c r="FU94" s="1241"/>
      <c r="FV94" s="1241"/>
      <c r="FW94" s="1241"/>
      <c r="FX94" s="1241"/>
      <c r="FY94" s="1241"/>
      <c r="FZ94" s="1241"/>
      <c r="GA94" s="1241"/>
      <c r="GB94" s="1241"/>
      <c r="GC94" s="1241"/>
      <c r="GD94" s="1241"/>
      <c r="GE94" s="1241"/>
      <c r="GF94" s="1241"/>
      <c r="GG94" s="1241"/>
      <c r="GH94" s="1241"/>
      <c r="GI94" s="1241"/>
      <c r="GJ94" s="1241"/>
      <c r="GK94" s="112"/>
      <c r="GL94" s="112"/>
      <c r="GM94" s="112"/>
      <c r="GN94" s="112"/>
    </row>
    <row r="95" spans="1:196" ht="15" customHeight="1">
      <c r="A95" s="1262"/>
      <c r="B95" s="1330">
        <v>94</v>
      </c>
      <c r="C95" s="1262">
        <v>525684</v>
      </c>
      <c r="D95" s="1349">
        <v>16020528</v>
      </c>
      <c r="E95" s="1351" t="s">
        <v>6171</v>
      </c>
      <c r="F95" s="1266">
        <v>46141</v>
      </c>
      <c r="G95" s="1352">
        <v>60</v>
      </c>
      <c r="H95" s="1353">
        <v>23874</v>
      </c>
      <c r="I95" s="1266">
        <v>46149</v>
      </c>
      <c r="J95" s="1262" t="s">
        <v>5872</v>
      </c>
      <c r="K95" s="1349" t="s">
        <v>6172</v>
      </c>
      <c r="L95" s="1349" t="s">
        <v>271</v>
      </c>
      <c r="M95" s="1352">
        <v>924538325</v>
      </c>
      <c r="N95" s="1262"/>
      <c r="O95" s="1169" t="s">
        <v>5865</v>
      </c>
      <c r="P95" s="325" t="s">
        <v>5866</v>
      </c>
      <c r="Q95" s="266" t="s">
        <v>5867</v>
      </c>
      <c r="R95" s="1262" t="s">
        <v>164</v>
      </c>
      <c r="S95" s="1262" t="s">
        <v>5868</v>
      </c>
      <c r="T95" s="1262" t="s">
        <v>5873</v>
      </c>
      <c r="U95" s="1266">
        <v>46149</v>
      </c>
      <c r="V95" s="1366">
        <v>0.63541666666666663</v>
      </c>
      <c r="W95" s="1368">
        <v>46149</v>
      </c>
      <c r="X95" s="1169"/>
      <c r="Y95" s="1169"/>
      <c r="Z95" s="1169"/>
      <c r="AA95" s="1169"/>
      <c r="AB95" s="1169"/>
      <c r="AC95" s="1169"/>
      <c r="AD95" s="1169"/>
      <c r="AE95" s="1169"/>
      <c r="AF95" s="1169"/>
      <c r="AG95" s="1169"/>
      <c r="AH95" s="1169"/>
      <c r="AI95" s="1169"/>
      <c r="AJ95" s="1169"/>
      <c r="AK95" s="1169"/>
      <c r="AL95" s="1169"/>
      <c r="AM95" s="1169"/>
      <c r="AN95" s="1169"/>
      <c r="AO95" s="1169"/>
      <c r="AP95" s="1169"/>
      <c r="AQ95" s="1169"/>
      <c r="AR95" s="1169"/>
      <c r="AS95" s="1169"/>
      <c r="AT95" s="1169"/>
      <c r="AU95" s="1169"/>
      <c r="AV95" s="1169"/>
      <c r="AW95" s="1169"/>
      <c r="AX95" s="1169"/>
      <c r="AY95" s="1169"/>
      <c r="AZ95" s="1169"/>
      <c r="BA95" s="1169"/>
      <c r="BB95" s="1169"/>
      <c r="BC95" s="1169"/>
      <c r="BD95" s="1169"/>
      <c r="BE95" s="1169"/>
      <c r="BF95" s="1169"/>
      <c r="BG95" s="1169"/>
      <c r="BH95" s="1169"/>
      <c r="BI95" s="1169"/>
      <c r="BJ95" s="1169"/>
      <c r="BK95" s="1169"/>
      <c r="BL95" s="1169"/>
      <c r="BM95" s="1169"/>
      <c r="BN95" s="1169"/>
      <c r="BO95" s="1169"/>
      <c r="BP95" s="1169"/>
      <c r="BQ95" s="1169"/>
      <c r="BR95" s="1169"/>
      <c r="BS95" s="1169"/>
      <c r="BT95" s="1169"/>
      <c r="BU95" s="1169"/>
      <c r="BV95" s="1169"/>
      <c r="BW95" s="1169"/>
      <c r="BX95" s="1169"/>
      <c r="BY95" s="1169"/>
      <c r="BZ95" s="1169"/>
      <c r="CA95" s="1169"/>
      <c r="CB95" s="1169"/>
      <c r="CC95" s="1169"/>
      <c r="CD95" s="1169"/>
      <c r="CE95" s="1169"/>
      <c r="CF95" s="1169"/>
      <c r="CG95" s="1169"/>
      <c r="CH95" s="1169"/>
      <c r="CI95" s="1169"/>
      <c r="CJ95" s="1169"/>
      <c r="CK95" s="1169"/>
      <c r="CL95" s="1169"/>
      <c r="CM95" s="1169"/>
      <c r="CN95" s="1169"/>
      <c r="CO95" s="1169"/>
      <c r="CP95" s="1169"/>
      <c r="CQ95" s="1169"/>
      <c r="CR95" s="1169"/>
      <c r="CS95" s="1169"/>
      <c r="CT95" s="1169"/>
      <c r="CU95" s="1169"/>
      <c r="CV95" s="1169"/>
      <c r="CW95" s="1169"/>
      <c r="CX95" s="1169"/>
      <c r="CY95" s="1169"/>
      <c r="CZ95" s="1169"/>
      <c r="DA95" s="1169"/>
      <c r="DB95" s="1169"/>
      <c r="DC95" s="1169"/>
      <c r="DD95" s="1169"/>
      <c r="DE95" s="1169"/>
      <c r="DF95" s="1169"/>
      <c r="DG95" s="1169"/>
      <c r="DH95" s="1169"/>
      <c r="DI95" s="1169"/>
      <c r="DJ95" s="1169"/>
      <c r="DK95" s="1169"/>
      <c r="DL95" s="1169"/>
      <c r="DM95" s="1169"/>
      <c r="DN95" s="1169"/>
      <c r="DO95" s="1169"/>
      <c r="DP95" s="1169"/>
      <c r="DQ95" s="1169"/>
      <c r="DR95" s="1169"/>
      <c r="DS95" s="1169"/>
      <c r="DT95" s="1169"/>
      <c r="DU95" s="1169"/>
      <c r="DV95" s="1169"/>
      <c r="DW95" s="1169"/>
      <c r="DX95" s="1169"/>
      <c r="DY95" s="1169"/>
      <c r="DZ95" s="1169"/>
      <c r="EA95" s="1169"/>
      <c r="EB95" s="1169"/>
      <c r="EC95" s="1169"/>
      <c r="ED95" s="1169"/>
      <c r="EE95" s="1169"/>
      <c r="EF95" s="1169"/>
      <c r="EG95" s="1169"/>
      <c r="EH95" s="1169"/>
      <c r="EI95" s="1169"/>
      <c r="EJ95" s="1169"/>
      <c r="EK95" s="1169"/>
      <c r="EL95" s="1169"/>
      <c r="EM95" s="1169"/>
      <c r="EN95" s="1169"/>
      <c r="EO95" s="1169"/>
      <c r="EP95" s="1169"/>
      <c r="EQ95" s="1169"/>
      <c r="ER95" s="1169"/>
      <c r="ES95" s="1169"/>
      <c r="ET95" s="1169"/>
      <c r="EU95" s="1169"/>
      <c r="EV95" s="1169"/>
      <c r="EW95" s="1169"/>
      <c r="EX95" s="1169"/>
      <c r="EY95" s="1169"/>
      <c r="EZ95" s="1169"/>
      <c r="FA95" s="1169"/>
      <c r="FB95" s="1169"/>
      <c r="FC95" s="1169"/>
      <c r="FD95" s="1169"/>
      <c r="FE95" s="1169"/>
      <c r="FF95" s="1169"/>
      <c r="FG95" s="1169"/>
      <c r="FH95" s="1169"/>
      <c r="FI95" s="1169"/>
      <c r="FJ95" s="1169"/>
      <c r="FK95" s="1169"/>
      <c r="FL95" s="1169"/>
      <c r="FM95" s="1169"/>
      <c r="FN95" s="1169"/>
      <c r="FO95" s="1169"/>
      <c r="FP95" s="1169"/>
      <c r="FQ95" s="1169"/>
      <c r="FR95" s="1169"/>
      <c r="FS95" s="1169"/>
      <c r="FT95" s="1169"/>
      <c r="FU95" s="1169"/>
      <c r="FV95" s="1169"/>
      <c r="FW95" s="1169"/>
      <c r="FX95" s="1169"/>
      <c r="FY95" s="1169"/>
      <c r="FZ95" s="1169"/>
      <c r="GA95" s="1169"/>
      <c r="GB95" s="1169"/>
      <c r="GC95" s="1169"/>
      <c r="GD95" s="1169"/>
      <c r="GE95" s="1169"/>
      <c r="GF95" s="1169"/>
      <c r="GG95" s="1169"/>
      <c r="GH95" s="1169"/>
      <c r="GI95" s="1169"/>
      <c r="GJ95" s="1169"/>
      <c r="GK95" s="43"/>
      <c r="GL95" s="43"/>
      <c r="GM95" s="43"/>
      <c r="GN95" s="43"/>
    </row>
    <row r="96" spans="1:196" ht="15" customHeight="1">
      <c r="A96" s="1262"/>
      <c r="B96" s="1330">
        <v>95</v>
      </c>
      <c r="C96" s="1262">
        <v>218132</v>
      </c>
      <c r="D96" s="1349">
        <v>41837799</v>
      </c>
      <c r="E96" s="1351" t="s">
        <v>6173</v>
      </c>
      <c r="F96" s="1266">
        <v>46148</v>
      </c>
      <c r="G96" s="1352">
        <v>42</v>
      </c>
      <c r="H96" s="1353">
        <v>30462</v>
      </c>
      <c r="I96" s="1266">
        <v>46149</v>
      </c>
      <c r="J96" s="1262" t="s">
        <v>5877</v>
      </c>
      <c r="K96" s="1349" t="s">
        <v>6174</v>
      </c>
      <c r="L96" s="1349" t="s">
        <v>2422</v>
      </c>
      <c r="M96" s="1352">
        <v>931003878</v>
      </c>
      <c r="N96" s="1262"/>
      <c r="O96" s="1169" t="s">
        <v>5865</v>
      </c>
      <c r="P96" s="325" t="s">
        <v>5866</v>
      </c>
      <c r="Q96" s="266" t="s">
        <v>5867</v>
      </c>
      <c r="R96" s="1262" t="s">
        <v>588</v>
      </c>
      <c r="S96" s="1262" t="s">
        <v>5868</v>
      </c>
      <c r="T96" s="1262" t="s">
        <v>5873</v>
      </c>
      <c r="U96" s="1266">
        <v>46149</v>
      </c>
      <c r="V96" s="1366">
        <v>0.64583333333333337</v>
      </c>
      <c r="W96" s="1266">
        <v>46149</v>
      </c>
      <c r="X96" s="1169"/>
      <c r="Y96" s="1169"/>
      <c r="Z96" s="1169"/>
      <c r="AA96" s="1169"/>
      <c r="AB96" s="1169"/>
      <c r="AC96" s="1169"/>
      <c r="AD96" s="1169"/>
      <c r="AE96" s="1169"/>
      <c r="AF96" s="1169"/>
      <c r="AG96" s="1169"/>
      <c r="AH96" s="1169"/>
      <c r="AI96" s="1169"/>
      <c r="AJ96" s="1169"/>
      <c r="AK96" s="1169"/>
      <c r="AL96" s="1169"/>
      <c r="AM96" s="1169"/>
      <c r="AN96" s="1169"/>
      <c r="AO96" s="1169"/>
      <c r="AP96" s="1169"/>
      <c r="AQ96" s="1169"/>
      <c r="AR96" s="1169"/>
      <c r="AS96" s="1169"/>
      <c r="AT96" s="1169"/>
      <c r="AU96" s="1169"/>
      <c r="AV96" s="1169"/>
      <c r="AW96" s="1169"/>
      <c r="AX96" s="1169"/>
      <c r="AY96" s="1169"/>
      <c r="AZ96" s="1169"/>
      <c r="BA96" s="1169"/>
      <c r="BB96" s="1169"/>
      <c r="BC96" s="1169"/>
      <c r="BD96" s="1169"/>
      <c r="BE96" s="1169"/>
      <c r="BF96" s="1169"/>
      <c r="BG96" s="1169"/>
      <c r="BH96" s="1169"/>
      <c r="BI96" s="1169"/>
      <c r="BJ96" s="1169"/>
      <c r="BK96" s="1169"/>
      <c r="BL96" s="1169"/>
      <c r="BM96" s="1169"/>
      <c r="BN96" s="1169"/>
      <c r="BO96" s="1169"/>
      <c r="BP96" s="1169"/>
      <c r="BQ96" s="1169"/>
      <c r="BR96" s="1169"/>
      <c r="BS96" s="1169"/>
      <c r="BT96" s="1169"/>
      <c r="BU96" s="1169"/>
      <c r="BV96" s="1169"/>
      <c r="BW96" s="1169"/>
      <c r="BX96" s="1169"/>
      <c r="BY96" s="1169"/>
      <c r="BZ96" s="1169"/>
      <c r="CA96" s="1169"/>
      <c r="CB96" s="1169"/>
      <c r="CC96" s="1169"/>
      <c r="CD96" s="1169"/>
      <c r="CE96" s="1169"/>
      <c r="CF96" s="1169"/>
      <c r="CG96" s="1169"/>
      <c r="CH96" s="1169"/>
      <c r="CI96" s="1169"/>
      <c r="CJ96" s="1169"/>
      <c r="CK96" s="1169"/>
      <c r="CL96" s="1169"/>
      <c r="CM96" s="1169"/>
      <c r="CN96" s="1169"/>
      <c r="CO96" s="1169"/>
      <c r="CP96" s="1169"/>
      <c r="CQ96" s="1169"/>
      <c r="CR96" s="1169"/>
      <c r="CS96" s="1169"/>
      <c r="CT96" s="1169"/>
      <c r="CU96" s="1169"/>
      <c r="CV96" s="1169"/>
      <c r="CW96" s="1169"/>
      <c r="CX96" s="1169"/>
      <c r="CY96" s="1169"/>
      <c r="CZ96" s="1169"/>
      <c r="DA96" s="1169"/>
      <c r="DB96" s="1169"/>
      <c r="DC96" s="1169"/>
      <c r="DD96" s="1169"/>
      <c r="DE96" s="1169"/>
      <c r="DF96" s="1169"/>
      <c r="DG96" s="1169"/>
      <c r="DH96" s="1169"/>
      <c r="DI96" s="1169"/>
      <c r="DJ96" s="1169"/>
      <c r="DK96" s="1169"/>
      <c r="DL96" s="1169"/>
      <c r="DM96" s="1169"/>
      <c r="DN96" s="1169"/>
      <c r="DO96" s="1169"/>
      <c r="DP96" s="1169"/>
      <c r="DQ96" s="1169"/>
      <c r="DR96" s="1169"/>
      <c r="DS96" s="1169"/>
      <c r="DT96" s="1169"/>
      <c r="DU96" s="1169"/>
      <c r="DV96" s="1169"/>
      <c r="DW96" s="1169"/>
      <c r="DX96" s="1169"/>
      <c r="DY96" s="1169"/>
      <c r="DZ96" s="1169"/>
      <c r="EA96" s="1169"/>
      <c r="EB96" s="1169"/>
      <c r="EC96" s="1169"/>
      <c r="ED96" s="1169"/>
      <c r="EE96" s="1169"/>
      <c r="EF96" s="1169"/>
      <c r="EG96" s="1169"/>
      <c r="EH96" s="1169"/>
      <c r="EI96" s="1169"/>
      <c r="EJ96" s="1169"/>
      <c r="EK96" s="1169"/>
      <c r="EL96" s="1169"/>
      <c r="EM96" s="1169"/>
      <c r="EN96" s="1169"/>
      <c r="EO96" s="1169"/>
      <c r="EP96" s="1169"/>
      <c r="EQ96" s="1169"/>
      <c r="ER96" s="1169"/>
      <c r="ES96" s="1169"/>
      <c r="ET96" s="1169"/>
      <c r="EU96" s="1169"/>
      <c r="EV96" s="1169"/>
      <c r="EW96" s="1169"/>
      <c r="EX96" s="1169"/>
      <c r="EY96" s="1169"/>
      <c r="EZ96" s="1169"/>
      <c r="FA96" s="1169"/>
      <c r="FB96" s="1169"/>
      <c r="FC96" s="1169"/>
      <c r="FD96" s="1169"/>
      <c r="FE96" s="1169"/>
      <c r="FF96" s="1169"/>
      <c r="FG96" s="1169"/>
      <c r="FH96" s="1169"/>
      <c r="FI96" s="1169"/>
      <c r="FJ96" s="1169"/>
      <c r="FK96" s="1169"/>
      <c r="FL96" s="1169"/>
      <c r="FM96" s="1169"/>
      <c r="FN96" s="1169"/>
      <c r="FO96" s="1169"/>
      <c r="FP96" s="1169"/>
      <c r="FQ96" s="1169"/>
      <c r="FR96" s="1169"/>
      <c r="FS96" s="1169"/>
      <c r="FT96" s="1169"/>
      <c r="FU96" s="1169"/>
      <c r="FV96" s="1169"/>
      <c r="FW96" s="1169"/>
      <c r="FX96" s="1169"/>
      <c r="FY96" s="1169"/>
      <c r="FZ96" s="1169"/>
      <c r="GA96" s="1169"/>
      <c r="GB96" s="1169"/>
      <c r="GC96" s="1169"/>
      <c r="GD96" s="1169"/>
      <c r="GE96" s="1169"/>
      <c r="GF96" s="1169"/>
      <c r="GG96" s="1169"/>
      <c r="GH96" s="1169"/>
      <c r="GI96" s="1169"/>
      <c r="GJ96" s="1169"/>
      <c r="GK96" s="43"/>
      <c r="GL96" s="43"/>
      <c r="GM96" s="43"/>
      <c r="GN96" s="43"/>
    </row>
    <row r="97" spans="1:196" ht="15" customHeight="1">
      <c r="A97" s="206"/>
      <c r="B97" s="1321">
        <v>96</v>
      </c>
      <c r="C97" s="43">
        <v>130757</v>
      </c>
      <c r="D97" s="1054" t="s">
        <v>6175</v>
      </c>
      <c r="E97" s="648" t="s">
        <v>6176</v>
      </c>
      <c r="F97" s="44">
        <v>46149</v>
      </c>
      <c r="G97" s="1315">
        <v>55</v>
      </c>
      <c r="H97" s="44">
        <v>25645</v>
      </c>
      <c r="I97" s="44">
        <v>46149</v>
      </c>
      <c r="J97" s="43" t="s">
        <v>5986</v>
      </c>
      <c r="K97" s="43" t="s">
        <v>6177</v>
      </c>
      <c r="L97" s="43" t="s">
        <v>237</v>
      </c>
      <c r="M97" s="1225">
        <v>980884703</v>
      </c>
      <c r="N97" s="43"/>
      <c r="O97" s="1169" t="s">
        <v>5865</v>
      </c>
      <c r="P97" s="325" t="s">
        <v>5866</v>
      </c>
      <c r="Q97" s="266" t="s">
        <v>5867</v>
      </c>
      <c r="R97" s="43" t="s">
        <v>238</v>
      </c>
      <c r="S97" s="43" t="s">
        <v>5945</v>
      </c>
      <c r="T97" s="43" t="s">
        <v>5873</v>
      </c>
      <c r="U97" s="44">
        <v>46149</v>
      </c>
      <c r="V97" s="953">
        <v>0.66666666666666663</v>
      </c>
      <c r="W97" s="44">
        <v>46149</v>
      </c>
      <c r="X97" s="955"/>
      <c r="Y97" s="43"/>
      <c r="Z97" s="43"/>
      <c r="AA97" s="46"/>
      <c r="AB97" s="244"/>
      <c r="AC97" s="1178"/>
      <c r="AD97" s="1178"/>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43"/>
      <c r="DQ97" s="43"/>
      <c r="DR97" s="43"/>
      <c r="DS97" s="43"/>
      <c r="DT97" s="43"/>
      <c r="DU97" s="43"/>
      <c r="DV97" s="43"/>
      <c r="DW97" s="43"/>
      <c r="DX97" s="43"/>
      <c r="DY97" s="43"/>
      <c r="DZ97" s="43"/>
      <c r="EA97" s="43"/>
      <c r="EB97" s="43"/>
      <c r="EC97" s="43"/>
      <c r="ED97" s="43"/>
      <c r="EE97" s="43"/>
      <c r="EF97" s="43"/>
      <c r="EG97" s="43"/>
      <c r="EH97" s="43"/>
      <c r="EI97" s="43"/>
      <c r="EJ97" s="43"/>
      <c r="EK97" s="43"/>
      <c r="EL97" s="43"/>
      <c r="EM97" s="43"/>
      <c r="EN97" s="43"/>
      <c r="EO97" s="43"/>
      <c r="EP97" s="43"/>
      <c r="EQ97" s="43"/>
      <c r="ER97" s="43"/>
      <c r="ES97" s="43"/>
      <c r="ET97" s="43"/>
      <c r="EU97" s="43"/>
      <c r="EV97" s="43"/>
      <c r="EW97" s="43"/>
      <c r="EX97" s="43"/>
      <c r="EY97" s="43"/>
      <c r="EZ97" s="43"/>
      <c r="FA97" s="43"/>
      <c r="FB97" s="43"/>
      <c r="FC97" s="43"/>
      <c r="FD97" s="43"/>
      <c r="FE97" s="43"/>
      <c r="FF97" s="43"/>
      <c r="FG97" s="43"/>
      <c r="FH97" s="43"/>
      <c r="FI97" s="43"/>
      <c r="FJ97" s="43"/>
      <c r="FK97" s="43"/>
      <c r="FL97" s="43"/>
      <c r="FM97" s="43"/>
      <c r="FN97" s="43"/>
      <c r="FO97" s="43"/>
      <c r="FP97" s="43"/>
      <c r="FQ97" s="43"/>
      <c r="FR97" s="43"/>
      <c r="FS97" s="43"/>
      <c r="FT97" s="43"/>
      <c r="FU97" s="43"/>
      <c r="FV97" s="43"/>
      <c r="FW97" s="43"/>
      <c r="FX97" s="43"/>
      <c r="FY97" s="43"/>
      <c r="FZ97" s="43"/>
      <c r="GA97" s="43"/>
      <c r="GB97" s="43"/>
      <c r="GC97" s="43"/>
      <c r="GD97" s="43"/>
      <c r="GE97" s="43"/>
      <c r="GF97" s="43"/>
      <c r="GG97" s="43"/>
      <c r="GH97" s="43"/>
      <c r="GI97" s="43"/>
      <c r="GJ97" s="43"/>
      <c r="GK97" s="43"/>
      <c r="GL97" s="43"/>
      <c r="GM97" s="43"/>
      <c r="GN97" s="43"/>
    </row>
    <row r="98" spans="1:196" ht="15" customHeight="1">
      <c r="A98" s="1229"/>
      <c r="B98" s="1369">
        <v>97</v>
      </c>
      <c r="C98" s="1229">
        <v>197942</v>
      </c>
      <c r="D98" s="1229">
        <v>40148240</v>
      </c>
      <c r="E98" s="1242" t="s">
        <v>6178</v>
      </c>
      <c r="F98" s="1370">
        <v>46134</v>
      </c>
      <c r="G98" s="1172">
        <v>47</v>
      </c>
      <c r="H98" s="1371">
        <v>28885</v>
      </c>
      <c r="I98" s="1233">
        <v>46149</v>
      </c>
      <c r="J98" s="1229" t="s">
        <v>5877</v>
      </c>
      <c r="K98" s="1237" t="s">
        <v>6179</v>
      </c>
      <c r="L98" s="1229" t="s">
        <v>2731</v>
      </c>
      <c r="M98" s="1232" t="s">
        <v>6180</v>
      </c>
      <c r="N98" s="1229"/>
      <c r="O98" s="112" t="s">
        <v>5865</v>
      </c>
      <c r="P98" s="1367" t="s">
        <v>5866</v>
      </c>
      <c r="Q98" s="112" t="s">
        <v>6181</v>
      </c>
      <c r="R98" s="1237" t="s">
        <v>238</v>
      </c>
      <c r="S98" s="1229" t="s">
        <v>5868</v>
      </c>
      <c r="T98" s="1229" t="s">
        <v>5869</v>
      </c>
      <c r="U98" s="1233">
        <v>46149</v>
      </c>
      <c r="V98" s="1294">
        <v>0.6875</v>
      </c>
      <c r="W98" s="1233">
        <v>46149</v>
      </c>
      <c r="X98" s="1240"/>
      <c r="Y98" s="1240"/>
      <c r="Z98" s="1240"/>
      <c r="AA98" s="1240"/>
      <c r="AB98" s="1240"/>
      <c r="AC98" s="1240"/>
      <c r="AD98" s="1240"/>
      <c r="AE98" s="1240"/>
      <c r="AF98" s="1240"/>
      <c r="AG98" s="1240"/>
      <c r="AH98" s="1240"/>
      <c r="AI98" s="1240"/>
      <c r="AJ98" s="1240"/>
      <c r="AK98" s="1240"/>
      <c r="AL98" s="1240"/>
      <c r="AM98" s="1240"/>
      <c r="AN98" s="1240"/>
      <c r="AO98" s="1240"/>
      <c r="AP98" s="1240"/>
      <c r="AQ98" s="1240"/>
      <c r="AR98" s="1240"/>
      <c r="AS98" s="1240"/>
      <c r="AT98" s="1240"/>
      <c r="AU98" s="1240"/>
      <c r="AV98" s="1240"/>
      <c r="AW98" s="1240"/>
      <c r="AX98" s="1240"/>
      <c r="AY98" s="1240"/>
      <c r="AZ98" s="1240"/>
      <c r="BA98" s="1240"/>
      <c r="BB98" s="1240"/>
      <c r="BC98" s="1240"/>
      <c r="BD98" s="1240"/>
      <c r="BE98" s="1240"/>
      <c r="BF98" s="1240"/>
      <c r="BG98" s="1240"/>
      <c r="BH98" s="1240"/>
      <c r="BI98" s="1240"/>
      <c r="BJ98" s="1240"/>
      <c r="BK98" s="1240"/>
      <c r="BL98" s="1240"/>
      <c r="BM98" s="1240"/>
      <c r="BN98" s="1240"/>
      <c r="BO98" s="1240"/>
      <c r="BP98" s="1240"/>
      <c r="BQ98" s="1240"/>
      <c r="BR98" s="1240"/>
      <c r="BS98" s="1240"/>
      <c r="BT98" s="1240"/>
      <c r="BU98" s="1240"/>
      <c r="BV98" s="1240"/>
      <c r="BW98" s="1240"/>
      <c r="BX98" s="1240"/>
      <c r="BY98" s="1240"/>
      <c r="BZ98" s="1240"/>
      <c r="CA98" s="1240"/>
      <c r="CB98" s="1240"/>
      <c r="CC98" s="1240"/>
      <c r="CD98" s="1240"/>
      <c r="CE98" s="1240"/>
      <c r="CF98" s="1240"/>
      <c r="CG98" s="1240"/>
      <c r="CH98" s="1240"/>
      <c r="CI98" s="1240"/>
      <c r="CJ98" s="1240"/>
      <c r="CK98" s="1240"/>
      <c r="CL98" s="1240"/>
      <c r="CM98" s="1240"/>
      <c r="CN98" s="1240"/>
      <c r="CO98" s="1240"/>
      <c r="CP98" s="1240"/>
      <c r="CQ98" s="1240"/>
      <c r="CR98" s="1240"/>
      <c r="CS98" s="1240"/>
      <c r="CT98" s="1240"/>
      <c r="CU98" s="1240"/>
      <c r="CV98" s="1240"/>
      <c r="CW98" s="1240"/>
      <c r="CX98" s="1240"/>
      <c r="CY98" s="1240"/>
      <c r="CZ98" s="1240"/>
      <c r="DA98" s="1240"/>
      <c r="DB98" s="1240"/>
      <c r="DC98" s="1240"/>
      <c r="DD98" s="1240"/>
      <c r="DE98" s="1240"/>
      <c r="DF98" s="1240"/>
      <c r="DG98" s="1240"/>
      <c r="DH98" s="1240"/>
      <c r="DI98" s="1240"/>
      <c r="DJ98" s="1240"/>
      <c r="DK98" s="1240"/>
      <c r="DL98" s="1240"/>
      <c r="DM98" s="1240"/>
      <c r="DN98" s="1240"/>
      <c r="DO98" s="1240"/>
      <c r="DP98" s="1240"/>
      <c r="DQ98" s="1240"/>
      <c r="DR98" s="1240"/>
      <c r="DS98" s="1240"/>
      <c r="DT98" s="1240"/>
      <c r="DU98" s="1240"/>
      <c r="DV98" s="1240"/>
      <c r="DW98" s="1240"/>
      <c r="DX98" s="1240"/>
      <c r="DY98" s="1240"/>
      <c r="DZ98" s="1240"/>
      <c r="EA98" s="1240"/>
      <c r="EB98" s="1240"/>
      <c r="EC98" s="1240"/>
      <c r="ED98" s="1240"/>
      <c r="EE98" s="1240"/>
      <c r="EF98" s="1240"/>
      <c r="EG98" s="1240"/>
      <c r="EH98" s="1240"/>
      <c r="EI98" s="1240"/>
      <c r="EJ98" s="1240"/>
      <c r="EK98" s="1240"/>
      <c r="EL98" s="1240"/>
      <c r="EM98" s="1240"/>
      <c r="EN98" s="1240"/>
      <c r="EO98" s="1240"/>
      <c r="EP98" s="1240"/>
      <c r="EQ98" s="1240"/>
      <c r="ER98" s="1240"/>
      <c r="ES98" s="1240"/>
      <c r="ET98" s="1240"/>
      <c r="EU98" s="1240"/>
      <c r="EV98" s="1240"/>
      <c r="EW98" s="1240"/>
      <c r="EX98" s="1240"/>
      <c r="EY98" s="1240"/>
      <c r="EZ98" s="1240"/>
      <c r="FA98" s="1240"/>
      <c r="FB98" s="1240"/>
      <c r="FC98" s="1240"/>
      <c r="FD98" s="1240"/>
      <c r="FE98" s="1240"/>
      <c r="FF98" s="1240"/>
      <c r="FG98" s="1240"/>
      <c r="FH98" s="1240"/>
      <c r="FI98" s="1240"/>
      <c r="FJ98" s="1240"/>
      <c r="FK98" s="1240"/>
      <c r="FL98" s="1240"/>
      <c r="FM98" s="1240"/>
      <c r="FN98" s="1240"/>
      <c r="FO98" s="1240"/>
      <c r="FP98" s="1240"/>
      <c r="FQ98" s="1240"/>
      <c r="FR98" s="1240"/>
      <c r="FS98" s="1240"/>
      <c r="FT98" s="1240"/>
      <c r="FU98" s="1240"/>
      <c r="FV98" s="1240"/>
      <c r="FW98" s="1240"/>
      <c r="FX98" s="1240"/>
      <c r="FY98" s="1240"/>
      <c r="FZ98" s="1240"/>
      <c r="GA98" s="1240"/>
      <c r="GB98" s="1240"/>
      <c r="GC98" s="1240"/>
      <c r="GD98" s="1240"/>
      <c r="GE98" s="1240"/>
      <c r="GF98" s="1240"/>
      <c r="GG98" s="1240"/>
      <c r="GH98" s="1240"/>
      <c r="GI98" s="1240"/>
      <c r="GJ98" s="1240"/>
      <c r="GK98" s="112"/>
      <c r="GL98" s="112"/>
      <c r="GM98" s="112"/>
      <c r="GN98" s="112"/>
    </row>
    <row r="99" spans="1:196" ht="15" customHeight="1">
      <c r="A99" s="1262"/>
      <c r="B99" s="1372">
        <v>98</v>
      </c>
      <c r="C99" s="1262">
        <v>179048</v>
      </c>
      <c r="D99" s="1262">
        <v>46516826</v>
      </c>
      <c r="E99" s="1263" t="s">
        <v>6182</v>
      </c>
      <c r="F99" s="1373">
        <v>46141</v>
      </c>
      <c r="G99" s="1172">
        <v>51</v>
      </c>
      <c r="H99" s="1374">
        <v>27302</v>
      </c>
      <c r="I99" s="1266">
        <v>46149</v>
      </c>
      <c r="J99" s="1262" t="s">
        <v>5990</v>
      </c>
      <c r="K99" s="1262" t="s">
        <v>6183</v>
      </c>
      <c r="L99" s="1262" t="s">
        <v>288</v>
      </c>
      <c r="M99" s="1265">
        <v>936833378</v>
      </c>
      <c r="N99" s="1262"/>
      <c r="O99" s="43" t="s">
        <v>5865</v>
      </c>
      <c r="P99" s="325" t="s">
        <v>5866</v>
      </c>
      <c r="Q99" s="43" t="s">
        <v>6181</v>
      </c>
      <c r="R99" s="1262" t="s">
        <v>1105</v>
      </c>
      <c r="S99" s="1262" t="s">
        <v>5868</v>
      </c>
      <c r="T99" s="1262" t="s">
        <v>5873</v>
      </c>
      <c r="U99" s="1266">
        <v>46149</v>
      </c>
      <c r="V99" s="1366">
        <v>0.69791666666666663</v>
      </c>
      <c r="W99" s="1266">
        <v>46149</v>
      </c>
      <c r="X99" s="1169"/>
      <c r="Y99" s="1169"/>
      <c r="Z99" s="1169"/>
      <c r="AA99" s="1169"/>
      <c r="AB99" s="1169"/>
      <c r="AC99" s="1169"/>
      <c r="AD99" s="1169"/>
      <c r="AE99" s="1169"/>
      <c r="AF99" s="1169"/>
      <c r="AG99" s="1169"/>
      <c r="AH99" s="1169"/>
      <c r="AI99" s="1169"/>
      <c r="AJ99" s="1169"/>
      <c r="AK99" s="1169"/>
      <c r="AL99" s="1169"/>
      <c r="AM99" s="1169"/>
      <c r="AN99" s="1169"/>
      <c r="AO99" s="1169"/>
      <c r="AP99" s="1169"/>
      <c r="AQ99" s="1169"/>
      <c r="AR99" s="1169"/>
      <c r="AS99" s="1169"/>
      <c r="AT99" s="1169"/>
      <c r="AU99" s="1169"/>
      <c r="AV99" s="1169"/>
      <c r="AW99" s="1169"/>
      <c r="AX99" s="1169"/>
      <c r="AY99" s="1169"/>
      <c r="AZ99" s="1169"/>
      <c r="BA99" s="1169"/>
      <c r="BB99" s="1169"/>
      <c r="BC99" s="1169"/>
      <c r="BD99" s="1169"/>
      <c r="BE99" s="1169"/>
      <c r="BF99" s="1169"/>
      <c r="BG99" s="1169"/>
      <c r="BH99" s="1169"/>
      <c r="BI99" s="1169"/>
      <c r="BJ99" s="1169"/>
      <c r="BK99" s="1169"/>
      <c r="BL99" s="1169"/>
      <c r="BM99" s="1169"/>
      <c r="BN99" s="1169"/>
      <c r="BO99" s="1169"/>
      <c r="BP99" s="1169"/>
      <c r="BQ99" s="1169"/>
      <c r="BR99" s="1169"/>
      <c r="BS99" s="1169"/>
      <c r="BT99" s="1169"/>
      <c r="BU99" s="1169"/>
      <c r="BV99" s="1169"/>
      <c r="BW99" s="1169"/>
      <c r="BX99" s="1169"/>
      <c r="BY99" s="1169"/>
      <c r="BZ99" s="1169"/>
      <c r="CA99" s="1169"/>
      <c r="CB99" s="1169"/>
      <c r="CC99" s="1169"/>
      <c r="CD99" s="1169"/>
      <c r="CE99" s="1169"/>
      <c r="CF99" s="1169"/>
      <c r="CG99" s="1169"/>
      <c r="CH99" s="1169"/>
      <c r="CI99" s="1169"/>
      <c r="CJ99" s="1169"/>
      <c r="CK99" s="1169"/>
      <c r="CL99" s="1169"/>
      <c r="CM99" s="1169"/>
      <c r="CN99" s="1169"/>
      <c r="CO99" s="1169"/>
      <c r="CP99" s="1169"/>
      <c r="CQ99" s="1169"/>
      <c r="CR99" s="1169"/>
      <c r="CS99" s="1169"/>
      <c r="CT99" s="1169"/>
      <c r="CU99" s="1169"/>
      <c r="CV99" s="1169"/>
      <c r="CW99" s="1169"/>
      <c r="CX99" s="1169"/>
      <c r="CY99" s="1169"/>
      <c r="CZ99" s="1169"/>
      <c r="DA99" s="1169"/>
      <c r="DB99" s="1169"/>
      <c r="DC99" s="1169"/>
      <c r="DD99" s="1169"/>
      <c r="DE99" s="1169"/>
      <c r="DF99" s="1169"/>
      <c r="DG99" s="1169"/>
      <c r="DH99" s="1169"/>
      <c r="DI99" s="1169"/>
      <c r="DJ99" s="1169"/>
      <c r="DK99" s="1169"/>
      <c r="DL99" s="1169"/>
      <c r="DM99" s="1169"/>
      <c r="DN99" s="1169"/>
      <c r="DO99" s="1169"/>
      <c r="DP99" s="1169"/>
      <c r="DQ99" s="1169"/>
      <c r="DR99" s="1169"/>
      <c r="DS99" s="1169"/>
      <c r="DT99" s="1169"/>
      <c r="DU99" s="1169"/>
      <c r="DV99" s="1169"/>
      <c r="DW99" s="1169"/>
      <c r="DX99" s="1169"/>
      <c r="DY99" s="1169"/>
      <c r="DZ99" s="1169"/>
      <c r="EA99" s="1169"/>
      <c r="EB99" s="1169"/>
      <c r="EC99" s="1169"/>
      <c r="ED99" s="1169"/>
      <c r="EE99" s="1169"/>
      <c r="EF99" s="1169"/>
      <c r="EG99" s="1169"/>
      <c r="EH99" s="1169"/>
      <c r="EI99" s="1169"/>
      <c r="EJ99" s="1169"/>
      <c r="EK99" s="1169"/>
      <c r="EL99" s="1169"/>
      <c r="EM99" s="1169"/>
      <c r="EN99" s="1169"/>
      <c r="EO99" s="1169"/>
      <c r="EP99" s="1169"/>
      <c r="EQ99" s="1169"/>
      <c r="ER99" s="1169"/>
      <c r="ES99" s="1169"/>
      <c r="ET99" s="1169"/>
      <c r="EU99" s="1169"/>
      <c r="EV99" s="1169"/>
      <c r="EW99" s="1169"/>
      <c r="EX99" s="1169"/>
      <c r="EY99" s="1169"/>
      <c r="EZ99" s="1169"/>
      <c r="FA99" s="1169"/>
      <c r="FB99" s="1169"/>
      <c r="FC99" s="1169"/>
      <c r="FD99" s="1169"/>
      <c r="FE99" s="1169"/>
      <c r="FF99" s="1169"/>
      <c r="FG99" s="1169"/>
      <c r="FH99" s="1169"/>
      <c r="FI99" s="1169"/>
      <c r="FJ99" s="1169"/>
      <c r="FK99" s="1169"/>
      <c r="FL99" s="1169"/>
      <c r="FM99" s="1169"/>
      <c r="FN99" s="1169"/>
      <c r="FO99" s="1169"/>
      <c r="FP99" s="1169"/>
      <c r="FQ99" s="1169"/>
      <c r="FR99" s="1169"/>
      <c r="FS99" s="1169"/>
      <c r="FT99" s="1169"/>
      <c r="FU99" s="1169"/>
      <c r="FV99" s="1169"/>
      <c r="FW99" s="1169"/>
      <c r="FX99" s="1169"/>
      <c r="FY99" s="1169"/>
      <c r="FZ99" s="1169"/>
      <c r="GA99" s="1169"/>
      <c r="GB99" s="1169"/>
      <c r="GC99" s="1169"/>
      <c r="GD99" s="1169"/>
      <c r="GE99" s="1169"/>
      <c r="GF99" s="1169"/>
      <c r="GG99" s="1169"/>
      <c r="GH99" s="1169"/>
      <c r="GI99" s="1169"/>
      <c r="GJ99" s="1169"/>
      <c r="GK99" s="43"/>
      <c r="GL99" s="43"/>
      <c r="GM99" s="43"/>
      <c r="GN99" s="43"/>
    </row>
    <row r="100" spans="1:196" ht="15" customHeight="1">
      <c r="A100" s="1229"/>
      <c r="B100" s="259">
        <v>99</v>
      </c>
      <c r="C100" s="1229">
        <v>1129845</v>
      </c>
      <c r="D100" s="1362">
        <v>80594186</v>
      </c>
      <c r="E100" s="1363" t="s">
        <v>6184</v>
      </c>
      <c r="F100" s="1370">
        <v>46146</v>
      </c>
      <c r="G100" s="1375">
        <v>48</v>
      </c>
      <c r="H100" s="1376">
        <v>28459</v>
      </c>
      <c r="I100" s="1233">
        <v>46149</v>
      </c>
      <c r="J100" s="1229" t="s">
        <v>5996</v>
      </c>
      <c r="K100" s="1362" t="s">
        <v>6185</v>
      </c>
      <c r="L100" s="1362" t="s">
        <v>237</v>
      </c>
      <c r="M100" s="1364">
        <v>933136850</v>
      </c>
      <c r="N100" s="1243"/>
      <c r="O100" s="112" t="s">
        <v>5865</v>
      </c>
      <c r="P100" s="1367" t="s">
        <v>5866</v>
      </c>
      <c r="Q100" s="112" t="s">
        <v>6181</v>
      </c>
      <c r="R100" s="1229" t="s">
        <v>347</v>
      </c>
      <c r="S100" s="1229" t="s">
        <v>5868</v>
      </c>
      <c r="T100" s="1229" t="s">
        <v>5869</v>
      </c>
      <c r="U100" s="1233">
        <v>46149</v>
      </c>
      <c r="V100" s="1294">
        <v>0.71875</v>
      </c>
      <c r="W100" s="1233">
        <v>46149</v>
      </c>
      <c r="X100" s="1268"/>
      <c r="Y100" s="1240"/>
      <c r="Z100" s="1240"/>
      <c r="AA100" s="1240"/>
      <c r="AB100" s="1240"/>
      <c r="AC100" s="1241"/>
      <c r="AD100" s="1241"/>
      <c r="AE100" s="1241"/>
      <c r="AF100" s="1241"/>
      <c r="AG100" s="1241"/>
      <c r="AH100" s="1241"/>
      <c r="AI100" s="1241"/>
      <c r="AJ100" s="1241"/>
      <c r="AK100" s="1241"/>
      <c r="AL100" s="1241"/>
      <c r="AM100" s="1241"/>
      <c r="AN100" s="1241"/>
      <c r="AO100" s="1241"/>
      <c r="AP100" s="1241"/>
      <c r="AQ100" s="1241"/>
      <c r="AR100" s="1241"/>
      <c r="AS100" s="1241"/>
      <c r="AT100" s="1241"/>
      <c r="AU100" s="1241"/>
      <c r="AV100" s="1241"/>
      <c r="AW100" s="1241"/>
      <c r="AX100" s="1241"/>
      <c r="AY100" s="1241"/>
      <c r="AZ100" s="1241"/>
      <c r="BA100" s="1241"/>
      <c r="BB100" s="1241"/>
      <c r="BC100" s="1241"/>
      <c r="BD100" s="1241"/>
      <c r="BE100" s="1241"/>
      <c r="BF100" s="1241"/>
      <c r="BG100" s="1241"/>
      <c r="BH100" s="1241"/>
      <c r="BI100" s="1241"/>
      <c r="BJ100" s="1241"/>
      <c r="BK100" s="1241"/>
      <c r="BL100" s="1241"/>
      <c r="BM100" s="1241"/>
      <c r="BN100" s="1241"/>
      <c r="BO100" s="1241"/>
      <c r="BP100" s="1241"/>
      <c r="BQ100" s="1241"/>
      <c r="BR100" s="1241"/>
      <c r="BS100" s="1241"/>
      <c r="BT100" s="1241"/>
      <c r="BU100" s="1241"/>
      <c r="BV100" s="1241"/>
      <c r="BW100" s="1241"/>
      <c r="BX100" s="1241"/>
      <c r="BY100" s="1241"/>
      <c r="BZ100" s="1241"/>
      <c r="CA100" s="1241"/>
      <c r="CB100" s="1241"/>
      <c r="CC100" s="1241"/>
      <c r="CD100" s="1241"/>
      <c r="CE100" s="1241"/>
      <c r="CF100" s="1241"/>
      <c r="CG100" s="1241"/>
      <c r="CH100" s="1241"/>
      <c r="CI100" s="1241"/>
      <c r="CJ100" s="1241"/>
      <c r="CK100" s="1241"/>
      <c r="CL100" s="1241"/>
      <c r="CM100" s="1241"/>
      <c r="CN100" s="1241"/>
      <c r="CO100" s="1241"/>
      <c r="CP100" s="1241"/>
      <c r="CQ100" s="1241"/>
      <c r="CR100" s="1241"/>
      <c r="CS100" s="1241"/>
      <c r="CT100" s="1241"/>
      <c r="CU100" s="1241"/>
      <c r="CV100" s="1241"/>
      <c r="CW100" s="1241"/>
      <c r="CX100" s="1241"/>
      <c r="CY100" s="1241"/>
      <c r="CZ100" s="1241"/>
      <c r="DA100" s="1241"/>
      <c r="DB100" s="1241"/>
      <c r="DC100" s="1241"/>
      <c r="DD100" s="1241"/>
      <c r="DE100" s="1241"/>
      <c r="DF100" s="1241"/>
      <c r="DG100" s="1241"/>
      <c r="DH100" s="1241"/>
      <c r="DI100" s="1241"/>
      <c r="DJ100" s="1241"/>
      <c r="DK100" s="1241"/>
      <c r="DL100" s="1241"/>
      <c r="DM100" s="1241"/>
      <c r="DN100" s="1241"/>
      <c r="DO100" s="1241"/>
      <c r="DP100" s="1241"/>
      <c r="DQ100" s="1241"/>
      <c r="DR100" s="1241"/>
      <c r="DS100" s="1241"/>
      <c r="DT100" s="1241"/>
      <c r="DU100" s="1241"/>
      <c r="DV100" s="1241"/>
      <c r="DW100" s="1241"/>
      <c r="DX100" s="1241"/>
      <c r="DY100" s="1241"/>
      <c r="DZ100" s="1241"/>
      <c r="EA100" s="1241"/>
      <c r="EB100" s="1241"/>
      <c r="EC100" s="1241"/>
      <c r="ED100" s="1241"/>
      <c r="EE100" s="1241"/>
      <c r="EF100" s="1241"/>
      <c r="EG100" s="1241"/>
      <c r="EH100" s="1241"/>
      <c r="EI100" s="1241"/>
      <c r="EJ100" s="1241"/>
      <c r="EK100" s="1241"/>
      <c r="EL100" s="1241"/>
      <c r="EM100" s="1241"/>
      <c r="EN100" s="1241"/>
      <c r="EO100" s="1241"/>
      <c r="EP100" s="1241"/>
      <c r="EQ100" s="1241"/>
      <c r="ER100" s="1241"/>
      <c r="ES100" s="1241"/>
      <c r="ET100" s="1241"/>
      <c r="EU100" s="1241"/>
      <c r="EV100" s="1241"/>
      <c r="EW100" s="1241"/>
      <c r="EX100" s="1241"/>
      <c r="EY100" s="1241"/>
      <c r="EZ100" s="1241"/>
      <c r="FA100" s="1241"/>
      <c r="FB100" s="1241"/>
      <c r="FC100" s="1241"/>
      <c r="FD100" s="1241"/>
      <c r="FE100" s="1241"/>
      <c r="FF100" s="1241"/>
      <c r="FG100" s="1241"/>
      <c r="FH100" s="1241"/>
      <c r="FI100" s="1241"/>
      <c r="FJ100" s="1241"/>
      <c r="FK100" s="1241"/>
      <c r="FL100" s="1241"/>
      <c r="FM100" s="1241"/>
      <c r="FN100" s="1241"/>
      <c r="FO100" s="1241"/>
      <c r="FP100" s="1241"/>
      <c r="FQ100" s="1241"/>
      <c r="FR100" s="1241"/>
      <c r="FS100" s="1241"/>
      <c r="FT100" s="1241"/>
      <c r="FU100" s="1241"/>
      <c r="FV100" s="1241"/>
      <c r="FW100" s="1241"/>
      <c r="FX100" s="1241"/>
      <c r="FY100" s="1241"/>
      <c r="FZ100" s="1241"/>
      <c r="GA100" s="1241"/>
      <c r="GB100" s="1241"/>
      <c r="GC100" s="1241"/>
      <c r="GD100" s="1241"/>
      <c r="GE100" s="1241"/>
      <c r="GF100" s="1241"/>
      <c r="GG100" s="1241"/>
      <c r="GH100" s="1241"/>
      <c r="GI100" s="1241"/>
      <c r="GJ100" s="1241"/>
      <c r="GK100" s="434"/>
      <c r="GL100" s="434"/>
      <c r="GM100" s="434"/>
      <c r="GN100" s="434"/>
    </row>
    <row r="101" spans="1:196" ht="15" customHeight="1">
      <c r="A101" s="1229"/>
      <c r="B101" s="459">
        <v>100</v>
      </c>
      <c r="C101" s="1262">
        <v>220198</v>
      </c>
      <c r="D101" s="1349">
        <v>80645349</v>
      </c>
      <c r="E101" s="1351" t="s">
        <v>6186</v>
      </c>
      <c r="F101" s="1377">
        <v>46146</v>
      </c>
      <c r="G101" s="1375">
        <v>46</v>
      </c>
      <c r="H101" s="1376">
        <v>29035</v>
      </c>
      <c r="I101" s="1233">
        <v>46149</v>
      </c>
      <c r="J101" s="1229" t="s">
        <v>5990</v>
      </c>
      <c r="K101" s="1362" t="s">
        <v>6187</v>
      </c>
      <c r="L101" s="1362" t="s">
        <v>288</v>
      </c>
      <c r="M101" s="1364">
        <v>928420806</v>
      </c>
      <c r="N101" s="1229"/>
      <c r="O101" s="112" t="s">
        <v>5865</v>
      </c>
      <c r="P101" s="1367" t="s">
        <v>5866</v>
      </c>
      <c r="Q101" s="1378" t="s">
        <v>6181</v>
      </c>
      <c r="R101" s="1262" t="s">
        <v>347</v>
      </c>
      <c r="S101" s="1243" t="s">
        <v>5868</v>
      </c>
      <c r="T101" s="1229" t="s">
        <v>5873</v>
      </c>
      <c r="U101" s="1233">
        <v>46149</v>
      </c>
      <c r="V101" s="1294">
        <v>0.73611111111111116</v>
      </c>
      <c r="W101" s="1233">
        <v>46149</v>
      </c>
      <c r="X101" s="1240"/>
      <c r="Y101" s="1240"/>
      <c r="Z101" s="1240"/>
      <c r="AA101" s="1240"/>
      <c r="AB101" s="1169"/>
      <c r="AC101" s="1169"/>
      <c r="AD101" s="1169"/>
      <c r="AE101" s="1169"/>
      <c r="AF101" s="1169"/>
      <c r="AG101" s="1169"/>
      <c r="AH101" s="1169"/>
      <c r="AI101" s="1169"/>
      <c r="AJ101" s="1169"/>
      <c r="AK101" s="1169"/>
      <c r="AL101" s="1169"/>
      <c r="AM101" s="1169"/>
      <c r="AN101" s="1169"/>
      <c r="AO101" s="1169"/>
      <c r="AP101" s="1169"/>
      <c r="AQ101" s="1169"/>
      <c r="AR101" s="1169"/>
      <c r="AS101" s="1169"/>
      <c r="AT101" s="1169"/>
      <c r="AU101" s="1169"/>
      <c r="AV101" s="1169"/>
      <c r="AW101" s="1169"/>
      <c r="AX101" s="1169"/>
      <c r="AY101" s="1169"/>
      <c r="AZ101" s="1169"/>
      <c r="BA101" s="1169"/>
      <c r="BB101" s="1169"/>
      <c r="BC101" s="1169"/>
      <c r="BD101" s="1169"/>
      <c r="BE101" s="1169"/>
      <c r="BF101" s="1169"/>
      <c r="BG101" s="1169"/>
      <c r="BH101" s="1169"/>
      <c r="BI101" s="1169"/>
      <c r="BJ101" s="1169"/>
      <c r="BK101" s="1169"/>
      <c r="BL101" s="1169"/>
      <c r="BM101" s="1169"/>
      <c r="BN101" s="1169"/>
      <c r="BO101" s="1169"/>
      <c r="BP101" s="1169"/>
      <c r="BQ101" s="1169"/>
      <c r="BR101" s="1169"/>
      <c r="BS101" s="1169"/>
      <c r="BT101" s="1169"/>
      <c r="BU101" s="1169"/>
      <c r="BV101" s="1169"/>
      <c r="BW101" s="1169"/>
      <c r="BX101" s="1169"/>
      <c r="BY101" s="1169"/>
      <c r="BZ101" s="1169"/>
      <c r="CA101" s="1169"/>
      <c r="CB101" s="1169"/>
      <c r="CC101" s="1169"/>
      <c r="CD101" s="1169"/>
      <c r="CE101" s="1169"/>
      <c r="CF101" s="1169"/>
      <c r="CG101" s="1169"/>
      <c r="CH101" s="1169"/>
      <c r="CI101" s="1169"/>
      <c r="CJ101" s="1169"/>
      <c r="CK101" s="1169"/>
      <c r="CL101" s="1169"/>
      <c r="CM101" s="1169"/>
      <c r="CN101" s="1169"/>
      <c r="CO101" s="1169"/>
      <c r="CP101" s="1169"/>
      <c r="CQ101" s="1169"/>
      <c r="CR101" s="1169"/>
      <c r="CS101" s="1169"/>
      <c r="CT101" s="1169"/>
      <c r="CU101" s="1169"/>
      <c r="CV101" s="1169"/>
      <c r="CW101" s="1169"/>
      <c r="CX101" s="1169"/>
      <c r="CY101" s="1169"/>
      <c r="CZ101" s="1169"/>
      <c r="DA101" s="1169"/>
      <c r="DB101" s="1169"/>
      <c r="DC101" s="1169"/>
      <c r="DD101" s="1169"/>
      <c r="DE101" s="1169"/>
      <c r="DF101" s="1169"/>
      <c r="DG101" s="1169"/>
      <c r="DH101" s="1169"/>
      <c r="DI101" s="1169"/>
      <c r="DJ101" s="1169"/>
      <c r="DK101" s="1169"/>
      <c r="DL101" s="1169"/>
      <c r="DM101" s="1169"/>
      <c r="DN101" s="1169"/>
      <c r="DO101" s="1169"/>
      <c r="DP101" s="1169"/>
      <c r="DQ101" s="1169"/>
      <c r="DR101" s="1169"/>
      <c r="DS101" s="1169"/>
      <c r="DT101" s="1169"/>
      <c r="DU101" s="1169"/>
      <c r="DV101" s="1169"/>
      <c r="DW101" s="1169"/>
      <c r="DX101" s="1169"/>
      <c r="DY101" s="1169"/>
      <c r="DZ101" s="1169"/>
      <c r="EA101" s="1169"/>
      <c r="EB101" s="1169"/>
      <c r="EC101" s="1169"/>
      <c r="ED101" s="1169"/>
      <c r="EE101" s="1169"/>
      <c r="EF101" s="1169"/>
      <c r="EG101" s="1169"/>
      <c r="EH101" s="1169"/>
      <c r="EI101" s="1169"/>
      <c r="EJ101" s="1169"/>
      <c r="EK101" s="1169"/>
      <c r="EL101" s="1169"/>
      <c r="EM101" s="1169"/>
      <c r="EN101" s="1169"/>
      <c r="EO101" s="1169"/>
      <c r="EP101" s="1169"/>
      <c r="EQ101" s="1169"/>
      <c r="ER101" s="1169"/>
      <c r="ES101" s="1169"/>
      <c r="ET101" s="1169"/>
      <c r="EU101" s="1169"/>
      <c r="EV101" s="1169"/>
      <c r="EW101" s="1169"/>
      <c r="EX101" s="1169"/>
      <c r="EY101" s="1169"/>
      <c r="EZ101" s="1169"/>
      <c r="FA101" s="1169"/>
      <c r="FB101" s="1169"/>
      <c r="FC101" s="1169"/>
      <c r="FD101" s="1169"/>
      <c r="FE101" s="1169"/>
      <c r="FF101" s="1169"/>
      <c r="FG101" s="1169"/>
      <c r="FH101" s="1169"/>
      <c r="FI101" s="1169"/>
      <c r="FJ101" s="1169"/>
      <c r="FK101" s="1169"/>
      <c r="FL101" s="1169"/>
      <c r="FM101" s="1169"/>
      <c r="FN101" s="1169"/>
      <c r="FO101" s="1169"/>
      <c r="FP101" s="1169"/>
      <c r="FQ101" s="1169"/>
      <c r="FR101" s="1169"/>
      <c r="FS101" s="1169"/>
      <c r="FT101" s="1169"/>
      <c r="FU101" s="1169"/>
      <c r="FV101" s="1169"/>
      <c r="FW101" s="1169"/>
      <c r="FX101" s="1169"/>
      <c r="FY101" s="1169"/>
      <c r="FZ101" s="1169"/>
      <c r="GA101" s="1169"/>
      <c r="GB101" s="1169"/>
      <c r="GC101" s="1169"/>
      <c r="GD101" s="1169"/>
      <c r="GE101" s="1169"/>
      <c r="GF101" s="1169"/>
      <c r="GG101" s="1169"/>
      <c r="GH101" s="1169"/>
      <c r="GI101" s="1169"/>
      <c r="GJ101" s="1169"/>
      <c r="GK101" s="43"/>
      <c r="GL101" s="43"/>
      <c r="GM101" s="43"/>
      <c r="GN101" s="43"/>
    </row>
    <row r="102" spans="1:196" ht="15" customHeight="1">
      <c r="A102" s="1350" t="s">
        <v>6188</v>
      </c>
      <c r="B102" s="1379">
        <v>1</v>
      </c>
      <c r="C102" s="1262">
        <v>161214</v>
      </c>
      <c r="D102" s="957">
        <v>15731250</v>
      </c>
      <c r="E102" s="1107" t="s">
        <v>6189</v>
      </c>
      <c r="F102" s="1380">
        <v>46149</v>
      </c>
      <c r="G102" s="1106">
        <v>55</v>
      </c>
      <c r="H102" s="1374">
        <v>25801</v>
      </c>
      <c r="I102" s="1266">
        <v>46150</v>
      </c>
      <c r="J102" s="1262" t="s">
        <v>5990</v>
      </c>
      <c r="K102" s="1262" t="s">
        <v>6190</v>
      </c>
      <c r="L102" s="1262" t="s">
        <v>301</v>
      </c>
      <c r="M102" s="1381">
        <v>989363268</v>
      </c>
      <c r="N102" s="1262"/>
      <c r="O102" s="112" t="s">
        <v>5865</v>
      </c>
      <c r="P102" s="1367" t="s">
        <v>5866</v>
      </c>
      <c r="Q102" s="1378" t="s">
        <v>5867</v>
      </c>
      <c r="R102" s="1106" t="s">
        <v>6191</v>
      </c>
      <c r="S102" s="1382" t="s">
        <v>5953</v>
      </c>
      <c r="T102" s="1262" t="s">
        <v>5873</v>
      </c>
      <c r="U102" s="1266">
        <v>46150</v>
      </c>
      <c r="V102" s="1366">
        <v>0.2986111111111111</v>
      </c>
      <c r="W102" s="1266">
        <v>46150</v>
      </c>
      <c r="X102" s="1169"/>
      <c r="Y102" s="1169"/>
      <c r="Z102" s="1169"/>
      <c r="AA102" s="1169"/>
      <c r="AB102" s="1169"/>
      <c r="AC102" s="1169"/>
      <c r="AD102" s="1169"/>
      <c r="AE102" s="1169"/>
      <c r="AF102" s="1169"/>
      <c r="AG102" s="1169"/>
      <c r="AH102" s="1169"/>
      <c r="AI102" s="1169"/>
      <c r="AJ102" s="1169"/>
      <c r="AK102" s="1169"/>
      <c r="AL102" s="1169"/>
      <c r="AM102" s="1169"/>
      <c r="AN102" s="1169"/>
      <c r="AO102" s="1169"/>
      <c r="AP102" s="1169"/>
      <c r="AQ102" s="1169"/>
      <c r="AR102" s="1169"/>
      <c r="AS102" s="1169"/>
      <c r="AT102" s="1169"/>
      <c r="AU102" s="1169"/>
      <c r="AV102" s="1169"/>
      <c r="AW102" s="1169"/>
      <c r="AX102" s="1169"/>
      <c r="AY102" s="1169"/>
      <c r="AZ102" s="1169"/>
      <c r="BA102" s="1169"/>
      <c r="BB102" s="1169"/>
      <c r="BC102" s="1169"/>
      <c r="BD102" s="1169"/>
      <c r="BE102" s="1169"/>
      <c r="BF102" s="1169"/>
      <c r="BG102" s="1169"/>
      <c r="BH102" s="1169"/>
      <c r="BI102" s="1169"/>
      <c r="BJ102" s="1169"/>
      <c r="BK102" s="1169"/>
      <c r="BL102" s="1169"/>
      <c r="BM102" s="1169"/>
      <c r="BN102" s="1169"/>
      <c r="BO102" s="1169"/>
      <c r="BP102" s="1169"/>
      <c r="BQ102" s="1169"/>
      <c r="BR102" s="1169"/>
      <c r="BS102" s="1169"/>
      <c r="BT102" s="1169"/>
      <c r="BU102" s="1169"/>
      <c r="BV102" s="1169"/>
      <c r="BW102" s="1169"/>
      <c r="BX102" s="1169"/>
      <c r="BY102" s="1169"/>
      <c r="BZ102" s="1169"/>
      <c r="CA102" s="1169"/>
      <c r="CB102" s="1169"/>
      <c r="CC102" s="1169"/>
      <c r="CD102" s="1169"/>
      <c r="CE102" s="1169"/>
      <c r="CF102" s="1169"/>
      <c r="CG102" s="1169"/>
      <c r="CH102" s="1169"/>
      <c r="CI102" s="1169"/>
      <c r="CJ102" s="1169"/>
      <c r="CK102" s="1169"/>
      <c r="CL102" s="1169"/>
      <c r="CM102" s="1169"/>
      <c r="CN102" s="1169"/>
      <c r="CO102" s="1169"/>
      <c r="CP102" s="1169"/>
      <c r="CQ102" s="1169"/>
      <c r="CR102" s="1169"/>
      <c r="CS102" s="1169"/>
      <c r="CT102" s="1169"/>
      <c r="CU102" s="1169"/>
      <c r="CV102" s="1169"/>
      <c r="CW102" s="1169"/>
      <c r="CX102" s="1169"/>
      <c r="CY102" s="1169"/>
      <c r="CZ102" s="1169"/>
      <c r="DA102" s="1169"/>
      <c r="DB102" s="1169"/>
      <c r="DC102" s="1169"/>
      <c r="DD102" s="1169"/>
      <c r="DE102" s="1169"/>
      <c r="DF102" s="1169"/>
      <c r="DG102" s="1169"/>
      <c r="DH102" s="1169"/>
      <c r="DI102" s="1169"/>
      <c r="DJ102" s="1169"/>
      <c r="DK102" s="1169"/>
      <c r="DL102" s="1169"/>
      <c r="DM102" s="1169"/>
      <c r="DN102" s="1169"/>
      <c r="DO102" s="1169"/>
      <c r="DP102" s="1169"/>
      <c r="DQ102" s="1169"/>
      <c r="DR102" s="1169"/>
      <c r="DS102" s="1169"/>
      <c r="DT102" s="1169"/>
      <c r="DU102" s="1169"/>
      <c r="DV102" s="1169"/>
      <c r="DW102" s="1169"/>
      <c r="DX102" s="1169"/>
      <c r="DY102" s="1169"/>
      <c r="DZ102" s="1169"/>
      <c r="EA102" s="1169"/>
      <c r="EB102" s="1169"/>
      <c r="EC102" s="1169"/>
      <c r="ED102" s="1169"/>
      <c r="EE102" s="1169"/>
      <c r="EF102" s="1169"/>
      <c r="EG102" s="1169"/>
      <c r="EH102" s="1169"/>
      <c r="EI102" s="1169"/>
      <c r="EJ102" s="1169"/>
      <c r="EK102" s="1169"/>
      <c r="EL102" s="1169"/>
      <c r="EM102" s="1169"/>
      <c r="EN102" s="1169"/>
      <c r="EO102" s="1169"/>
      <c r="EP102" s="1169"/>
      <c r="EQ102" s="1169"/>
      <c r="ER102" s="1169"/>
      <c r="ES102" s="1169"/>
      <c r="ET102" s="1169"/>
      <c r="EU102" s="1169"/>
      <c r="EV102" s="1169"/>
      <c r="EW102" s="1169"/>
      <c r="EX102" s="1169"/>
      <c r="EY102" s="1169"/>
      <c r="EZ102" s="1169"/>
      <c r="FA102" s="1169"/>
      <c r="FB102" s="1169"/>
      <c r="FC102" s="1169"/>
      <c r="FD102" s="1169"/>
      <c r="FE102" s="1169"/>
      <c r="FF102" s="1169"/>
      <c r="FG102" s="1169"/>
      <c r="FH102" s="1169"/>
      <c r="FI102" s="1169"/>
      <c r="FJ102" s="1169"/>
      <c r="FK102" s="1169"/>
      <c r="FL102" s="1169"/>
      <c r="FM102" s="1169"/>
      <c r="FN102" s="1169"/>
      <c r="FO102" s="1169"/>
      <c r="FP102" s="1169"/>
      <c r="FQ102" s="1169"/>
      <c r="FR102" s="1169"/>
      <c r="FS102" s="1169"/>
      <c r="FT102" s="1169"/>
      <c r="FU102" s="1169"/>
      <c r="FV102" s="1169"/>
      <c r="FW102" s="1169"/>
      <c r="FX102" s="1169"/>
      <c r="FY102" s="1169"/>
      <c r="FZ102" s="1169"/>
      <c r="GA102" s="1169"/>
      <c r="GB102" s="1169"/>
      <c r="GC102" s="1169"/>
      <c r="GD102" s="1169"/>
      <c r="GE102" s="1169"/>
      <c r="GF102" s="1169"/>
      <c r="GG102" s="1169"/>
      <c r="GH102" s="1169"/>
      <c r="GI102" s="1169"/>
      <c r="GJ102" s="1169"/>
      <c r="GK102" s="434"/>
      <c r="GL102" s="434"/>
      <c r="GM102" s="434"/>
      <c r="GN102" s="434"/>
    </row>
    <row r="103" spans="1:196" ht="15" customHeight="1">
      <c r="A103" s="1262"/>
      <c r="B103" s="1262">
        <v>2</v>
      </c>
      <c r="C103" s="1262">
        <v>525693</v>
      </c>
      <c r="D103" s="47">
        <v>42711121</v>
      </c>
      <c r="E103" s="1383" t="s">
        <v>6192</v>
      </c>
      <c r="F103" s="1373">
        <v>46150</v>
      </c>
      <c r="G103" s="1384">
        <v>42</v>
      </c>
      <c r="H103" s="1374">
        <v>30994</v>
      </c>
      <c r="I103" s="1266">
        <v>46150</v>
      </c>
      <c r="J103" s="1262" t="s">
        <v>5990</v>
      </c>
      <c r="K103" s="1262" t="s">
        <v>6193</v>
      </c>
      <c r="L103" s="1262" t="s">
        <v>2505</v>
      </c>
      <c r="M103" s="1384">
        <v>906980879</v>
      </c>
      <c r="N103" s="1262"/>
      <c r="O103" s="43" t="s">
        <v>5865</v>
      </c>
      <c r="P103" s="325" t="s">
        <v>5866</v>
      </c>
      <c r="Q103" s="43" t="s">
        <v>5867</v>
      </c>
      <c r="R103" s="1385" t="s">
        <v>162</v>
      </c>
      <c r="S103" s="1262" t="s">
        <v>5868</v>
      </c>
      <c r="T103" s="1262" t="s">
        <v>5873</v>
      </c>
      <c r="U103" s="1374">
        <v>46150</v>
      </c>
      <c r="V103" s="1366">
        <v>0.30555555555555558</v>
      </c>
      <c r="W103" s="1266">
        <v>46150</v>
      </c>
      <c r="X103" s="1169"/>
      <c r="Y103" s="1169"/>
      <c r="Z103" s="1169"/>
      <c r="AA103" s="1169"/>
      <c r="AB103" s="1169"/>
      <c r="AC103" s="1169"/>
      <c r="AD103" s="1169"/>
      <c r="AE103" s="1169"/>
      <c r="AF103" s="1169"/>
      <c r="AG103" s="1169"/>
      <c r="AH103" s="1169"/>
      <c r="AI103" s="1169"/>
      <c r="AJ103" s="1169"/>
      <c r="AK103" s="1169"/>
      <c r="AL103" s="1169"/>
      <c r="AM103" s="1169"/>
      <c r="AN103" s="1169"/>
      <c r="AO103" s="1169"/>
      <c r="AP103" s="1169"/>
      <c r="AQ103" s="1169"/>
      <c r="AR103" s="1169"/>
      <c r="AS103" s="1169"/>
      <c r="AT103" s="1169"/>
      <c r="AU103" s="1169"/>
      <c r="AV103" s="1169"/>
      <c r="AW103" s="1169"/>
      <c r="AX103" s="1169"/>
      <c r="AY103" s="1169"/>
      <c r="AZ103" s="1169"/>
      <c r="BA103" s="1169"/>
      <c r="BB103" s="1169"/>
      <c r="BC103" s="1169"/>
      <c r="BD103" s="1169"/>
      <c r="BE103" s="1169"/>
      <c r="BF103" s="1169"/>
      <c r="BG103" s="1169"/>
      <c r="BH103" s="1169"/>
      <c r="BI103" s="1169"/>
      <c r="BJ103" s="1169"/>
      <c r="BK103" s="1169"/>
      <c r="BL103" s="1169"/>
      <c r="BM103" s="1169"/>
      <c r="BN103" s="1169"/>
      <c r="BO103" s="1169"/>
      <c r="BP103" s="1169"/>
      <c r="BQ103" s="1169"/>
      <c r="BR103" s="1169"/>
      <c r="BS103" s="1169"/>
      <c r="BT103" s="1169"/>
      <c r="BU103" s="1169"/>
      <c r="BV103" s="1169"/>
      <c r="BW103" s="1169"/>
      <c r="BX103" s="1169"/>
      <c r="BY103" s="1169"/>
      <c r="BZ103" s="1169"/>
      <c r="CA103" s="1169"/>
      <c r="CB103" s="1169"/>
      <c r="CC103" s="1169"/>
      <c r="CD103" s="1169"/>
      <c r="CE103" s="1169"/>
      <c r="CF103" s="1169"/>
      <c r="CG103" s="1169"/>
      <c r="CH103" s="1169"/>
      <c r="CI103" s="1169"/>
      <c r="CJ103" s="1169"/>
      <c r="CK103" s="1169"/>
      <c r="CL103" s="1169"/>
      <c r="CM103" s="1169"/>
      <c r="CN103" s="1169"/>
      <c r="CO103" s="1169"/>
      <c r="CP103" s="1169"/>
      <c r="CQ103" s="1169"/>
      <c r="CR103" s="1169"/>
      <c r="CS103" s="1169"/>
      <c r="CT103" s="1169"/>
      <c r="CU103" s="1169"/>
      <c r="CV103" s="1169"/>
      <c r="CW103" s="1169"/>
      <c r="CX103" s="1169"/>
      <c r="CY103" s="1169"/>
      <c r="CZ103" s="1169"/>
      <c r="DA103" s="1169"/>
      <c r="DB103" s="1169"/>
      <c r="DC103" s="1169"/>
      <c r="DD103" s="1169"/>
      <c r="DE103" s="1169"/>
      <c r="DF103" s="1169"/>
      <c r="DG103" s="1169"/>
      <c r="DH103" s="1169"/>
      <c r="DI103" s="1169"/>
      <c r="DJ103" s="1169"/>
      <c r="DK103" s="1169"/>
      <c r="DL103" s="1169"/>
      <c r="DM103" s="1169"/>
      <c r="DN103" s="1169"/>
      <c r="DO103" s="1169"/>
      <c r="DP103" s="1169"/>
      <c r="DQ103" s="1169"/>
      <c r="DR103" s="1169"/>
      <c r="DS103" s="1169"/>
      <c r="DT103" s="1169"/>
      <c r="DU103" s="1169"/>
      <c r="DV103" s="1169"/>
      <c r="DW103" s="1169"/>
      <c r="DX103" s="1169"/>
      <c r="DY103" s="1169"/>
      <c r="DZ103" s="1169"/>
      <c r="EA103" s="1169"/>
      <c r="EB103" s="1169"/>
      <c r="EC103" s="1169"/>
      <c r="ED103" s="1169"/>
      <c r="EE103" s="1169"/>
      <c r="EF103" s="1169"/>
      <c r="EG103" s="1169"/>
      <c r="EH103" s="1169"/>
      <c r="EI103" s="1169"/>
      <c r="EJ103" s="1169"/>
      <c r="EK103" s="1169"/>
      <c r="EL103" s="1169"/>
      <c r="EM103" s="1169"/>
      <c r="EN103" s="1169"/>
      <c r="EO103" s="1169"/>
      <c r="EP103" s="1169"/>
      <c r="EQ103" s="1169"/>
      <c r="ER103" s="1169"/>
      <c r="ES103" s="1169"/>
      <c r="ET103" s="1169"/>
      <c r="EU103" s="1169"/>
      <c r="EV103" s="1169"/>
      <c r="EW103" s="1169"/>
      <c r="EX103" s="1169"/>
      <c r="EY103" s="1169"/>
      <c r="EZ103" s="1169"/>
      <c r="FA103" s="1169"/>
      <c r="FB103" s="1169"/>
      <c r="FC103" s="1169"/>
      <c r="FD103" s="1169"/>
      <c r="FE103" s="1169"/>
      <c r="FF103" s="1169"/>
      <c r="FG103" s="1169"/>
      <c r="FH103" s="1169"/>
      <c r="FI103" s="1169"/>
      <c r="FJ103" s="1169"/>
      <c r="FK103" s="1169"/>
      <c r="FL103" s="1169"/>
      <c r="FM103" s="1169"/>
      <c r="FN103" s="1169"/>
      <c r="FO103" s="1169"/>
      <c r="FP103" s="1169"/>
      <c r="FQ103" s="1169"/>
      <c r="FR103" s="1169"/>
      <c r="FS103" s="1169"/>
      <c r="FT103" s="1169"/>
      <c r="FU103" s="1169"/>
      <c r="FV103" s="1169"/>
      <c r="FW103" s="1169"/>
      <c r="FX103" s="1169"/>
      <c r="FY103" s="1169"/>
      <c r="FZ103" s="1169"/>
      <c r="GA103" s="1169"/>
      <c r="GB103" s="1169"/>
      <c r="GC103" s="1169"/>
      <c r="GD103" s="1169"/>
      <c r="GE103" s="1169"/>
      <c r="GF103" s="1169"/>
      <c r="GG103" s="1169"/>
      <c r="GH103" s="1169"/>
      <c r="GI103" s="1169"/>
      <c r="GJ103" s="1169"/>
      <c r="GK103" s="434"/>
      <c r="GL103" s="434"/>
      <c r="GM103" s="434"/>
      <c r="GN103" s="434"/>
    </row>
    <row r="104" spans="1:196" ht="15" customHeight="1">
      <c r="A104" s="206"/>
      <c r="B104" s="43">
        <v>3</v>
      </c>
      <c r="C104" s="43">
        <v>525278</v>
      </c>
      <c r="D104" s="1054" t="s">
        <v>6194</v>
      </c>
      <c r="E104" s="648" t="s">
        <v>6195</v>
      </c>
      <c r="F104" s="44">
        <v>26886</v>
      </c>
      <c r="G104" s="1087">
        <v>52</v>
      </c>
      <c r="H104" s="44">
        <v>26886</v>
      </c>
      <c r="I104" s="44">
        <v>46150</v>
      </c>
      <c r="J104" s="43" t="s">
        <v>5990</v>
      </c>
      <c r="K104" s="43" t="s">
        <v>6196</v>
      </c>
      <c r="L104" s="43" t="s">
        <v>301</v>
      </c>
      <c r="M104" s="43">
        <v>904068889</v>
      </c>
      <c r="N104" s="43"/>
      <c r="O104" s="43" t="s">
        <v>5865</v>
      </c>
      <c r="P104" s="325" t="s">
        <v>5866</v>
      </c>
      <c r="Q104" s="43" t="s">
        <v>5867</v>
      </c>
      <c r="R104" s="43" t="s">
        <v>302</v>
      </c>
      <c r="S104" s="43" t="s">
        <v>5953</v>
      </c>
      <c r="T104" s="43" t="s">
        <v>5873</v>
      </c>
      <c r="U104" s="44">
        <v>46150</v>
      </c>
      <c r="V104" s="953">
        <v>0.31944444444444442</v>
      </c>
      <c r="W104" s="44">
        <v>46150</v>
      </c>
      <c r="X104" s="955"/>
      <c r="Y104" s="43"/>
      <c r="Z104" s="43"/>
      <c r="AA104" s="46"/>
      <c r="AB104" s="1386"/>
      <c r="AC104" s="1387"/>
      <c r="AD104" s="1387"/>
      <c r="AE104" s="434"/>
      <c r="AF104" s="434"/>
      <c r="AG104" s="434"/>
      <c r="AH104" s="434"/>
      <c r="AI104" s="434"/>
      <c r="AJ104" s="434"/>
      <c r="AK104" s="434"/>
      <c r="AL104" s="434"/>
      <c r="AM104" s="434"/>
      <c r="AN104" s="434"/>
      <c r="AO104" s="434"/>
      <c r="AP104" s="434"/>
      <c r="AQ104" s="434"/>
      <c r="AR104" s="434"/>
      <c r="AS104" s="434"/>
      <c r="AT104" s="434"/>
      <c r="AU104" s="434"/>
      <c r="AV104" s="434"/>
      <c r="AW104" s="434"/>
      <c r="AX104" s="434"/>
      <c r="AY104" s="434"/>
      <c r="AZ104" s="434"/>
      <c r="BA104" s="434"/>
      <c r="BB104" s="434"/>
      <c r="BC104" s="434"/>
      <c r="BD104" s="434"/>
      <c r="BE104" s="434"/>
      <c r="BF104" s="434"/>
      <c r="BG104" s="434"/>
      <c r="BH104" s="434"/>
      <c r="BI104" s="434"/>
      <c r="BJ104" s="434"/>
      <c r="BK104" s="434"/>
      <c r="BL104" s="434"/>
      <c r="BM104" s="434"/>
      <c r="BN104" s="434"/>
      <c r="BO104" s="434"/>
      <c r="BP104" s="434"/>
      <c r="BQ104" s="434"/>
      <c r="BR104" s="434"/>
      <c r="BS104" s="434"/>
      <c r="BT104" s="434"/>
      <c r="BU104" s="434"/>
      <c r="BV104" s="434"/>
      <c r="BW104" s="434"/>
      <c r="BX104" s="434"/>
      <c r="BY104" s="434"/>
      <c r="BZ104" s="434"/>
      <c r="CA104" s="434"/>
      <c r="CB104" s="434"/>
      <c r="CC104" s="434"/>
      <c r="CD104" s="434"/>
      <c r="CE104" s="434"/>
      <c r="CF104" s="434"/>
      <c r="CG104" s="434"/>
      <c r="CH104" s="434"/>
      <c r="CI104" s="434"/>
      <c r="CJ104" s="434"/>
      <c r="CK104" s="434"/>
      <c r="CL104" s="434"/>
      <c r="CM104" s="434"/>
      <c r="CN104" s="434"/>
      <c r="CO104" s="434"/>
      <c r="CP104" s="434"/>
      <c r="CQ104" s="434"/>
      <c r="CR104" s="434"/>
      <c r="CS104" s="434"/>
      <c r="CT104" s="434"/>
      <c r="CU104" s="434"/>
      <c r="CV104" s="434"/>
      <c r="CW104" s="434"/>
      <c r="CX104" s="434"/>
      <c r="CY104" s="434"/>
      <c r="CZ104" s="434"/>
      <c r="DA104" s="434"/>
      <c r="DB104" s="434"/>
      <c r="DC104" s="434"/>
      <c r="DD104" s="434"/>
      <c r="DE104" s="434"/>
      <c r="DF104" s="434"/>
      <c r="DG104" s="434"/>
      <c r="DH104" s="434"/>
      <c r="DI104" s="434"/>
      <c r="DJ104" s="434"/>
      <c r="DK104" s="434"/>
      <c r="DL104" s="434"/>
      <c r="DM104" s="434"/>
      <c r="DN104" s="434"/>
      <c r="DO104" s="434"/>
      <c r="DP104" s="434"/>
      <c r="DQ104" s="434"/>
      <c r="DR104" s="434"/>
      <c r="DS104" s="434"/>
      <c r="DT104" s="434"/>
      <c r="DU104" s="434"/>
      <c r="DV104" s="434"/>
      <c r="DW104" s="434"/>
      <c r="DX104" s="434"/>
      <c r="DY104" s="434"/>
      <c r="DZ104" s="434"/>
      <c r="EA104" s="434"/>
      <c r="EB104" s="434"/>
      <c r="EC104" s="434"/>
      <c r="ED104" s="434"/>
      <c r="EE104" s="434"/>
      <c r="EF104" s="434"/>
      <c r="EG104" s="434"/>
      <c r="EH104" s="434"/>
      <c r="EI104" s="434"/>
      <c r="EJ104" s="434"/>
      <c r="EK104" s="434"/>
      <c r="EL104" s="434"/>
      <c r="EM104" s="434"/>
      <c r="EN104" s="434"/>
      <c r="EO104" s="434"/>
      <c r="EP104" s="434"/>
      <c r="EQ104" s="434"/>
      <c r="ER104" s="434"/>
      <c r="ES104" s="434"/>
      <c r="ET104" s="434"/>
      <c r="EU104" s="434"/>
      <c r="EV104" s="434"/>
      <c r="EW104" s="434"/>
      <c r="EX104" s="434"/>
      <c r="EY104" s="434"/>
      <c r="EZ104" s="434"/>
      <c r="FA104" s="434"/>
      <c r="FB104" s="434"/>
      <c r="FC104" s="434"/>
      <c r="FD104" s="434"/>
      <c r="FE104" s="434"/>
      <c r="FF104" s="434"/>
      <c r="FG104" s="434"/>
      <c r="FH104" s="434"/>
      <c r="FI104" s="434"/>
      <c r="FJ104" s="434"/>
      <c r="FK104" s="434"/>
      <c r="FL104" s="434"/>
      <c r="FM104" s="434"/>
      <c r="FN104" s="434"/>
      <c r="FO104" s="434"/>
      <c r="FP104" s="434"/>
      <c r="FQ104" s="434"/>
      <c r="FR104" s="434"/>
      <c r="FS104" s="434"/>
      <c r="FT104" s="434"/>
      <c r="FU104" s="434"/>
      <c r="FV104" s="434"/>
      <c r="FW104" s="434"/>
      <c r="FX104" s="434"/>
      <c r="FY104" s="434"/>
      <c r="FZ104" s="434"/>
      <c r="GA104" s="434"/>
      <c r="GB104" s="434"/>
      <c r="GC104" s="434"/>
      <c r="GD104" s="434"/>
      <c r="GE104" s="434"/>
      <c r="GF104" s="434"/>
      <c r="GG104" s="434"/>
      <c r="GH104" s="434"/>
      <c r="GI104" s="434"/>
      <c r="GJ104" s="434"/>
      <c r="GK104" s="434"/>
      <c r="GL104" s="434"/>
      <c r="GM104" s="434"/>
      <c r="GN104" s="434"/>
    </row>
    <row r="105" spans="1:196" ht="15" customHeight="1">
      <c r="A105" s="206"/>
      <c r="B105" s="43">
        <v>4</v>
      </c>
      <c r="C105" s="43">
        <v>90912</v>
      </c>
      <c r="D105" s="1054" t="s">
        <v>6197</v>
      </c>
      <c r="E105" s="648" t="s">
        <v>6198</v>
      </c>
      <c r="F105" s="44">
        <v>29167</v>
      </c>
      <c r="G105" s="43">
        <v>46</v>
      </c>
      <c r="H105" s="44">
        <v>29167</v>
      </c>
      <c r="I105" s="44">
        <v>46150</v>
      </c>
      <c r="J105" s="43" t="s">
        <v>5986</v>
      </c>
      <c r="K105" s="43" t="s">
        <v>6199</v>
      </c>
      <c r="L105" s="43" t="s">
        <v>278</v>
      </c>
      <c r="M105" s="43">
        <v>972370116</v>
      </c>
      <c r="N105" s="43"/>
      <c r="O105" s="43" t="s">
        <v>5865</v>
      </c>
      <c r="P105" s="1367" t="s">
        <v>5866</v>
      </c>
      <c r="Q105" s="112" t="s">
        <v>6181</v>
      </c>
      <c r="R105" s="43" t="s">
        <v>238</v>
      </c>
      <c r="S105" s="43" t="s">
        <v>5868</v>
      </c>
      <c r="T105" s="43" t="s">
        <v>5873</v>
      </c>
      <c r="U105" s="44">
        <v>46150</v>
      </c>
      <c r="V105" s="953">
        <v>0.34722222222222221</v>
      </c>
      <c r="W105" s="44">
        <v>46150</v>
      </c>
      <c r="X105" s="955"/>
      <c r="Y105" s="43"/>
      <c r="Z105" s="43"/>
      <c r="AA105" s="46"/>
      <c r="AB105" s="1386"/>
      <c r="AC105" s="1387"/>
      <c r="AD105" s="1387"/>
      <c r="AE105" s="434"/>
      <c r="AF105" s="434"/>
      <c r="AG105" s="434"/>
      <c r="AH105" s="434"/>
      <c r="AI105" s="434"/>
      <c r="AJ105" s="434"/>
      <c r="AK105" s="434"/>
      <c r="AL105" s="434"/>
      <c r="AM105" s="434"/>
      <c r="AN105" s="434"/>
      <c r="AO105" s="434"/>
      <c r="AP105" s="434"/>
      <c r="AQ105" s="434"/>
      <c r="AR105" s="434"/>
      <c r="AS105" s="434"/>
      <c r="AT105" s="434"/>
      <c r="AU105" s="434"/>
      <c r="AV105" s="434"/>
      <c r="AW105" s="434"/>
      <c r="AX105" s="434"/>
      <c r="AY105" s="434"/>
      <c r="AZ105" s="434"/>
      <c r="BA105" s="434"/>
      <c r="BB105" s="434"/>
      <c r="BC105" s="434"/>
      <c r="BD105" s="434"/>
      <c r="BE105" s="434"/>
      <c r="BF105" s="434"/>
      <c r="BG105" s="434"/>
      <c r="BH105" s="434"/>
      <c r="BI105" s="434"/>
      <c r="BJ105" s="434"/>
      <c r="BK105" s="434"/>
      <c r="BL105" s="434"/>
      <c r="BM105" s="434"/>
      <c r="BN105" s="434"/>
      <c r="BO105" s="434"/>
      <c r="BP105" s="434"/>
      <c r="BQ105" s="434"/>
      <c r="BR105" s="434"/>
      <c r="BS105" s="434"/>
      <c r="BT105" s="434"/>
      <c r="BU105" s="434"/>
      <c r="BV105" s="434"/>
      <c r="BW105" s="434"/>
      <c r="BX105" s="434"/>
      <c r="BY105" s="434"/>
      <c r="BZ105" s="434"/>
      <c r="CA105" s="434"/>
      <c r="CB105" s="434"/>
      <c r="CC105" s="434"/>
      <c r="CD105" s="434"/>
      <c r="CE105" s="434"/>
      <c r="CF105" s="434"/>
      <c r="CG105" s="434"/>
      <c r="CH105" s="434"/>
      <c r="CI105" s="434"/>
      <c r="CJ105" s="434"/>
      <c r="CK105" s="434"/>
      <c r="CL105" s="434"/>
      <c r="CM105" s="434"/>
      <c r="CN105" s="434"/>
      <c r="CO105" s="434"/>
      <c r="CP105" s="434"/>
      <c r="CQ105" s="434"/>
      <c r="CR105" s="434"/>
      <c r="CS105" s="434"/>
      <c r="CT105" s="434"/>
      <c r="CU105" s="434"/>
      <c r="CV105" s="434"/>
      <c r="CW105" s="434"/>
      <c r="CX105" s="434"/>
      <c r="CY105" s="434"/>
      <c r="CZ105" s="434"/>
      <c r="DA105" s="434"/>
      <c r="DB105" s="434"/>
      <c r="DC105" s="434"/>
      <c r="DD105" s="434"/>
      <c r="DE105" s="434"/>
      <c r="DF105" s="434"/>
      <c r="DG105" s="434"/>
      <c r="DH105" s="434"/>
      <c r="DI105" s="434"/>
      <c r="DJ105" s="434"/>
      <c r="DK105" s="434"/>
      <c r="DL105" s="434"/>
      <c r="DM105" s="434"/>
      <c r="DN105" s="434"/>
      <c r="DO105" s="434"/>
      <c r="DP105" s="434"/>
      <c r="DQ105" s="434"/>
      <c r="DR105" s="434"/>
      <c r="DS105" s="434"/>
      <c r="DT105" s="434"/>
      <c r="DU105" s="434"/>
      <c r="DV105" s="434"/>
      <c r="DW105" s="434"/>
      <c r="DX105" s="434"/>
      <c r="DY105" s="434"/>
      <c r="DZ105" s="434"/>
      <c r="EA105" s="434"/>
      <c r="EB105" s="434"/>
      <c r="EC105" s="434"/>
      <c r="ED105" s="434"/>
      <c r="EE105" s="434"/>
      <c r="EF105" s="434"/>
      <c r="EG105" s="434"/>
      <c r="EH105" s="434"/>
      <c r="EI105" s="434"/>
      <c r="EJ105" s="434"/>
      <c r="EK105" s="434"/>
      <c r="EL105" s="434"/>
      <c r="EM105" s="434"/>
      <c r="EN105" s="434"/>
      <c r="EO105" s="434"/>
      <c r="EP105" s="434"/>
      <c r="EQ105" s="434"/>
      <c r="ER105" s="434"/>
      <c r="ES105" s="434"/>
      <c r="ET105" s="434"/>
      <c r="EU105" s="434"/>
      <c r="EV105" s="434"/>
      <c r="EW105" s="434"/>
      <c r="EX105" s="434"/>
      <c r="EY105" s="434"/>
      <c r="EZ105" s="434"/>
      <c r="FA105" s="434"/>
      <c r="FB105" s="434"/>
      <c r="FC105" s="434"/>
      <c r="FD105" s="434"/>
      <c r="FE105" s="434"/>
      <c r="FF105" s="434"/>
      <c r="FG105" s="434"/>
      <c r="FH105" s="434"/>
      <c r="FI105" s="434"/>
      <c r="FJ105" s="434"/>
      <c r="FK105" s="434"/>
      <c r="FL105" s="434"/>
      <c r="FM105" s="434"/>
      <c r="FN105" s="434"/>
      <c r="FO105" s="434"/>
      <c r="FP105" s="434"/>
      <c r="FQ105" s="434"/>
      <c r="FR105" s="434"/>
      <c r="FS105" s="434"/>
      <c r="FT105" s="434"/>
      <c r="FU105" s="434"/>
      <c r="FV105" s="434"/>
      <c r="FW105" s="434"/>
      <c r="FX105" s="434"/>
      <c r="FY105" s="434"/>
      <c r="FZ105" s="434"/>
      <c r="GA105" s="434"/>
      <c r="GB105" s="434"/>
      <c r="GC105" s="434"/>
      <c r="GD105" s="434"/>
      <c r="GE105" s="434"/>
      <c r="GF105" s="434"/>
      <c r="GG105" s="434"/>
      <c r="GH105" s="434"/>
      <c r="GI105" s="434"/>
      <c r="GJ105" s="434"/>
      <c r="GK105" s="434"/>
      <c r="GL105" s="434"/>
      <c r="GM105" s="434"/>
      <c r="GN105" s="434"/>
    </row>
    <row r="106" spans="1:196" ht="15" customHeight="1">
      <c r="A106" s="1262"/>
      <c r="B106" s="1262">
        <v>5</v>
      </c>
      <c r="C106" s="1262">
        <v>414952</v>
      </c>
      <c r="D106" s="1385">
        <v>45678694</v>
      </c>
      <c r="E106" s="1383" t="s">
        <v>6200</v>
      </c>
      <c r="F106" s="1266">
        <v>46149</v>
      </c>
      <c r="G106" s="1385">
        <v>42</v>
      </c>
      <c r="H106" s="1266">
        <v>30614</v>
      </c>
      <c r="I106" s="1266">
        <v>46150</v>
      </c>
      <c r="J106" s="1262" t="s">
        <v>5986</v>
      </c>
      <c r="K106" s="1262" t="s">
        <v>6201</v>
      </c>
      <c r="L106" s="1262" t="s">
        <v>2505</v>
      </c>
      <c r="M106" s="1385">
        <v>989331871</v>
      </c>
      <c r="N106" s="1262"/>
      <c r="O106" s="43" t="s">
        <v>5865</v>
      </c>
      <c r="P106" s="325" t="s">
        <v>5866</v>
      </c>
      <c r="Q106" s="43" t="s">
        <v>6181</v>
      </c>
      <c r="R106" s="1385" t="s">
        <v>6191</v>
      </c>
      <c r="S106" s="1262" t="s">
        <v>5953</v>
      </c>
      <c r="T106" s="1262" t="s">
        <v>5873</v>
      </c>
      <c r="U106" s="1374">
        <v>46150</v>
      </c>
      <c r="V106" s="1366">
        <v>0.34722222222222221</v>
      </c>
      <c r="W106" s="1266">
        <v>46150</v>
      </c>
      <c r="X106" s="1169"/>
      <c r="Y106" s="1169"/>
      <c r="Z106" s="1169"/>
      <c r="AA106" s="1169"/>
      <c r="AB106" s="1169"/>
      <c r="AC106" s="1169"/>
      <c r="AD106" s="1169"/>
      <c r="AE106" s="1169"/>
      <c r="AF106" s="1169"/>
      <c r="AG106" s="1169"/>
      <c r="AH106" s="1169"/>
      <c r="AI106" s="1169"/>
      <c r="AJ106" s="1169"/>
      <c r="AK106" s="1169"/>
      <c r="AL106" s="1169"/>
      <c r="AM106" s="1169"/>
      <c r="AN106" s="1169"/>
      <c r="AO106" s="1169"/>
      <c r="AP106" s="1169"/>
      <c r="AQ106" s="1169"/>
      <c r="AR106" s="1169"/>
      <c r="AS106" s="1169"/>
      <c r="AT106" s="1169"/>
      <c r="AU106" s="1169"/>
      <c r="AV106" s="1169"/>
      <c r="AW106" s="1169"/>
      <c r="AX106" s="1169"/>
      <c r="AY106" s="1169"/>
      <c r="AZ106" s="1169"/>
      <c r="BA106" s="1169"/>
      <c r="BB106" s="1169"/>
      <c r="BC106" s="1169"/>
      <c r="BD106" s="1169"/>
      <c r="BE106" s="1169"/>
      <c r="BF106" s="1169"/>
      <c r="BG106" s="1169"/>
      <c r="BH106" s="1169"/>
      <c r="BI106" s="1169"/>
      <c r="BJ106" s="1169"/>
      <c r="BK106" s="1169"/>
      <c r="BL106" s="1169"/>
      <c r="BM106" s="1169"/>
      <c r="BN106" s="1169"/>
      <c r="BO106" s="1169"/>
      <c r="BP106" s="1169"/>
      <c r="BQ106" s="1169"/>
      <c r="BR106" s="1169"/>
      <c r="BS106" s="1169"/>
      <c r="BT106" s="1169"/>
      <c r="BU106" s="1169"/>
      <c r="BV106" s="1169"/>
      <c r="BW106" s="1169"/>
      <c r="BX106" s="1169"/>
      <c r="BY106" s="1169"/>
      <c r="BZ106" s="1169"/>
      <c r="CA106" s="1169"/>
      <c r="CB106" s="1169"/>
      <c r="CC106" s="1169"/>
      <c r="CD106" s="1169"/>
      <c r="CE106" s="1169"/>
      <c r="CF106" s="1169"/>
      <c r="CG106" s="1169"/>
      <c r="CH106" s="1169"/>
      <c r="CI106" s="1169"/>
      <c r="CJ106" s="1169"/>
      <c r="CK106" s="1169"/>
      <c r="CL106" s="1169"/>
      <c r="CM106" s="1169"/>
      <c r="CN106" s="1169"/>
      <c r="CO106" s="1169"/>
      <c r="CP106" s="1169"/>
      <c r="CQ106" s="1169"/>
      <c r="CR106" s="1169"/>
      <c r="CS106" s="1169"/>
      <c r="CT106" s="1169"/>
      <c r="CU106" s="1169"/>
      <c r="CV106" s="1169"/>
      <c r="CW106" s="1169"/>
      <c r="CX106" s="1169"/>
      <c r="CY106" s="1169"/>
      <c r="CZ106" s="1169"/>
      <c r="DA106" s="1169"/>
      <c r="DB106" s="1169"/>
      <c r="DC106" s="1169"/>
      <c r="DD106" s="1169"/>
      <c r="DE106" s="1169"/>
      <c r="DF106" s="1169"/>
      <c r="DG106" s="1169"/>
      <c r="DH106" s="1169"/>
      <c r="DI106" s="1169"/>
      <c r="DJ106" s="1169"/>
      <c r="DK106" s="1169"/>
      <c r="DL106" s="1169"/>
      <c r="DM106" s="1169"/>
      <c r="DN106" s="1169"/>
      <c r="DO106" s="1169"/>
      <c r="DP106" s="1169"/>
      <c r="DQ106" s="1169"/>
      <c r="DR106" s="1169"/>
      <c r="DS106" s="1169"/>
      <c r="DT106" s="1169"/>
      <c r="DU106" s="1169"/>
      <c r="DV106" s="1169"/>
      <c r="DW106" s="1169"/>
      <c r="DX106" s="1169"/>
      <c r="DY106" s="1169"/>
      <c r="DZ106" s="1169"/>
      <c r="EA106" s="1169"/>
      <c r="EB106" s="1169"/>
      <c r="EC106" s="1169"/>
      <c r="ED106" s="1169"/>
      <c r="EE106" s="1169"/>
      <c r="EF106" s="1169"/>
      <c r="EG106" s="1169"/>
      <c r="EH106" s="1169"/>
      <c r="EI106" s="1169"/>
      <c r="EJ106" s="1169"/>
      <c r="EK106" s="1169"/>
      <c r="EL106" s="1169"/>
      <c r="EM106" s="1169"/>
      <c r="EN106" s="1169"/>
      <c r="EO106" s="1169"/>
      <c r="EP106" s="1169"/>
      <c r="EQ106" s="1169"/>
      <c r="ER106" s="1169"/>
      <c r="ES106" s="1169"/>
      <c r="ET106" s="1169"/>
      <c r="EU106" s="1169"/>
      <c r="EV106" s="1169"/>
      <c r="EW106" s="1169"/>
      <c r="EX106" s="1169"/>
      <c r="EY106" s="1169"/>
      <c r="EZ106" s="1169"/>
      <c r="FA106" s="1169"/>
      <c r="FB106" s="1169"/>
      <c r="FC106" s="1169"/>
      <c r="FD106" s="1169"/>
      <c r="FE106" s="1169"/>
      <c r="FF106" s="1169"/>
      <c r="FG106" s="1169"/>
      <c r="FH106" s="1169"/>
      <c r="FI106" s="1169"/>
      <c r="FJ106" s="1169"/>
      <c r="FK106" s="1169"/>
      <c r="FL106" s="1169"/>
      <c r="FM106" s="1169"/>
      <c r="FN106" s="1169"/>
      <c r="FO106" s="1169"/>
      <c r="FP106" s="1169"/>
      <c r="FQ106" s="1169"/>
      <c r="FR106" s="1169"/>
      <c r="FS106" s="1169"/>
      <c r="FT106" s="1169"/>
      <c r="FU106" s="1169"/>
      <c r="FV106" s="1169"/>
      <c r="FW106" s="1169"/>
      <c r="FX106" s="1169"/>
      <c r="FY106" s="1169"/>
      <c r="FZ106" s="1169"/>
      <c r="GA106" s="1169"/>
      <c r="GB106" s="1169"/>
      <c r="GC106" s="1169"/>
      <c r="GD106" s="1169"/>
      <c r="GE106" s="1169"/>
      <c r="GF106" s="1169"/>
      <c r="GG106" s="1169"/>
      <c r="GH106" s="1169"/>
      <c r="GI106" s="1169"/>
      <c r="GJ106" s="1169"/>
      <c r="GK106" s="1169"/>
      <c r="GL106" s="1169"/>
      <c r="GM106" s="1169"/>
      <c r="GN106" s="434"/>
    </row>
    <row r="107" spans="1:196" ht="15" customHeight="1">
      <c r="A107" s="1262"/>
      <c r="B107" s="1262">
        <v>6</v>
      </c>
      <c r="C107" s="1262">
        <v>187378</v>
      </c>
      <c r="D107" s="1385">
        <v>22882153</v>
      </c>
      <c r="E107" s="1383" t="s">
        <v>6202</v>
      </c>
      <c r="F107" s="1266">
        <v>46148</v>
      </c>
      <c r="G107" s="1385">
        <v>58</v>
      </c>
      <c r="H107" s="1266">
        <v>25138</v>
      </c>
      <c r="I107" s="1266">
        <v>46150</v>
      </c>
      <c r="J107" s="1262" t="s">
        <v>6080</v>
      </c>
      <c r="K107" s="1262" t="s">
        <v>6203</v>
      </c>
      <c r="L107" s="1262" t="s">
        <v>326</v>
      </c>
      <c r="M107" s="1385">
        <v>945393914</v>
      </c>
      <c r="N107" s="1262"/>
      <c r="O107" s="43" t="s">
        <v>5865</v>
      </c>
      <c r="P107" s="1367" t="s">
        <v>5866</v>
      </c>
      <c r="Q107" s="112" t="s">
        <v>6181</v>
      </c>
      <c r="R107" s="1385" t="s">
        <v>827</v>
      </c>
      <c r="S107" s="1262" t="s">
        <v>5868</v>
      </c>
      <c r="T107" s="1262" t="s">
        <v>5873</v>
      </c>
      <c r="U107" s="1374">
        <v>46150</v>
      </c>
      <c r="V107" s="1366">
        <v>0.35416666666666669</v>
      </c>
      <c r="W107" s="1266">
        <v>46150</v>
      </c>
      <c r="X107" s="1169"/>
      <c r="Y107" s="1169"/>
      <c r="Z107" s="1169"/>
      <c r="AA107" s="1169"/>
      <c r="AB107" s="1169"/>
      <c r="AC107" s="1169"/>
      <c r="AD107" s="1169"/>
      <c r="AE107" s="1169"/>
      <c r="AF107" s="1169"/>
      <c r="AG107" s="1169"/>
      <c r="AH107" s="1169"/>
      <c r="AI107" s="1169"/>
      <c r="AJ107" s="1169"/>
      <c r="AK107" s="1169"/>
      <c r="AL107" s="1169"/>
      <c r="AM107" s="1169"/>
      <c r="AN107" s="1169"/>
      <c r="AO107" s="1169"/>
      <c r="AP107" s="1169"/>
      <c r="AQ107" s="1169"/>
      <c r="AR107" s="1169"/>
      <c r="AS107" s="1169"/>
      <c r="AT107" s="1169"/>
      <c r="AU107" s="1169"/>
      <c r="AV107" s="1169"/>
      <c r="AW107" s="1169"/>
      <c r="AX107" s="1169"/>
      <c r="AY107" s="1169"/>
      <c r="AZ107" s="1169"/>
      <c r="BA107" s="1169"/>
      <c r="BB107" s="1169"/>
      <c r="BC107" s="1169"/>
      <c r="BD107" s="1169"/>
      <c r="BE107" s="1169"/>
      <c r="BF107" s="1169"/>
      <c r="BG107" s="1169"/>
      <c r="BH107" s="1169"/>
      <c r="BI107" s="1169"/>
      <c r="BJ107" s="1169"/>
      <c r="BK107" s="1169"/>
      <c r="BL107" s="1169"/>
      <c r="BM107" s="1169"/>
      <c r="BN107" s="1169"/>
      <c r="BO107" s="1169"/>
      <c r="BP107" s="1169"/>
      <c r="BQ107" s="1169"/>
      <c r="BR107" s="1169"/>
      <c r="BS107" s="1169"/>
      <c r="BT107" s="1169"/>
      <c r="BU107" s="1169"/>
      <c r="BV107" s="1169"/>
      <c r="BW107" s="1169"/>
      <c r="BX107" s="1169"/>
      <c r="BY107" s="1169"/>
      <c r="BZ107" s="1169"/>
      <c r="CA107" s="1169"/>
      <c r="CB107" s="1169"/>
      <c r="CC107" s="1169"/>
      <c r="CD107" s="1169"/>
      <c r="CE107" s="1169"/>
      <c r="CF107" s="1169"/>
      <c r="CG107" s="1169"/>
      <c r="CH107" s="1169"/>
      <c r="CI107" s="1169"/>
      <c r="CJ107" s="1169"/>
      <c r="CK107" s="1169"/>
      <c r="CL107" s="1169"/>
      <c r="CM107" s="1169"/>
      <c r="CN107" s="1169"/>
      <c r="CO107" s="1169"/>
      <c r="CP107" s="1169"/>
      <c r="CQ107" s="1169"/>
      <c r="CR107" s="1169"/>
      <c r="CS107" s="1169"/>
      <c r="CT107" s="1169"/>
      <c r="CU107" s="1169"/>
      <c r="CV107" s="1169"/>
      <c r="CW107" s="1169"/>
      <c r="CX107" s="1169"/>
      <c r="CY107" s="1169"/>
      <c r="CZ107" s="1169"/>
      <c r="DA107" s="1169"/>
      <c r="DB107" s="1169"/>
      <c r="DC107" s="1169"/>
      <c r="DD107" s="1169"/>
      <c r="DE107" s="1169"/>
      <c r="DF107" s="1169"/>
      <c r="DG107" s="1169"/>
      <c r="DH107" s="1169"/>
      <c r="DI107" s="1169"/>
      <c r="DJ107" s="1169"/>
      <c r="DK107" s="1169"/>
      <c r="DL107" s="1169"/>
      <c r="DM107" s="1169"/>
      <c r="DN107" s="1169"/>
      <c r="DO107" s="1169"/>
      <c r="DP107" s="1169"/>
      <c r="DQ107" s="1169"/>
      <c r="DR107" s="1169"/>
      <c r="DS107" s="1169"/>
      <c r="DT107" s="1169"/>
      <c r="DU107" s="1169"/>
      <c r="DV107" s="1169"/>
      <c r="DW107" s="1169"/>
      <c r="DX107" s="1169"/>
      <c r="DY107" s="1169"/>
      <c r="DZ107" s="1169"/>
      <c r="EA107" s="1169"/>
      <c r="EB107" s="1169"/>
      <c r="EC107" s="1169"/>
      <c r="ED107" s="1169"/>
      <c r="EE107" s="1169"/>
      <c r="EF107" s="1169"/>
      <c r="EG107" s="1169"/>
      <c r="EH107" s="1169"/>
      <c r="EI107" s="1169"/>
      <c r="EJ107" s="1169"/>
      <c r="EK107" s="1169"/>
      <c r="EL107" s="1169"/>
      <c r="EM107" s="1169"/>
      <c r="EN107" s="1169"/>
      <c r="EO107" s="1169"/>
      <c r="EP107" s="1169"/>
      <c r="EQ107" s="1169"/>
      <c r="ER107" s="1169"/>
      <c r="ES107" s="1169"/>
      <c r="ET107" s="1169"/>
      <c r="EU107" s="1169"/>
      <c r="EV107" s="1169"/>
      <c r="EW107" s="1169"/>
      <c r="EX107" s="1169"/>
      <c r="EY107" s="1169"/>
      <c r="EZ107" s="1169"/>
      <c r="FA107" s="1169"/>
      <c r="FB107" s="1169"/>
      <c r="FC107" s="1169"/>
      <c r="FD107" s="1169"/>
      <c r="FE107" s="1169"/>
      <c r="FF107" s="1169"/>
      <c r="FG107" s="1169"/>
      <c r="FH107" s="1169"/>
      <c r="FI107" s="1169"/>
      <c r="FJ107" s="1169"/>
      <c r="FK107" s="1169"/>
      <c r="FL107" s="1169"/>
      <c r="FM107" s="1169"/>
      <c r="FN107" s="1169"/>
      <c r="FO107" s="1169"/>
      <c r="FP107" s="1169"/>
      <c r="FQ107" s="1169"/>
      <c r="FR107" s="1169"/>
      <c r="FS107" s="1169"/>
      <c r="FT107" s="1169"/>
      <c r="FU107" s="1169"/>
      <c r="FV107" s="1169"/>
      <c r="FW107" s="1169"/>
      <c r="FX107" s="1169"/>
      <c r="FY107" s="1169"/>
      <c r="FZ107" s="1169"/>
      <c r="GA107" s="1169"/>
      <c r="GB107" s="1169"/>
      <c r="GC107" s="1169"/>
      <c r="GD107" s="1169"/>
      <c r="GE107" s="1169"/>
      <c r="GF107" s="1169"/>
      <c r="GG107" s="1169"/>
      <c r="GH107" s="1169"/>
      <c r="GI107" s="1169"/>
      <c r="GJ107" s="1169"/>
      <c r="GK107" s="1169"/>
      <c r="GL107" s="1169"/>
      <c r="GM107" s="1169"/>
      <c r="GN107" s="434"/>
    </row>
    <row r="108" spans="1:196" ht="15" customHeight="1">
      <c r="A108" s="1262"/>
      <c r="B108" s="1262">
        <v>7</v>
      </c>
      <c r="C108" s="1262">
        <v>525702</v>
      </c>
      <c r="D108" s="1385">
        <v>15987951</v>
      </c>
      <c r="E108" s="1383" t="s">
        <v>6204</v>
      </c>
      <c r="F108" s="1266">
        <v>46149</v>
      </c>
      <c r="G108" s="1385">
        <v>75</v>
      </c>
      <c r="H108" s="1266">
        <v>18566</v>
      </c>
      <c r="I108" s="1266">
        <v>46150</v>
      </c>
      <c r="J108" s="1262" t="s">
        <v>5990</v>
      </c>
      <c r="K108" s="1262" t="s">
        <v>6205</v>
      </c>
      <c r="L108" s="1262" t="s">
        <v>6206</v>
      </c>
      <c r="M108" s="1388">
        <v>922711664</v>
      </c>
      <c r="N108" s="1262"/>
      <c r="O108" s="43" t="s">
        <v>5865</v>
      </c>
      <c r="P108" s="325" t="s">
        <v>5866</v>
      </c>
      <c r="Q108" s="112" t="s">
        <v>6181</v>
      </c>
      <c r="R108" s="1385" t="s">
        <v>164</v>
      </c>
      <c r="S108" s="1262" t="s">
        <v>5868</v>
      </c>
      <c r="T108" s="1262" t="s">
        <v>5873</v>
      </c>
      <c r="U108" s="1371">
        <v>46150</v>
      </c>
      <c r="V108" s="1294">
        <v>0.375</v>
      </c>
      <c r="W108" s="1233">
        <v>46150</v>
      </c>
      <c r="X108" s="1240"/>
      <c r="Y108" s="1240"/>
      <c r="Z108" s="1240"/>
      <c r="AA108" s="1240"/>
      <c r="AB108" s="1240"/>
      <c r="AC108" s="1240"/>
      <c r="AD108" s="1240"/>
      <c r="AE108" s="1240"/>
      <c r="AF108" s="1240"/>
      <c r="AG108" s="1240"/>
      <c r="AH108" s="1240"/>
      <c r="AI108" s="1240"/>
      <c r="AJ108" s="1240"/>
      <c r="AK108" s="1240"/>
      <c r="AL108" s="1240"/>
      <c r="AM108" s="1240"/>
      <c r="AN108" s="1240"/>
      <c r="AO108" s="1240"/>
      <c r="AP108" s="1240"/>
      <c r="AQ108" s="1240"/>
      <c r="AR108" s="1240"/>
      <c r="AS108" s="1240"/>
      <c r="AT108" s="1240"/>
      <c r="AU108" s="1240"/>
      <c r="AV108" s="1240"/>
      <c r="AW108" s="1240"/>
      <c r="AX108" s="1240"/>
      <c r="AY108" s="1240"/>
      <c r="AZ108" s="1240"/>
      <c r="BA108" s="1240"/>
      <c r="BB108" s="1240"/>
      <c r="BC108" s="1240"/>
      <c r="BD108" s="1240"/>
      <c r="BE108" s="1240"/>
      <c r="BF108" s="1240"/>
      <c r="BG108" s="1240"/>
      <c r="BH108" s="1240"/>
      <c r="BI108" s="1240"/>
      <c r="BJ108" s="1240"/>
      <c r="BK108" s="1240"/>
      <c r="BL108" s="1240"/>
      <c r="BM108" s="1240"/>
      <c r="BN108" s="1240"/>
      <c r="BO108" s="1240"/>
      <c r="BP108" s="1240"/>
      <c r="BQ108" s="1240"/>
      <c r="BR108" s="1240"/>
      <c r="BS108" s="1240"/>
      <c r="BT108" s="1240"/>
      <c r="BU108" s="1240"/>
      <c r="BV108" s="1240"/>
      <c r="BW108" s="1240"/>
      <c r="BX108" s="1240"/>
      <c r="BY108" s="1240"/>
      <c r="BZ108" s="1240"/>
      <c r="CA108" s="1240"/>
      <c r="CB108" s="1240"/>
      <c r="CC108" s="1240"/>
      <c r="CD108" s="1240"/>
      <c r="CE108" s="1240"/>
      <c r="CF108" s="1240"/>
      <c r="CG108" s="1240"/>
      <c r="CH108" s="1240"/>
      <c r="CI108" s="1240"/>
      <c r="CJ108" s="1240"/>
      <c r="CK108" s="1240"/>
      <c r="CL108" s="1240"/>
      <c r="CM108" s="1240"/>
      <c r="CN108" s="1240"/>
      <c r="CO108" s="1240"/>
      <c r="CP108" s="1240"/>
      <c r="CQ108" s="1240"/>
      <c r="CR108" s="1240"/>
      <c r="CS108" s="1240"/>
      <c r="CT108" s="1240"/>
      <c r="CU108" s="1240"/>
      <c r="CV108" s="1240"/>
      <c r="CW108" s="1240"/>
      <c r="CX108" s="1240"/>
      <c r="CY108" s="1240"/>
      <c r="CZ108" s="1240"/>
      <c r="DA108" s="1240"/>
      <c r="DB108" s="1240"/>
      <c r="DC108" s="1240"/>
      <c r="DD108" s="1240"/>
      <c r="DE108" s="1240"/>
      <c r="DF108" s="1240"/>
      <c r="DG108" s="1240"/>
      <c r="DH108" s="1240"/>
      <c r="DI108" s="1240"/>
      <c r="DJ108" s="1240"/>
      <c r="DK108" s="1240"/>
      <c r="DL108" s="1240"/>
      <c r="DM108" s="1240"/>
      <c r="DN108" s="1240"/>
      <c r="DO108" s="1240"/>
      <c r="DP108" s="1240"/>
      <c r="DQ108" s="1240"/>
      <c r="DR108" s="1240"/>
      <c r="DS108" s="1240"/>
      <c r="DT108" s="1240"/>
      <c r="DU108" s="1240"/>
      <c r="DV108" s="1240"/>
      <c r="DW108" s="1240"/>
      <c r="DX108" s="1240"/>
      <c r="DY108" s="1240"/>
      <c r="DZ108" s="1240"/>
      <c r="EA108" s="1240"/>
      <c r="EB108" s="1240"/>
      <c r="EC108" s="1240"/>
      <c r="ED108" s="1240"/>
      <c r="EE108" s="1240"/>
      <c r="EF108" s="1240"/>
      <c r="EG108" s="1240"/>
      <c r="EH108" s="1240"/>
      <c r="EI108" s="1240"/>
      <c r="EJ108" s="1240"/>
      <c r="EK108" s="1240"/>
      <c r="EL108" s="1240"/>
      <c r="EM108" s="1240"/>
      <c r="EN108" s="1240"/>
      <c r="EO108" s="1240"/>
      <c r="EP108" s="1240"/>
      <c r="EQ108" s="1240"/>
      <c r="ER108" s="1240"/>
      <c r="ES108" s="1240"/>
      <c r="ET108" s="1240"/>
      <c r="EU108" s="1240"/>
      <c r="EV108" s="1240"/>
      <c r="EW108" s="1240"/>
      <c r="EX108" s="1240"/>
      <c r="EY108" s="1240"/>
      <c r="EZ108" s="1240"/>
      <c r="FA108" s="1240"/>
      <c r="FB108" s="1240"/>
      <c r="FC108" s="1240"/>
      <c r="FD108" s="1240"/>
      <c r="FE108" s="1240"/>
      <c r="FF108" s="1240"/>
      <c r="FG108" s="1240"/>
      <c r="FH108" s="1240"/>
      <c r="FI108" s="1240"/>
      <c r="FJ108" s="1240"/>
      <c r="FK108" s="1240"/>
      <c r="FL108" s="1240"/>
      <c r="FM108" s="1240"/>
      <c r="FN108" s="1240"/>
      <c r="FO108" s="1240"/>
      <c r="FP108" s="1240"/>
      <c r="FQ108" s="1240"/>
      <c r="FR108" s="1240"/>
      <c r="FS108" s="1240"/>
      <c r="FT108" s="1240"/>
      <c r="FU108" s="1240"/>
      <c r="FV108" s="1240"/>
      <c r="FW108" s="1240"/>
      <c r="FX108" s="1240"/>
      <c r="FY108" s="1240"/>
      <c r="FZ108" s="1240"/>
      <c r="GA108" s="1240"/>
      <c r="GB108" s="1240"/>
      <c r="GC108" s="1240"/>
      <c r="GD108" s="1240"/>
      <c r="GE108" s="1240"/>
      <c r="GF108" s="1240"/>
      <c r="GG108" s="1240"/>
      <c r="GH108" s="1240"/>
      <c r="GI108" s="1240"/>
      <c r="GJ108" s="1240"/>
      <c r="GK108" s="1240"/>
      <c r="GL108" s="1240"/>
      <c r="GM108" s="1240"/>
      <c r="GN108" s="434"/>
    </row>
    <row r="109" spans="1:196" ht="15" customHeight="1">
      <c r="A109" s="1262"/>
      <c r="B109" s="1262">
        <v>8</v>
      </c>
      <c r="C109" s="1262">
        <v>186704</v>
      </c>
      <c r="D109" s="1262">
        <v>43274118</v>
      </c>
      <c r="E109" s="1263" t="s">
        <v>6207</v>
      </c>
      <c r="F109" s="1266">
        <v>46149</v>
      </c>
      <c r="G109" s="1262">
        <v>46</v>
      </c>
      <c r="H109" s="1266">
        <v>29333</v>
      </c>
      <c r="I109" s="1266">
        <v>46150</v>
      </c>
      <c r="J109" s="1262" t="s">
        <v>5990</v>
      </c>
      <c r="K109" s="1262" t="s">
        <v>6208</v>
      </c>
      <c r="L109" s="1262" t="s">
        <v>278</v>
      </c>
      <c r="M109" s="1262">
        <v>947366912</v>
      </c>
      <c r="N109" s="1262"/>
      <c r="O109" s="43" t="s">
        <v>5865</v>
      </c>
      <c r="P109" s="325" t="s">
        <v>5866</v>
      </c>
      <c r="Q109" s="43"/>
      <c r="R109" s="1262" t="s">
        <v>347</v>
      </c>
      <c r="S109" s="1262" t="s">
        <v>5868</v>
      </c>
      <c r="T109" s="1262" t="s">
        <v>5873</v>
      </c>
      <c r="U109" s="1371">
        <v>46150</v>
      </c>
      <c r="V109" s="1294">
        <v>0.375</v>
      </c>
      <c r="W109" s="1266">
        <v>46150</v>
      </c>
      <c r="X109" s="1240"/>
      <c r="Y109" s="1240"/>
      <c r="Z109" s="1240"/>
      <c r="AA109" s="1240"/>
      <c r="AB109" s="1240"/>
      <c r="AC109" s="1240"/>
      <c r="AD109" s="1240"/>
      <c r="AE109" s="1240"/>
      <c r="AF109" s="1240"/>
      <c r="AG109" s="1240"/>
      <c r="AH109" s="1240"/>
      <c r="AI109" s="1240"/>
      <c r="AJ109" s="1240"/>
      <c r="AK109" s="1240"/>
      <c r="AL109" s="1240"/>
      <c r="AM109" s="1240"/>
      <c r="AN109" s="1240"/>
      <c r="AO109" s="1240"/>
      <c r="AP109" s="1240"/>
      <c r="AQ109" s="1240"/>
      <c r="AR109" s="1240"/>
      <c r="AS109" s="1240"/>
      <c r="AT109" s="1240"/>
      <c r="AU109" s="1240"/>
      <c r="AV109" s="1240"/>
      <c r="AW109" s="1240"/>
      <c r="AX109" s="1240"/>
      <c r="AY109" s="1240"/>
      <c r="AZ109" s="1240"/>
      <c r="BA109" s="1240"/>
      <c r="BB109" s="1240"/>
      <c r="BC109" s="1240"/>
      <c r="BD109" s="1240"/>
      <c r="BE109" s="1240"/>
      <c r="BF109" s="1240"/>
      <c r="BG109" s="1240"/>
      <c r="BH109" s="1240"/>
      <c r="BI109" s="1240"/>
      <c r="BJ109" s="1240"/>
      <c r="BK109" s="1240"/>
      <c r="BL109" s="1240"/>
      <c r="BM109" s="1240"/>
      <c r="BN109" s="1240"/>
      <c r="BO109" s="1240"/>
      <c r="BP109" s="1240"/>
      <c r="BQ109" s="1240"/>
      <c r="BR109" s="1240"/>
      <c r="BS109" s="1240"/>
      <c r="BT109" s="1240"/>
      <c r="BU109" s="1240"/>
      <c r="BV109" s="1240"/>
      <c r="BW109" s="1240"/>
      <c r="BX109" s="1240"/>
      <c r="BY109" s="1240"/>
      <c r="BZ109" s="1240"/>
      <c r="CA109" s="1240"/>
      <c r="CB109" s="1240"/>
      <c r="CC109" s="1240"/>
      <c r="CD109" s="1240"/>
      <c r="CE109" s="1240"/>
      <c r="CF109" s="1240"/>
      <c r="CG109" s="1240"/>
      <c r="CH109" s="1240"/>
      <c r="CI109" s="1240"/>
      <c r="CJ109" s="1240"/>
      <c r="CK109" s="1240"/>
      <c r="CL109" s="1240"/>
      <c r="CM109" s="1240"/>
      <c r="CN109" s="1240"/>
      <c r="CO109" s="1240"/>
      <c r="CP109" s="1240"/>
      <c r="CQ109" s="1240"/>
      <c r="CR109" s="1240"/>
      <c r="CS109" s="1240"/>
      <c r="CT109" s="1240"/>
      <c r="CU109" s="1240"/>
      <c r="CV109" s="1240"/>
      <c r="CW109" s="1240"/>
      <c r="CX109" s="1240"/>
      <c r="CY109" s="1240"/>
      <c r="CZ109" s="1240"/>
      <c r="DA109" s="1240"/>
      <c r="DB109" s="1240"/>
      <c r="DC109" s="1240"/>
      <c r="DD109" s="1240"/>
      <c r="DE109" s="1240"/>
      <c r="DF109" s="1240"/>
      <c r="DG109" s="1240"/>
      <c r="DH109" s="1240"/>
      <c r="DI109" s="1240"/>
      <c r="DJ109" s="1240"/>
      <c r="DK109" s="1240"/>
      <c r="DL109" s="1240"/>
      <c r="DM109" s="1240"/>
      <c r="DN109" s="1240"/>
      <c r="DO109" s="1240"/>
      <c r="DP109" s="1240"/>
      <c r="DQ109" s="1240"/>
      <c r="DR109" s="1240"/>
      <c r="DS109" s="1240"/>
      <c r="DT109" s="1240"/>
      <c r="DU109" s="1240"/>
      <c r="DV109" s="1240"/>
      <c r="DW109" s="1240"/>
      <c r="DX109" s="1240"/>
      <c r="DY109" s="1240"/>
      <c r="DZ109" s="1240"/>
      <c r="EA109" s="1240"/>
      <c r="EB109" s="1240"/>
      <c r="EC109" s="1240"/>
      <c r="ED109" s="1240"/>
      <c r="EE109" s="1240"/>
      <c r="EF109" s="1240"/>
      <c r="EG109" s="1240"/>
      <c r="EH109" s="1240"/>
      <c r="EI109" s="1240"/>
      <c r="EJ109" s="1240"/>
      <c r="EK109" s="1240"/>
      <c r="EL109" s="1240"/>
      <c r="EM109" s="1240"/>
      <c r="EN109" s="1240"/>
      <c r="EO109" s="1240"/>
      <c r="EP109" s="1240"/>
      <c r="EQ109" s="1240"/>
      <c r="ER109" s="1240"/>
      <c r="ES109" s="1240"/>
      <c r="ET109" s="1240"/>
      <c r="EU109" s="1240"/>
      <c r="EV109" s="1240"/>
      <c r="EW109" s="1240"/>
      <c r="EX109" s="1240"/>
      <c r="EY109" s="1240"/>
      <c r="EZ109" s="1240"/>
      <c r="FA109" s="1240"/>
      <c r="FB109" s="1240"/>
      <c r="FC109" s="1240"/>
      <c r="FD109" s="1240"/>
      <c r="FE109" s="1240"/>
      <c r="FF109" s="1240"/>
      <c r="FG109" s="1240"/>
      <c r="FH109" s="1240"/>
      <c r="FI109" s="1240"/>
      <c r="FJ109" s="1240"/>
      <c r="FK109" s="1240"/>
      <c r="FL109" s="1240"/>
      <c r="FM109" s="1240"/>
      <c r="FN109" s="1240"/>
      <c r="FO109" s="1240"/>
      <c r="FP109" s="1240"/>
      <c r="FQ109" s="1240"/>
      <c r="FR109" s="1240"/>
      <c r="FS109" s="1240"/>
      <c r="FT109" s="1240"/>
      <c r="FU109" s="1240"/>
      <c r="FV109" s="1240"/>
      <c r="FW109" s="1240"/>
      <c r="FX109" s="1240"/>
      <c r="FY109" s="1240"/>
      <c r="FZ109" s="1240"/>
      <c r="GA109" s="1240"/>
      <c r="GB109" s="1240"/>
      <c r="GC109" s="1240"/>
      <c r="GD109" s="1240"/>
      <c r="GE109" s="1240"/>
      <c r="GF109" s="1241"/>
      <c r="GG109" s="1241"/>
      <c r="GH109" s="1241"/>
      <c r="GI109" s="1241"/>
      <c r="GJ109" s="1241"/>
      <c r="GK109" s="1241"/>
      <c r="GL109" s="1241"/>
      <c r="GM109" s="1241"/>
      <c r="GN109" s="434"/>
    </row>
    <row r="110" spans="1:196" ht="15" customHeight="1">
      <c r="A110" s="1262"/>
      <c r="B110" s="1262">
        <v>9</v>
      </c>
      <c r="C110" s="1262"/>
      <c r="D110" s="1385">
        <v>10141705</v>
      </c>
      <c r="E110" s="1383" t="s">
        <v>6209</v>
      </c>
      <c r="F110" s="1266">
        <v>46150</v>
      </c>
      <c r="G110" s="1385">
        <v>58</v>
      </c>
      <c r="H110" s="1266">
        <v>24632</v>
      </c>
      <c r="I110" s="1266">
        <v>46150</v>
      </c>
      <c r="J110" s="1262" t="s">
        <v>5877</v>
      </c>
      <c r="K110" s="1262" t="s">
        <v>6210</v>
      </c>
      <c r="L110" s="1262" t="s">
        <v>237</v>
      </c>
      <c r="M110" s="1385">
        <v>924082758</v>
      </c>
      <c r="N110" s="1262"/>
      <c r="O110" s="43" t="s">
        <v>5865</v>
      </c>
      <c r="P110" s="1367" t="s">
        <v>5866</v>
      </c>
      <c r="Q110" s="112" t="s">
        <v>6181</v>
      </c>
      <c r="R110" s="1385" t="s">
        <v>238</v>
      </c>
      <c r="S110" s="1262" t="s">
        <v>5868</v>
      </c>
      <c r="T110" s="1262" t="s">
        <v>5869</v>
      </c>
      <c r="U110" s="1374">
        <v>46150</v>
      </c>
      <c r="V110" s="1366">
        <v>0.40972222222222221</v>
      </c>
      <c r="W110" s="44">
        <v>46150</v>
      </c>
      <c r="X110" s="1169"/>
      <c r="Y110" s="1169"/>
      <c r="Z110" s="1169"/>
      <c r="AA110" s="1169"/>
      <c r="AB110" s="1169"/>
      <c r="AC110" s="1169"/>
      <c r="AD110" s="1169"/>
      <c r="AE110" s="1169"/>
      <c r="AF110" s="1169"/>
      <c r="AG110" s="1169"/>
      <c r="AH110" s="1169"/>
      <c r="AI110" s="1169"/>
      <c r="AJ110" s="1169"/>
      <c r="AK110" s="1169"/>
      <c r="AL110" s="1169"/>
      <c r="AM110" s="1169"/>
      <c r="AN110" s="1169"/>
      <c r="AO110" s="1169"/>
      <c r="AP110" s="1169"/>
      <c r="AQ110" s="1169"/>
      <c r="AR110" s="1169"/>
      <c r="AS110" s="1169"/>
      <c r="AT110" s="1169"/>
      <c r="AU110" s="1169"/>
      <c r="AV110" s="1169"/>
      <c r="AW110" s="1169"/>
      <c r="AX110" s="1169"/>
      <c r="AY110" s="1169"/>
      <c r="AZ110" s="1169"/>
      <c r="BA110" s="1169"/>
      <c r="BB110" s="1169"/>
      <c r="BC110" s="1169"/>
      <c r="BD110" s="1169"/>
      <c r="BE110" s="1169"/>
      <c r="BF110" s="1169"/>
      <c r="BG110" s="1169"/>
      <c r="BH110" s="1169"/>
      <c r="BI110" s="1169"/>
      <c r="BJ110" s="1169"/>
      <c r="BK110" s="1169"/>
      <c r="BL110" s="1169"/>
      <c r="BM110" s="1169"/>
      <c r="BN110" s="1169"/>
      <c r="BO110" s="1169"/>
      <c r="BP110" s="1169"/>
      <c r="BQ110" s="1169"/>
      <c r="BR110" s="1169"/>
      <c r="BS110" s="1169"/>
      <c r="BT110" s="1169"/>
      <c r="BU110" s="1169"/>
      <c r="BV110" s="1169"/>
      <c r="BW110" s="1169"/>
      <c r="BX110" s="1169"/>
      <c r="BY110" s="1169"/>
      <c r="BZ110" s="1169"/>
      <c r="CA110" s="1169"/>
      <c r="CB110" s="1169"/>
      <c r="CC110" s="1169"/>
      <c r="CD110" s="1169"/>
      <c r="CE110" s="1169"/>
      <c r="CF110" s="1169"/>
      <c r="CG110" s="1169"/>
      <c r="CH110" s="1169"/>
      <c r="CI110" s="1169"/>
      <c r="CJ110" s="1169"/>
      <c r="CK110" s="1169"/>
      <c r="CL110" s="1169"/>
      <c r="CM110" s="1169"/>
      <c r="CN110" s="1169"/>
      <c r="CO110" s="1169"/>
      <c r="CP110" s="1169"/>
      <c r="CQ110" s="1169"/>
      <c r="CR110" s="1169"/>
      <c r="CS110" s="1169"/>
      <c r="CT110" s="1169"/>
      <c r="CU110" s="1169"/>
      <c r="CV110" s="1169"/>
      <c r="CW110" s="1169"/>
      <c r="CX110" s="1169"/>
      <c r="CY110" s="1169"/>
      <c r="CZ110" s="1169"/>
      <c r="DA110" s="1169"/>
      <c r="DB110" s="1169"/>
      <c r="DC110" s="1169"/>
      <c r="DD110" s="1169"/>
      <c r="DE110" s="1169"/>
      <c r="DF110" s="1169"/>
      <c r="DG110" s="1169"/>
      <c r="DH110" s="1169"/>
      <c r="DI110" s="1169"/>
      <c r="DJ110" s="1169"/>
      <c r="DK110" s="1169"/>
      <c r="DL110" s="1169"/>
      <c r="DM110" s="1169"/>
      <c r="DN110" s="1169"/>
      <c r="DO110" s="1169"/>
      <c r="DP110" s="1169"/>
      <c r="DQ110" s="1169"/>
      <c r="DR110" s="1169"/>
      <c r="DS110" s="1169"/>
      <c r="DT110" s="1169"/>
      <c r="DU110" s="1169"/>
      <c r="DV110" s="1169"/>
      <c r="DW110" s="1169"/>
      <c r="DX110" s="1169"/>
      <c r="DY110" s="1169"/>
      <c r="DZ110" s="1169"/>
      <c r="EA110" s="1169"/>
      <c r="EB110" s="1169"/>
      <c r="EC110" s="1169"/>
      <c r="ED110" s="1169"/>
      <c r="EE110" s="1169"/>
      <c r="EF110" s="1169"/>
      <c r="EG110" s="1169"/>
      <c r="EH110" s="1169"/>
      <c r="EI110" s="1169"/>
      <c r="EJ110" s="1169"/>
      <c r="EK110" s="1169"/>
      <c r="EL110" s="1169"/>
      <c r="EM110" s="1169"/>
      <c r="EN110" s="1169"/>
      <c r="EO110" s="1169"/>
      <c r="EP110" s="1169"/>
      <c r="EQ110" s="1169"/>
      <c r="ER110" s="1169"/>
      <c r="ES110" s="1169"/>
      <c r="ET110" s="1169"/>
      <c r="EU110" s="1169"/>
      <c r="EV110" s="1169"/>
      <c r="EW110" s="1169"/>
      <c r="EX110" s="1169"/>
      <c r="EY110" s="1169"/>
      <c r="EZ110" s="1169"/>
      <c r="FA110" s="1169"/>
      <c r="FB110" s="1169"/>
      <c r="FC110" s="1169"/>
      <c r="FD110" s="1169"/>
      <c r="FE110" s="1169"/>
      <c r="FF110" s="1169"/>
      <c r="FG110" s="1169"/>
      <c r="FH110" s="1169"/>
      <c r="FI110" s="1169"/>
      <c r="FJ110" s="1169"/>
      <c r="FK110" s="1169"/>
      <c r="FL110" s="1169"/>
      <c r="FM110" s="1169"/>
      <c r="FN110" s="1169"/>
      <c r="FO110" s="1169"/>
      <c r="FP110" s="1169"/>
      <c r="FQ110" s="1169"/>
      <c r="FR110" s="1169"/>
      <c r="FS110" s="1169"/>
      <c r="FT110" s="1169"/>
      <c r="FU110" s="1169"/>
      <c r="FV110" s="1169"/>
      <c r="FW110" s="1169"/>
      <c r="FX110" s="1169"/>
      <c r="FY110" s="1169"/>
      <c r="FZ110" s="1169"/>
      <c r="GA110" s="1169"/>
      <c r="GB110" s="1169"/>
      <c r="GC110" s="1169"/>
      <c r="GD110" s="1169"/>
      <c r="GE110" s="1169"/>
      <c r="GF110" s="1169"/>
      <c r="GG110" s="1169"/>
      <c r="GH110" s="1169"/>
      <c r="GI110" s="1169"/>
      <c r="GJ110" s="1169"/>
      <c r="GK110" s="1169"/>
      <c r="GL110" s="1169"/>
      <c r="GM110" s="1169"/>
      <c r="GN110" s="434"/>
    </row>
    <row r="111" spans="1:196" ht="15" customHeight="1">
      <c r="A111" s="206"/>
      <c r="B111" s="43"/>
      <c r="C111" s="43"/>
      <c r="D111" s="1054"/>
      <c r="E111" s="244"/>
      <c r="F111" s="43"/>
      <c r="G111" s="43"/>
      <c r="H111" s="43"/>
      <c r="I111" s="43"/>
      <c r="J111" s="43"/>
      <c r="K111" s="43"/>
      <c r="L111" s="43"/>
      <c r="M111" s="43"/>
      <c r="N111" s="43"/>
      <c r="O111" s="43"/>
      <c r="P111" s="325" t="s">
        <v>5866</v>
      </c>
      <c r="Q111" s="43" t="s">
        <v>5867</v>
      </c>
      <c r="R111" s="43"/>
      <c r="S111" s="43"/>
      <c r="T111" s="43"/>
      <c r="U111" s="43"/>
      <c r="V111" s="43"/>
      <c r="W111" s="44">
        <v>46150</v>
      </c>
      <c r="X111" s="955"/>
      <c r="Y111" s="43"/>
      <c r="Z111" s="43"/>
      <c r="AA111" s="46"/>
      <c r="AB111" s="1386"/>
      <c r="AC111" s="1387"/>
      <c r="AD111" s="1387"/>
      <c r="AE111" s="434"/>
      <c r="AF111" s="434"/>
      <c r="AG111" s="434"/>
      <c r="AH111" s="434"/>
      <c r="AI111" s="434"/>
      <c r="AJ111" s="434"/>
      <c r="AK111" s="434"/>
      <c r="AL111" s="434"/>
      <c r="AM111" s="434"/>
      <c r="AN111" s="434"/>
      <c r="AO111" s="434"/>
      <c r="AP111" s="434"/>
      <c r="AQ111" s="434"/>
      <c r="AR111" s="434"/>
      <c r="AS111" s="434"/>
      <c r="AT111" s="434"/>
      <c r="AU111" s="434"/>
      <c r="AV111" s="434"/>
      <c r="AW111" s="434"/>
      <c r="AX111" s="434"/>
      <c r="AY111" s="434"/>
      <c r="AZ111" s="434"/>
      <c r="BA111" s="434"/>
      <c r="BB111" s="434"/>
      <c r="BC111" s="434"/>
      <c r="BD111" s="434"/>
      <c r="BE111" s="434"/>
      <c r="BF111" s="434"/>
      <c r="BG111" s="434"/>
      <c r="BH111" s="434"/>
      <c r="BI111" s="434"/>
      <c r="BJ111" s="434"/>
      <c r="BK111" s="434"/>
      <c r="BL111" s="434"/>
      <c r="BM111" s="434"/>
      <c r="BN111" s="434"/>
      <c r="BO111" s="434"/>
      <c r="BP111" s="434"/>
      <c r="BQ111" s="434"/>
      <c r="BR111" s="434"/>
      <c r="BS111" s="434"/>
      <c r="BT111" s="434"/>
      <c r="BU111" s="434"/>
      <c r="BV111" s="434"/>
      <c r="BW111" s="434"/>
      <c r="BX111" s="434"/>
      <c r="BY111" s="434"/>
      <c r="BZ111" s="434"/>
      <c r="CA111" s="434"/>
      <c r="CB111" s="434"/>
      <c r="CC111" s="434"/>
      <c r="CD111" s="434"/>
      <c r="CE111" s="434"/>
      <c r="CF111" s="434"/>
      <c r="CG111" s="434"/>
      <c r="CH111" s="434"/>
      <c r="CI111" s="434"/>
      <c r="CJ111" s="434"/>
      <c r="CK111" s="434"/>
      <c r="CL111" s="434"/>
      <c r="CM111" s="434"/>
      <c r="CN111" s="434"/>
      <c r="CO111" s="434"/>
      <c r="CP111" s="434"/>
      <c r="CQ111" s="434"/>
      <c r="CR111" s="434"/>
      <c r="CS111" s="434"/>
      <c r="CT111" s="434"/>
      <c r="CU111" s="434"/>
      <c r="CV111" s="434"/>
      <c r="CW111" s="434"/>
      <c r="CX111" s="434"/>
      <c r="CY111" s="434"/>
      <c r="CZ111" s="434"/>
      <c r="DA111" s="434"/>
      <c r="DB111" s="434"/>
      <c r="DC111" s="434"/>
      <c r="DD111" s="434"/>
      <c r="DE111" s="434"/>
      <c r="DF111" s="434"/>
      <c r="DG111" s="434"/>
      <c r="DH111" s="434"/>
      <c r="DI111" s="434"/>
      <c r="DJ111" s="434"/>
      <c r="DK111" s="434"/>
      <c r="DL111" s="434"/>
      <c r="DM111" s="434"/>
      <c r="DN111" s="434"/>
      <c r="DO111" s="434"/>
      <c r="DP111" s="434"/>
      <c r="DQ111" s="434"/>
      <c r="DR111" s="434"/>
      <c r="DS111" s="434"/>
      <c r="DT111" s="434"/>
      <c r="DU111" s="434"/>
      <c r="DV111" s="434"/>
      <c r="DW111" s="434"/>
      <c r="DX111" s="434"/>
      <c r="DY111" s="434"/>
      <c r="DZ111" s="434"/>
      <c r="EA111" s="434"/>
      <c r="EB111" s="434"/>
      <c r="EC111" s="434"/>
      <c r="ED111" s="434"/>
      <c r="EE111" s="434"/>
      <c r="EF111" s="434"/>
      <c r="EG111" s="434"/>
      <c r="EH111" s="434"/>
      <c r="EI111" s="434"/>
      <c r="EJ111" s="434"/>
      <c r="EK111" s="434"/>
      <c r="EL111" s="434"/>
      <c r="EM111" s="434"/>
      <c r="EN111" s="434"/>
      <c r="EO111" s="434"/>
      <c r="EP111" s="434"/>
      <c r="EQ111" s="434"/>
      <c r="ER111" s="434"/>
      <c r="ES111" s="434"/>
      <c r="ET111" s="434"/>
      <c r="EU111" s="434"/>
      <c r="EV111" s="434"/>
      <c r="EW111" s="434"/>
      <c r="EX111" s="434"/>
      <c r="EY111" s="434"/>
      <c r="EZ111" s="434"/>
      <c r="FA111" s="434"/>
      <c r="FB111" s="434"/>
      <c r="FC111" s="434"/>
      <c r="FD111" s="434"/>
      <c r="FE111" s="434"/>
      <c r="FF111" s="434"/>
      <c r="FG111" s="434"/>
      <c r="FH111" s="434"/>
      <c r="FI111" s="434"/>
      <c r="FJ111" s="434"/>
      <c r="FK111" s="434"/>
      <c r="FL111" s="434"/>
      <c r="FM111" s="434"/>
      <c r="FN111" s="434"/>
      <c r="FO111" s="434"/>
      <c r="FP111" s="434"/>
      <c r="FQ111" s="434"/>
      <c r="FR111" s="434"/>
      <c r="FS111" s="434"/>
      <c r="FT111" s="434"/>
      <c r="FU111" s="434"/>
      <c r="FV111" s="434"/>
      <c r="FW111" s="434"/>
      <c r="FX111" s="434"/>
      <c r="FY111" s="434"/>
      <c r="FZ111" s="434"/>
      <c r="GA111" s="434"/>
      <c r="GB111" s="434"/>
      <c r="GC111" s="434"/>
      <c r="GD111" s="434"/>
      <c r="GE111" s="434"/>
      <c r="GF111" s="434"/>
      <c r="GG111" s="434"/>
      <c r="GH111" s="434"/>
      <c r="GI111" s="434"/>
      <c r="GJ111" s="434"/>
      <c r="GK111" s="434"/>
      <c r="GL111" s="434"/>
      <c r="GM111" s="434"/>
      <c r="GN111" s="434"/>
    </row>
    <row r="112" spans="1:196" ht="15" customHeight="1">
      <c r="A112" s="206"/>
      <c r="B112" s="43"/>
      <c r="C112" s="43"/>
      <c r="D112" s="1054"/>
      <c r="E112" s="244"/>
      <c r="F112" s="43"/>
      <c r="G112" s="43"/>
      <c r="H112" s="43"/>
      <c r="I112" s="43"/>
      <c r="J112" s="43"/>
      <c r="K112" s="43"/>
      <c r="L112" s="43"/>
      <c r="M112" s="43"/>
      <c r="N112" s="43"/>
      <c r="O112" s="43"/>
      <c r="P112" s="43"/>
      <c r="Q112" s="43"/>
      <c r="R112" s="43"/>
      <c r="S112" s="43"/>
      <c r="T112" s="43"/>
      <c r="U112" s="43"/>
      <c r="V112" s="43"/>
      <c r="W112" s="1266">
        <v>46150</v>
      </c>
      <c r="X112" s="955"/>
      <c r="Y112" s="43"/>
      <c r="Z112" s="43"/>
      <c r="AA112" s="46"/>
      <c r="AB112" s="1386"/>
      <c r="AC112" s="1387"/>
      <c r="AD112" s="1387"/>
      <c r="AE112" s="434"/>
      <c r="AF112" s="434"/>
      <c r="AG112" s="434"/>
      <c r="AH112" s="434"/>
      <c r="AI112" s="434"/>
      <c r="AJ112" s="434"/>
      <c r="AK112" s="434"/>
      <c r="AL112" s="434"/>
      <c r="AM112" s="434"/>
      <c r="AN112" s="434"/>
      <c r="AO112" s="434"/>
      <c r="AP112" s="434"/>
      <c r="AQ112" s="434"/>
      <c r="AR112" s="434"/>
      <c r="AS112" s="434"/>
      <c r="AT112" s="434"/>
      <c r="AU112" s="434"/>
      <c r="AV112" s="434"/>
      <c r="AW112" s="434"/>
      <c r="AX112" s="434"/>
      <c r="AY112" s="434"/>
      <c r="AZ112" s="434"/>
      <c r="BA112" s="434"/>
      <c r="BB112" s="434"/>
      <c r="BC112" s="434"/>
      <c r="BD112" s="434"/>
      <c r="BE112" s="434"/>
      <c r="BF112" s="434"/>
      <c r="BG112" s="434"/>
      <c r="BH112" s="434"/>
      <c r="BI112" s="434"/>
      <c r="BJ112" s="434"/>
      <c r="BK112" s="434"/>
      <c r="BL112" s="434"/>
      <c r="BM112" s="434"/>
      <c r="BN112" s="434"/>
      <c r="BO112" s="434"/>
      <c r="BP112" s="434"/>
      <c r="BQ112" s="434"/>
      <c r="BR112" s="434"/>
      <c r="BS112" s="434"/>
      <c r="BT112" s="434"/>
      <c r="BU112" s="434"/>
      <c r="BV112" s="434"/>
      <c r="BW112" s="434"/>
      <c r="BX112" s="434"/>
      <c r="BY112" s="434"/>
      <c r="BZ112" s="434"/>
      <c r="CA112" s="434"/>
      <c r="CB112" s="434"/>
      <c r="CC112" s="434"/>
      <c r="CD112" s="434"/>
      <c r="CE112" s="434"/>
      <c r="CF112" s="434"/>
      <c r="CG112" s="434"/>
      <c r="CH112" s="434"/>
      <c r="CI112" s="434"/>
      <c r="CJ112" s="434"/>
      <c r="CK112" s="434"/>
      <c r="CL112" s="434"/>
      <c r="CM112" s="434"/>
      <c r="CN112" s="434"/>
      <c r="CO112" s="434"/>
      <c r="CP112" s="434"/>
      <c r="CQ112" s="434"/>
      <c r="CR112" s="434"/>
      <c r="CS112" s="434"/>
      <c r="CT112" s="434"/>
      <c r="CU112" s="434"/>
      <c r="CV112" s="434"/>
      <c r="CW112" s="434"/>
      <c r="CX112" s="434"/>
      <c r="CY112" s="434"/>
      <c r="CZ112" s="434"/>
      <c r="DA112" s="434"/>
      <c r="DB112" s="434"/>
      <c r="DC112" s="434"/>
      <c r="DD112" s="434"/>
      <c r="DE112" s="434"/>
      <c r="DF112" s="434"/>
      <c r="DG112" s="434"/>
      <c r="DH112" s="434"/>
      <c r="DI112" s="434"/>
      <c r="DJ112" s="434"/>
      <c r="DK112" s="434"/>
      <c r="DL112" s="434"/>
      <c r="DM112" s="434"/>
      <c r="DN112" s="434"/>
      <c r="DO112" s="434"/>
      <c r="DP112" s="434"/>
      <c r="DQ112" s="434"/>
      <c r="DR112" s="434"/>
      <c r="DS112" s="434"/>
      <c r="DT112" s="434"/>
      <c r="DU112" s="434"/>
      <c r="DV112" s="434"/>
      <c r="DW112" s="434"/>
      <c r="DX112" s="434"/>
      <c r="DY112" s="434"/>
      <c r="DZ112" s="434"/>
      <c r="EA112" s="434"/>
      <c r="EB112" s="434"/>
      <c r="EC112" s="434"/>
      <c r="ED112" s="434"/>
      <c r="EE112" s="434"/>
      <c r="EF112" s="434"/>
      <c r="EG112" s="434"/>
      <c r="EH112" s="434"/>
      <c r="EI112" s="434"/>
      <c r="EJ112" s="434"/>
      <c r="EK112" s="434"/>
      <c r="EL112" s="434"/>
      <c r="EM112" s="434"/>
      <c r="EN112" s="434"/>
      <c r="EO112" s="434"/>
      <c r="EP112" s="434"/>
      <c r="EQ112" s="434"/>
      <c r="ER112" s="434"/>
      <c r="ES112" s="434"/>
      <c r="ET112" s="434"/>
      <c r="EU112" s="434"/>
      <c r="EV112" s="434"/>
      <c r="EW112" s="434"/>
      <c r="EX112" s="434"/>
      <c r="EY112" s="434"/>
      <c r="EZ112" s="434"/>
      <c r="FA112" s="434"/>
      <c r="FB112" s="434"/>
      <c r="FC112" s="434"/>
      <c r="FD112" s="434"/>
      <c r="FE112" s="434"/>
      <c r="FF112" s="434"/>
      <c r="FG112" s="434"/>
      <c r="FH112" s="434"/>
      <c r="FI112" s="434"/>
      <c r="FJ112" s="434"/>
      <c r="FK112" s="434"/>
      <c r="FL112" s="434"/>
      <c r="FM112" s="434"/>
      <c r="FN112" s="434"/>
      <c r="FO112" s="434"/>
      <c r="FP112" s="434"/>
      <c r="FQ112" s="434"/>
      <c r="FR112" s="434"/>
      <c r="FS112" s="434"/>
      <c r="FT112" s="434"/>
      <c r="FU112" s="434"/>
      <c r="FV112" s="434"/>
      <c r="FW112" s="434"/>
      <c r="FX112" s="434"/>
      <c r="FY112" s="434"/>
      <c r="FZ112" s="434"/>
      <c r="GA112" s="434"/>
      <c r="GB112" s="434"/>
      <c r="GC112" s="434"/>
      <c r="GD112" s="434"/>
      <c r="GE112" s="434"/>
      <c r="GF112" s="434"/>
      <c r="GG112" s="434"/>
      <c r="GH112" s="434"/>
      <c r="GI112" s="434"/>
      <c r="GJ112" s="434"/>
      <c r="GK112" s="434"/>
      <c r="GL112" s="434"/>
      <c r="GM112" s="434"/>
      <c r="GN112" s="434"/>
    </row>
    <row r="113" spans="1:196" ht="15" customHeight="1">
      <c r="A113" s="206"/>
      <c r="B113" s="43"/>
      <c r="C113" s="43"/>
      <c r="D113" s="1054"/>
      <c r="E113" s="244"/>
      <c r="F113" s="43"/>
      <c r="G113" s="43"/>
      <c r="H113" s="43"/>
      <c r="I113" s="43"/>
      <c r="J113" s="43"/>
      <c r="K113" s="43"/>
      <c r="L113" s="43"/>
      <c r="M113" s="43"/>
      <c r="N113" s="43"/>
      <c r="O113" s="43"/>
      <c r="P113" s="43"/>
      <c r="Q113" s="43"/>
      <c r="R113" s="43"/>
      <c r="S113" s="43"/>
      <c r="T113" s="43"/>
      <c r="U113" s="43"/>
      <c r="V113" s="43"/>
      <c r="W113" s="1266">
        <v>46150</v>
      </c>
      <c r="X113" s="955"/>
      <c r="Y113" s="43"/>
      <c r="Z113" s="43"/>
      <c r="AA113" s="46"/>
      <c r="AB113" s="1386"/>
      <c r="AC113" s="1387"/>
      <c r="AD113" s="1387"/>
      <c r="AE113" s="434"/>
      <c r="AF113" s="434"/>
      <c r="AG113" s="434"/>
      <c r="AH113" s="434"/>
      <c r="AI113" s="434"/>
      <c r="AJ113" s="434"/>
      <c r="AK113" s="434"/>
      <c r="AL113" s="434"/>
      <c r="AM113" s="434"/>
      <c r="AN113" s="434"/>
      <c r="AO113" s="434"/>
      <c r="AP113" s="434"/>
      <c r="AQ113" s="434"/>
      <c r="AR113" s="434"/>
      <c r="AS113" s="434"/>
      <c r="AT113" s="434"/>
      <c r="AU113" s="434"/>
      <c r="AV113" s="434"/>
      <c r="AW113" s="434"/>
      <c r="AX113" s="434"/>
      <c r="AY113" s="434"/>
      <c r="AZ113" s="434"/>
      <c r="BA113" s="434"/>
      <c r="BB113" s="434"/>
      <c r="BC113" s="434"/>
      <c r="BD113" s="434"/>
      <c r="BE113" s="434"/>
      <c r="BF113" s="434"/>
      <c r="BG113" s="434"/>
      <c r="BH113" s="434"/>
      <c r="BI113" s="434"/>
      <c r="BJ113" s="434"/>
      <c r="BK113" s="434"/>
      <c r="BL113" s="434"/>
      <c r="BM113" s="434"/>
      <c r="BN113" s="434"/>
      <c r="BO113" s="434"/>
      <c r="BP113" s="434"/>
      <c r="BQ113" s="434"/>
      <c r="BR113" s="434"/>
      <c r="BS113" s="434"/>
      <c r="BT113" s="434"/>
      <c r="BU113" s="434"/>
      <c r="BV113" s="434"/>
      <c r="BW113" s="434"/>
      <c r="BX113" s="434"/>
      <c r="BY113" s="434"/>
      <c r="BZ113" s="434"/>
      <c r="CA113" s="434"/>
      <c r="CB113" s="434"/>
      <c r="CC113" s="434"/>
      <c r="CD113" s="434"/>
      <c r="CE113" s="434"/>
      <c r="CF113" s="434"/>
      <c r="CG113" s="434"/>
      <c r="CH113" s="434"/>
      <c r="CI113" s="434"/>
      <c r="CJ113" s="434"/>
      <c r="CK113" s="434"/>
      <c r="CL113" s="434"/>
      <c r="CM113" s="434"/>
      <c r="CN113" s="434"/>
      <c r="CO113" s="434"/>
      <c r="CP113" s="434"/>
      <c r="CQ113" s="434"/>
      <c r="CR113" s="434"/>
      <c r="CS113" s="434"/>
      <c r="CT113" s="434"/>
      <c r="CU113" s="434"/>
      <c r="CV113" s="434"/>
      <c r="CW113" s="434"/>
      <c r="CX113" s="434"/>
      <c r="CY113" s="434"/>
      <c r="CZ113" s="434"/>
      <c r="DA113" s="434"/>
      <c r="DB113" s="434"/>
      <c r="DC113" s="434"/>
      <c r="DD113" s="434"/>
      <c r="DE113" s="434"/>
      <c r="DF113" s="434"/>
      <c r="DG113" s="434"/>
      <c r="DH113" s="434"/>
      <c r="DI113" s="434"/>
      <c r="DJ113" s="434"/>
      <c r="DK113" s="434"/>
      <c r="DL113" s="434"/>
      <c r="DM113" s="434"/>
      <c r="DN113" s="434"/>
      <c r="DO113" s="434"/>
      <c r="DP113" s="434"/>
      <c r="DQ113" s="434"/>
      <c r="DR113" s="434"/>
      <c r="DS113" s="434"/>
      <c r="DT113" s="434"/>
      <c r="DU113" s="434"/>
      <c r="DV113" s="434"/>
      <c r="DW113" s="434"/>
      <c r="DX113" s="434"/>
      <c r="DY113" s="434"/>
      <c r="DZ113" s="434"/>
      <c r="EA113" s="434"/>
      <c r="EB113" s="434"/>
      <c r="EC113" s="434"/>
      <c r="ED113" s="434"/>
      <c r="EE113" s="434"/>
      <c r="EF113" s="434"/>
      <c r="EG113" s="434"/>
      <c r="EH113" s="434"/>
      <c r="EI113" s="434"/>
      <c r="EJ113" s="434"/>
      <c r="EK113" s="434"/>
      <c r="EL113" s="434"/>
      <c r="EM113" s="434"/>
      <c r="EN113" s="434"/>
      <c r="EO113" s="434"/>
      <c r="EP113" s="434"/>
      <c r="EQ113" s="434"/>
      <c r="ER113" s="434"/>
      <c r="ES113" s="434"/>
      <c r="ET113" s="434"/>
      <c r="EU113" s="434"/>
      <c r="EV113" s="434"/>
      <c r="EW113" s="434"/>
      <c r="EX113" s="434"/>
      <c r="EY113" s="434"/>
      <c r="EZ113" s="434"/>
      <c r="FA113" s="434"/>
      <c r="FB113" s="434"/>
      <c r="FC113" s="434"/>
      <c r="FD113" s="434"/>
      <c r="FE113" s="434"/>
      <c r="FF113" s="434"/>
      <c r="FG113" s="434"/>
      <c r="FH113" s="434"/>
      <c r="FI113" s="434"/>
      <c r="FJ113" s="434"/>
      <c r="FK113" s="434"/>
      <c r="FL113" s="434"/>
      <c r="FM113" s="434"/>
      <c r="FN113" s="434"/>
      <c r="FO113" s="434"/>
      <c r="FP113" s="434"/>
      <c r="FQ113" s="434"/>
      <c r="FR113" s="434"/>
      <c r="FS113" s="434"/>
      <c r="FT113" s="434"/>
      <c r="FU113" s="434"/>
      <c r="FV113" s="434"/>
      <c r="FW113" s="434"/>
      <c r="FX113" s="434"/>
      <c r="FY113" s="434"/>
      <c r="FZ113" s="434"/>
      <c r="GA113" s="434"/>
      <c r="GB113" s="434"/>
      <c r="GC113" s="434"/>
      <c r="GD113" s="434"/>
      <c r="GE113" s="434"/>
      <c r="GF113" s="434"/>
      <c r="GG113" s="434"/>
      <c r="GH113" s="434"/>
      <c r="GI113" s="434"/>
      <c r="GJ113" s="434"/>
      <c r="GK113" s="434"/>
      <c r="GL113" s="434"/>
      <c r="GM113" s="434"/>
      <c r="GN113" s="434"/>
    </row>
    <row r="114" spans="1:196" ht="15" customHeight="1">
      <c r="A114" s="206"/>
      <c r="B114" s="43"/>
      <c r="C114" s="43"/>
      <c r="D114" s="1054"/>
      <c r="E114" s="244"/>
      <c r="F114" s="43"/>
      <c r="G114" s="43"/>
      <c r="H114" s="43"/>
      <c r="I114" s="43"/>
      <c r="J114" s="43"/>
      <c r="K114" s="43"/>
      <c r="L114" s="43"/>
      <c r="M114" s="43"/>
      <c r="N114" s="43"/>
      <c r="O114" s="43"/>
      <c r="P114" s="43"/>
      <c r="Q114" s="43"/>
      <c r="R114" s="43"/>
      <c r="S114" s="43"/>
      <c r="T114" s="43"/>
      <c r="U114" s="43"/>
      <c r="V114" s="43"/>
      <c r="W114" s="1233">
        <v>46150</v>
      </c>
      <c r="X114" s="955"/>
      <c r="Y114" s="43"/>
      <c r="Z114" s="43"/>
      <c r="AA114" s="46"/>
      <c r="AB114" s="1386"/>
      <c r="AC114" s="1387"/>
      <c r="AD114" s="1387"/>
      <c r="AE114" s="434"/>
      <c r="AF114" s="434"/>
      <c r="AG114" s="434"/>
      <c r="AH114" s="434"/>
      <c r="AI114" s="434"/>
      <c r="AJ114" s="434"/>
      <c r="AK114" s="434"/>
      <c r="AL114" s="434"/>
      <c r="AM114" s="434"/>
      <c r="AN114" s="434"/>
      <c r="AO114" s="434"/>
      <c r="AP114" s="434"/>
      <c r="AQ114" s="434"/>
      <c r="AR114" s="434"/>
      <c r="AS114" s="434"/>
      <c r="AT114" s="434"/>
      <c r="AU114" s="434"/>
      <c r="AV114" s="434"/>
      <c r="AW114" s="434"/>
      <c r="AX114" s="434"/>
      <c r="AY114" s="434"/>
      <c r="AZ114" s="434"/>
      <c r="BA114" s="434"/>
      <c r="BB114" s="434"/>
      <c r="BC114" s="434"/>
      <c r="BD114" s="434"/>
      <c r="BE114" s="434"/>
      <c r="BF114" s="434"/>
      <c r="BG114" s="434"/>
      <c r="BH114" s="434"/>
      <c r="BI114" s="434"/>
      <c r="BJ114" s="434"/>
      <c r="BK114" s="434"/>
      <c r="BL114" s="434"/>
      <c r="BM114" s="434"/>
      <c r="BN114" s="434"/>
      <c r="BO114" s="434"/>
      <c r="BP114" s="434"/>
      <c r="BQ114" s="434"/>
      <c r="BR114" s="434"/>
      <c r="BS114" s="434"/>
      <c r="BT114" s="434"/>
      <c r="BU114" s="434"/>
      <c r="BV114" s="434"/>
      <c r="BW114" s="434"/>
      <c r="BX114" s="434"/>
      <c r="BY114" s="434"/>
      <c r="BZ114" s="434"/>
      <c r="CA114" s="434"/>
      <c r="CB114" s="434"/>
      <c r="CC114" s="434"/>
      <c r="CD114" s="434"/>
      <c r="CE114" s="434"/>
      <c r="CF114" s="434"/>
      <c r="CG114" s="434"/>
      <c r="CH114" s="434"/>
      <c r="CI114" s="434"/>
      <c r="CJ114" s="434"/>
      <c r="CK114" s="434"/>
      <c r="CL114" s="434"/>
      <c r="CM114" s="434"/>
      <c r="CN114" s="434"/>
      <c r="CO114" s="434"/>
      <c r="CP114" s="434"/>
      <c r="CQ114" s="434"/>
      <c r="CR114" s="434"/>
      <c r="CS114" s="434"/>
      <c r="CT114" s="434"/>
      <c r="CU114" s="434"/>
      <c r="CV114" s="434"/>
      <c r="CW114" s="434"/>
      <c r="CX114" s="434"/>
      <c r="CY114" s="434"/>
      <c r="CZ114" s="434"/>
      <c r="DA114" s="434"/>
      <c r="DB114" s="434"/>
      <c r="DC114" s="434"/>
      <c r="DD114" s="434"/>
      <c r="DE114" s="434"/>
      <c r="DF114" s="434"/>
      <c r="DG114" s="434"/>
      <c r="DH114" s="434"/>
      <c r="DI114" s="434"/>
      <c r="DJ114" s="434"/>
      <c r="DK114" s="434"/>
      <c r="DL114" s="434"/>
      <c r="DM114" s="434"/>
      <c r="DN114" s="434"/>
      <c r="DO114" s="434"/>
      <c r="DP114" s="434"/>
      <c r="DQ114" s="434"/>
      <c r="DR114" s="434"/>
      <c r="DS114" s="434"/>
      <c r="DT114" s="434"/>
      <c r="DU114" s="434"/>
      <c r="DV114" s="434"/>
      <c r="DW114" s="434"/>
      <c r="DX114" s="434"/>
      <c r="DY114" s="434"/>
      <c r="DZ114" s="434"/>
      <c r="EA114" s="434"/>
      <c r="EB114" s="434"/>
      <c r="EC114" s="434"/>
      <c r="ED114" s="434"/>
      <c r="EE114" s="434"/>
      <c r="EF114" s="434"/>
      <c r="EG114" s="434"/>
      <c r="EH114" s="434"/>
      <c r="EI114" s="434"/>
      <c r="EJ114" s="434"/>
      <c r="EK114" s="434"/>
      <c r="EL114" s="434"/>
      <c r="EM114" s="434"/>
      <c r="EN114" s="434"/>
      <c r="EO114" s="434"/>
      <c r="EP114" s="434"/>
      <c r="EQ114" s="434"/>
      <c r="ER114" s="434"/>
      <c r="ES114" s="434"/>
      <c r="ET114" s="434"/>
      <c r="EU114" s="434"/>
      <c r="EV114" s="434"/>
      <c r="EW114" s="434"/>
      <c r="EX114" s="434"/>
      <c r="EY114" s="434"/>
      <c r="EZ114" s="434"/>
      <c r="FA114" s="434"/>
      <c r="FB114" s="434"/>
      <c r="FC114" s="434"/>
      <c r="FD114" s="434"/>
      <c r="FE114" s="434"/>
      <c r="FF114" s="434"/>
      <c r="FG114" s="434"/>
      <c r="FH114" s="434"/>
      <c r="FI114" s="434"/>
      <c r="FJ114" s="434"/>
      <c r="FK114" s="434"/>
      <c r="FL114" s="434"/>
      <c r="FM114" s="434"/>
      <c r="FN114" s="434"/>
      <c r="FO114" s="434"/>
      <c r="FP114" s="434"/>
      <c r="FQ114" s="434"/>
      <c r="FR114" s="434"/>
      <c r="FS114" s="434"/>
      <c r="FT114" s="434"/>
      <c r="FU114" s="434"/>
      <c r="FV114" s="434"/>
      <c r="FW114" s="434"/>
      <c r="FX114" s="434"/>
      <c r="FY114" s="434"/>
      <c r="FZ114" s="434"/>
      <c r="GA114" s="434"/>
      <c r="GB114" s="434"/>
      <c r="GC114" s="434"/>
      <c r="GD114" s="434"/>
      <c r="GE114" s="434"/>
      <c r="GF114" s="434"/>
      <c r="GG114" s="434"/>
      <c r="GH114" s="434"/>
      <c r="GI114" s="434"/>
      <c r="GJ114" s="434"/>
      <c r="GK114" s="434"/>
      <c r="GL114" s="434"/>
      <c r="GM114" s="434"/>
      <c r="GN114" s="434"/>
    </row>
    <row r="115" spans="1:196" ht="15" customHeight="1">
      <c r="A115" s="206"/>
      <c r="B115" s="43"/>
      <c r="C115" s="43"/>
      <c r="D115" s="1054"/>
      <c r="E115" s="244"/>
      <c r="F115" s="43"/>
      <c r="G115" s="43"/>
      <c r="H115" s="43"/>
      <c r="I115" s="43"/>
      <c r="J115" s="43"/>
      <c r="K115" s="43"/>
      <c r="L115" s="43"/>
      <c r="M115" s="43"/>
      <c r="N115" s="43"/>
      <c r="O115" s="43"/>
      <c r="P115" s="43"/>
      <c r="Q115" s="43"/>
      <c r="R115" s="43"/>
      <c r="S115" s="43"/>
      <c r="T115" s="43"/>
      <c r="U115" s="43"/>
      <c r="V115" s="43"/>
      <c r="W115" s="43"/>
      <c r="X115" s="955"/>
      <c r="Y115" s="43"/>
      <c r="Z115" s="43"/>
      <c r="AA115" s="46"/>
      <c r="AB115" s="1386"/>
      <c r="AC115" s="1387"/>
      <c r="AD115" s="1387"/>
      <c r="AE115" s="434"/>
      <c r="AF115" s="434"/>
      <c r="AG115" s="434"/>
      <c r="AH115" s="434"/>
      <c r="AI115" s="434"/>
      <c r="AJ115" s="434"/>
      <c r="AK115" s="434"/>
      <c r="AL115" s="434"/>
      <c r="AM115" s="434"/>
      <c r="AN115" s="434"/>
      <c r="AO115" s="434"/>
      <c r="AP115" s="434"/>
      <c r="AQ115" s="434"/>
      <c r="AR115" s="434"/>
      <c r="AS115" s="434"/>
      <c r="AT115" s="434"/>
      <c r="AU115" s="434"/>
      <c r="AV115" s="434"/>
      <c r="AW115" s="434"/>
      <c r="AX115" s="434"/>
      <c r="AY115" s="434"/>
      <c r="AZ115" s="434"/>
      <c r="BA115" s="434"/>
      <c r="BB115" s="434"/>
      <c r="BC115" s="434"/>
      <c r="BD115" s="434"/>
      <c r="BE115" s="434"/>
      <c r="BF115" s="434"/>
      <c r="BG115" s="434"/>
      <c r="BH115" s="434"/>
      <c r="BI115" s="434"/>
      <c r="BJ115" s="434"/>
      <c r="BK115" s="434"/>
      <c r="BL115" s="434"/>
      <c r="BM115" s="434"/>
      <c r="BN115" s="434"/>
      <c r="BO115" s="434"/>
      <c r="BP115" s="434"/>
      <c r="BQ115" s="434"/>
      <c r="BR115" s="434"/>
      <c r="BS115" s="434"/>
      <c r="BT115" s="434"/>
      <c r="BU115" s="434"/>
      <c r="BV115" s="434"/>
      <c r="BW115" s="434"/>
      <c r="BX115" s="434"/>
      <c r="BY115" s="434"/>
      <c r="BZ115" s="434"/>
      <c r="CA115" s="434"/>
      <c r="CB115" s="434"/>
      <c r="CC115" s="434"/>
      <c r="CD115" s="434"/>
      <c r="CE115" s="434"/>
      <c r="CF115" s="434"/>
      <c r="CG115" s="434"/>
      <c r="CH115" s="434"/>
      <c r="CI115" s="434"/>
      <c r="CJ115" s="434"/>
      <c r="CK115" s="434"/>
      <c r="CL115" s="434"/>
      <c r="CM115" s="434"/>
      <c r="CN115" s="434"/>
      <c r="CO115" s="434"/>
      <c r="CP115" s="434"/>
      <c r="CQ115" s="434"/>
      <c r="CR115" s="434"/>
      <c r="CS115" s="434"/>
      <c r="CT115" s="434"/>
      <c r="CU115" s="434"/>
      <c r="CV115" s="434"/>
      <c r="CW115" s="434"/>
      <c r="CX115" s="434"/>
      <c r="CY115" s="434"/>
      <c r="CZ115" s="434"/>
      <c r="DA115" s="434"/>
      <c r="DB115" s="434"/>
      <c r="DC115" s="434"/>
      <c r="DD115" s="434"/>
      <c r="DE115" s="434"/>
      <c r="DF115" s="434"/>
      <c r="DG115" s="434"/>
      <c r="DH115" s="434"/>
      <c r="DI115" s="434"/>
      <c r="DJ115" s="434"/>
      <c r="DK115" s="434"/>
      <c r="DL115" s="434"/>
      <c r="DM115" s="434"/>
      <c r="DN115" s="434"/>
      <c r="DO115" s="434"/>
      <c r="DP115" s="434"/>
      <c r="DQ115" s="434"/>
      <c r="DR115" s="434"/>
      <c r="DS115" s="434"/>
      <c r="DT115" s="434"/>
      <c r="DU115" s="434"/>
      <c r="DV115" s="434"/>
      <c r="DW115" s="434"/>
      <c r="DX115" s="434"/>
      <c r="DY115" s="434"/>
      <c r="DZ115" s="434"/>
      <c r="EA115" s="434"/>
      <c r="EB115" s="434"/>
      <c r="EC115" s="434"/>
      <c r="ED115" s="434"/>
      <c r="EE115" s="434"/>
      <c r="EF115" s="434"/>
      <c r="EG115" s="434"/>
      <c r="EH115" s="434"/>
      <c r="EI115" s="434"/>
      <c r="EJ115" s="434"/>
      <c r="EK115" s="434"/>
      <c r="EL115" s="434"/>
      <c r="EM115" s="434"/>
      <c r="EN115" s="434"/>
      <c r="EO115" s="434"/>
      <c r="EP115" s="434"/>
      <c r="EQ115" s="434"/>
      <c r="ER115" s="434"/>
      <c r="ES115" s="434"/>
      <c r="ET115" s="434"/>
      <c r="EU115" s="434"/>
      <c r="EV115" s="434"/>
      <c r="EW115" s="434"/>
      <c r="EX115" s="434"/>
      <c r="EY115" s="434"/>
      <c r="EZ115" s="434"/>
      <c r="FA115" s="434"/>
      <c r="FB115" s="434"/>
      <c r="FC115" s="434"/>
      <c r="FD115" s="434"/>
      <c r="FE115" s="434"/>
      <c r="FF115" s="434"/>
      <c r="FG115" s="434"/>
      <c r="FH115" s="434"/>
      <c r="FI115" s="434"/>
      <c r="FJ115" s="434"/>
      <c r="FK115" s="434"/>
      <c r="FL115" s="434"/>
      <c r="FM115" s="434"/>
      <c r="FN115" s="434"/>
      <c r="FO115" s="434"/>
      <c r="FP115" s="434"/>
      <c r="FQ115" s="434"/>
      <c r="FR115" s="434"/>
      <c r="FS115" s="434"/>
      <c r="FT115" s="434"/>
      <c r="FU115" s="434"/>
      <c r="FV115" s="434"/>
      <c r="FW115" s="434"/>
      <c r="FX115" s="434"/>
      <c r="FY115" s="434"/>
      <c r="FZ115" s="434"/>
      <c r="GA115" s="434"/>
      <c r="GB115" s="434"/>
      <c r="GC115" s="434"/>
      <c r="GD115" s="434"/>
      <c r="GE115" s="434"/>
      <c r="GF115" s="434"/>
      <c r="GG115" s="434"/>
      <c r="GH115" s="434"/>
      <c r="GI115" s="434"/>
      <c r="GJ115" s="434"/>
      <c r="GK115" s="434"/>
      <c r="GL115" s="434"/>
      <c r="GM115" s="434"/>
      <c r="GN115" s="434"/>
    </row>
    <row r="116" spans="1:196" ht="15" customHeight="1">
      <c r="A116" s="206"/>
      <c r="B116" s="43"/>
      <c r="C116" s="43"/>
      <c r="D116" s="1054"/>
      <c r="E116" s="244"/>
      <c r="F116" s="43"/>
      <c r="G116" s="43"/>
      <c r="H116" s="43"/>
      <c r="I116" s="43"/>
      <c r="J116" s="43"/>
      <c r="K116" s="43"/>
      <c r="L116" s="43"/>
      <c r="M116" s="43"/>
      <c r="N116" s="43"/>
      <c r="O116" s="43"/>
      <c r="P116" s="43"/>
      <c r="Q116" s="43"/>
      <c r="R116" s="43"/>
      <c r="S116" s="43"/>
      <c r="T116" s="43"/>
      <c r="U116" s="43"/>
      <c r="V116" s="43"/>
      <c r="W116" s="43"/>
      <c r="X116" s="955"/>
      <c r="Y116" s="43"/>
      <c r="Z116" s="43"/>
      <c r="AA116" s="46"/>
      <c r="AB116" s="1386"/>
      <c r="AC116" s="1387"/>
      <c r="AD116" s="1387"/>
      <c r="AE116" s="434"/>
      <c r="AF116" s="434"/>
      <c r="AG116" s="434"/>
      <c r="AH116" s="434"/>
      <c r="AI116" s="434"/>
      <c r="AJ116" s="434"/>
      <c r="AK116" s="434"/>
      <c r="AL116" s="434"/>
      <c r="AM116" s="434"/>
      <c r="AN116" s="434"/>
      <c r="AO116" s="434"/>
      <c r="AP116" s="434"/>
      <c r="AQ116" s="434"/>
      <c r="AR116" s="434"/>
      <c r="AS116" s="434"/>
      <c r="AT116" s="434"/>
      <c r="AU116" s="434"/>
      <c r="AV116" s="434"/>
      <c r="AW116" s="434"/>
      <c r="AX116" s="434"/>
      <c r="AY116" s="434"/>
      <c r="AZ116" s="434"/>
      <c r="BA116" s="434"/>
      <c r="BB116" s="434"/>
      <c r="BC116" s="434"/>
      <c r="BD116" s="434"/>
      <c r="BE116" s="434"/>
      <c r="BF116" s="434"/>
      <c r="BG116" s="434"/>
      <c r="BH116" s="434"/>
      <c r="BI116" s="434"/>
      <c r="BJ116" s="434"/>
      <c r="BK116" s="434"/>
      <c r="BL116" s="434"/>
      <c r="BM116" s="434"/>
      <c r="BN116" s="434"/>
      <c r="BO116" s="434"/>
      <c r="BP116" s="434"/>
      <c r="BQ116" s="434"/>
      <c r="BR116" s="434"/>
      <c r="BS116" s="434"/>
      <c r="BT116" s="434"/>
      <c r="BU116" s="434"/>
      <c r="BV116" s="434"/>
      <c r="BW116" s="434"/>
      <c r="BX116" s="434"/>
      <c r="BY116" s="434"/>
      <c r="BZ116" s="434"/>
      <c r="CA116" s="434"/>
      <c r="CB116" s="434"/>
      <c r="CC116" s="434"/>
      <c r="CD116" s="434"/>
      <c r="CE116" s="434"/>
      <c r="CF116" s="434"/>
      <c r="CG116" s="434"/>
      <c r="CH116" s="434"/>
      <c r="CI116" s="434"/>
      <c r="CJ116" s="434"/>
      <c r="CK116" s="434"/>
      <c r="CL116" s="434"/>
      <c r="CM116" s="434"/>
      <c r="CN116" s="434"/>
      <c r="CO116" s="434"/>
      <c r="CP116" s="434"/>
      <c r="CQ116" s="434"/>
      <c r="CR116" s="434"/>
      <c r="CS116" s="434"/>
      <c r="CT116" s="434"/>
      <c r="CU116" s="434"/>
      <c r="CV116" s="434"/>
      <c r="CW116" s="434"/>
      <c r="CX116" s="434"/>
      <c r="CY116" s="434"/>
      <c r="CZ116" s="434"/>
      <c r="DA116" s="434"/>
      <c r="DB116" s="434"/>
      <c r="DC116" s="434"/>
      <c r="DD116" s="434"/>
      <c r="DE116" s="434"/>
      <c r="DF116" s="434"/>
      <c r="DG116" s="434"/>
      <c r="DH116" s="434"/>
      <c r="DI116" s="434"/>
      <c r="DJ116" s="434"/>
      <c r="DK116" s="434"/>
      <c r="DL116" s="434"/>
      <c r="DM116" s="434"/>
      <c r="DN116" s="434"/>
      <c r="DO116" s="434"/>
      <c r="DP116" s="434"/>
      <c r="DQ116" s="434"/>
      <c r="DR116" s="434"/>
      <c r="DS116" s="434"/>
      <c r="DT116" s="434"/>
      <c r="DU116" s="434"/>
      <c r="DV116" s="434"/>
      <c r="DW116" s="434"/>
      <c r="DX116" s="434"/>
      <c r="DY116" s="434"/>
      <c r="DZ116" s="434"/>
      <c r="EA116" s="434"/>
      <c r="EB116" s="434"/>
      <c r="EC116" s="434"/>
      <c r="ED116" s="434"/>
      <c r="EE116" s="434"/>
      <c r="EF116" s="434"/>
      <c r="EG116" s="434"/>
      <c r="EH116" s="434"/>
      <c r="EI116" s="434"/>
      <c r="EJ116" s="434"/>
      <c r="EK116" s="434"/>
      <c r="EL116" s="434"/>
      <c r="EM116" s="434"/>
      <c r="EN116" s="434"/>
      <c r="EO116" s="434"/>
      <c r="EP116" s="434"/>
      <c r="EQ116" s="434"/>
      <c r="ER116" s="434"/>
      <c r="ES116" s="434"/>
      <c r="ET116" s="434"/>
      <c r="EU116" s="434"/>
      <c r="EV116" s="434"/>
      <c r="EW116" s="434"/>
      <c r="EX116" s="434"/>
      <c r="EY116" s="434"/>
      <c r="EZ116" s="434"/>
      <c r="FA116" s="434"/>
      <c r="FB116" s="434"/>
      <c r="FC116" s="434"/>
      <c r="FD116" s="434"/>
      <c r="FE116" s="434"/>
      <c r="FF116" s="434"/>
      <c r="FG116" s="434"/>
      <c r="FH116" s="434"/>
      <c r="FI116" s="434"/>
      <c r="FJ116" s="434"/>
      <c r="FK116" s="434"/>
      <c r="FL116" s="434"/>
      <c r="FM116" s="434"/>
      <c r="FN116" s="434"/>
      <c r="FO116" s="434"/>
      <c r="FP116" s="434"/>
      <c r="FQ116" s="434"/>
      <c r="FR116" s="434"/>
      <c r="FS116" s="434"/>
      <c r="FT116" s="434"/>
      <c r="FU116" s="434"/>
      <c r="FV116" s="434"/>
      <c r="FW116" s="434"/>
      <c r="FX116" s="434"/>
      <c r="FY116" s="434"/>
      <c r="FZ116" s="434"/>
      <c r="GA116" s="434"/>
      <c r="GB116" s="434"/>
      <c r="GC116" s="434"/>
      <c r="GD116" s="434"/>
      <c r="GE116" s="434"/>
      <c r="GF116" s="434"/>
      <c r="GG116" s="434"/>
      <c r="GH116" s="434"/>
      <c r="GI116" s="434"/>
      <c r="GJ116" s="434"/>
      <c r="GK116" s="434"/>
      <c r="GL116" s="434"/>
      <c r="GM116" s="434"/>
      <c r="GN116" s="434"/>
    </row>
    <row r="117" spans="1:196" ht="15" customHeight="1">
      <c r="A117" s="206"/>
      <c r="B117" s="43"/>
      <c r="C117" s="43"/>
      <c r="D117" s="1054"/>
      <c r="E117" s="244"/>
      <c r="F117" s="43"/>
      <c r="G117" s="43"/>
      <c r="H117" s="43"/>
      <c r="I117" s="43"/>
      <c r="J117" s="43"/>
      <c r="K117" s="43"/>
      <c r="L117" s="43"/>
      <c r="M117" s="43"/>
      <c r="N117" s="43"/>
      <c r="O117" s="43"/>
      <c r="P117" s="43"/>
      <c r="Q117" s="43"/>
      <c r="R117" s="43"/>
      <c r="S117" s="43"/>
      <c r="T117" s="43"/>
      <c r="U117" s="43"/>
      <c r="V117" s="43"/>
      <c r="W117" s="43"/>
      <c r="X117" s="955"/>
      <c r="Y117" s="43"/>
      <c r="Z117" s="43"/>
      <c r="AA117" s="46"/>
      <c r="AB117" s="1386"/>
      <c r="AC117" s="1387"/>
      <c r="AD117" s="1387"/>
      <c r="AE117" s="434"/>
      <c r="AF117" s="434"/>
      <c r="AG117" s="434"/>
      <c r="AH117" s="434"/>
      <c r="AI117" s="434"/>
      <c r="AJ117" s="434"/>
      <c r="AK117" s="434"/>
      <c r="AL117" s="434"/>
      <c r="AM117" s="434"/>
      <c r="AN117" s="434"/>
      <c r="AO117" s="434"/>
      <c r="AP117" s="434"/>
      <c r="AQ117" s="434"/>
      <c r="AR117" s="434"/>
      <c r="AS117" s="434"/>
      <c r="AT117" s="434"/>
      <c r="AU117" s="434"/>
      <c r="AV117" s="434"/>
      <c r="AW117" s="434"/>
      <c r="AX117" s="434"/>
      <c r="AY117" s="434"/>
      <c r="AZ117" s="434"/>
      <c r="BA117" s="434"/>
      <c r="BB117" s="434"/>
      <c r="BC117" s="434"/>
      <c r="BD117" s="434"/>
      <c r="BE117" s="434"/>
      <c r="BF117" s="434"/>
      <c r="BG117" s="434"/>
      <c r="BH117" s="434"/>
      <c r="BI117" s="434"/>
      <c r="BJ117" s="434"/>
      <c r="BK117" s="434"/>
      <c r="BL117" s="434"/>
      <c r="BM117" s="434"/>
      <c r="BN117" s="434"/>
      <c r="BO117" s="434"/>
      <c r="BP117" s="434"/>
      <c r="BQ117" s="434"/>
      <c r="BR117" s="434"/>
      <c r="BS117" s="434"/>
      <c r="BT117" s="434"/>
      <c r="BU117" s="434"/>
      <c r="BV117" s="434"/>
      <c r="BW117" s="434"/>
      <c r="BX117" s="434"/>
      <c r="BY117" s="434"/>
      <c r="BZ117" s="434"/>
      <c r="CA117" s="434"/>
      <c r="CB117" s="434"/>
      <c r="CC117" s="434"/>
      <c r="CD117" s="434"/>
      <c r="CE117" s="434"/>
      <c r="CF117" s="434"/>
      <c r="CG117" s="434"/>
      <c r="CH117" s="434"/>
      <c r="CI117" s="434"/>
      <c r="CJ117" s="434"/>
      <c r="CK117" s="434"/>
      <c r="CL117" s="434"/>
      <c r="CM117" s="434"/>
      <c r="CN117" s="434"/>
      <c r="CO117" s="434"/>
      <c r="CP117" s="434"/>
      <c r="CQ117" s="434"/>
      <c r="CR117" s="434"/>
      <c r="CS117" s="434"/>
      <c r="CT117" s="434"/>
      <c r="CU117" s="434"/>
      <c r="CV117" s="434"/>
      <c r="CW117" s="434"/>
      <c r="CX117" s="434"/>
      <c r="CY117" s="434"/>
      <c r="CZ117" s="434"/>
      <c r="DA117" s="434"/>
      <c r="DB117" s="434"/>
      <c r="DC117" s="434"/>
      <c r="DD117" s="434"/>
      <c r="DE117" s="434"/>
      <c r="DF117" s="434"/>
      <c r="DG117" s="434"/>
      <c r="DH117" s="434"/>
      <c r="DI117" s="434"/>
      <c r="DJ117" s="434"/>
      <c r="DK117" s="434"/>
      <c r="DL117" s="434"/>
      <c r="DM117" s="434"/>
      <c r="DN117" s="434"/>
      <c r="DO117" s="434"/>
      <c r="DP117" s="434"/>
      <c r="DQ117" s="434"/>
      <c r="DR117" s="434"/>
      <c r="DS117" s="434"/>
      <c r="DT117" s="434"/>
      <c r="DU117" s="434"/>
      <c r="DV117" s="434"/>
      <c r="DW117" s="434"/>
      <c r="DX117" s="434"/>
      <c r="DY117" s="434"/>
      <c r="DZ117" s="434"/>
      <c r="EA117" s="434"/>
      <c r="EB117" s="434"/>
      <c r="EC117" s="434"/>
      <c r="ED117" s="434"/>
      <c r="EE117" s="434"/>
      <c r="EF117" s="434"/>
      <c r="EG117" s="434"/>
      <c r="EH117" s="434"/>
      <c r="EI117" s="434"/>
      <c r="EJ117" s="434"/>
      <c r="EK117" s="434"/>
      <c r="EL117" s="434"/>
      <c r="EM117" s="434"/>
      <c r="EN117" s="434"/>
      <c r="EO117" s="434"/>
      <c r="EP117" s="434"/>
      <c r="EQ117" s="434"/>
      <c r="ER117" s="434"/>
      <c r="ES117" s="434"/>
      <c r="ET117" s="434"/>
      <c r="EU117" s="434"/>
      <c r="EV117" s="434"/>
      <c r="EW117" s="434"/>
      <c r="EX117" s="434"/>
      <c r="EY117" s="434"/>
      <c r="EZ117" s="434"/>
      <c r="FA117" s="434"/>
      <c r="FB117" s="434"/>
      <c r="FC117" s="434"/>
      <c r="FD117" s="434"/>
      <c r="FE117" s="434"/>
      <c r="FF117" s="434"/>
      <c r="FG117" s="434"/>
      <c r="FH117" s="434"/>
      <c r="FI117" s="434"/>
      <c r="FJ117" s="434"/>
      <c r="FK117" s="434"/>
      <c r="FL117" s="434"/>
      <c r="FM117" s="434"/>
      <c r="FN117" s="434"/>
      <c r="FO117" s="434"/>
      <c r="FP117" s="434"/>
      <c r="FQ117" s="434"/>
      <c r="FR117" s="434"/>
      <c r="FS117" s="434"/>
      <c r="FT117" s="434"/>
      <c r="FU117" s="434"/>
      <c r="FV117" s="434"/>
      <c r="FW117" s="434"/>
      <c r="FX117" s="434"/>
      <c r="FY117" s="434"/>
      <c r="FZ117" s="434"/>
      <c r="GA117" s="434"/>
      <c r="GB117" s="434"/>
      <c r="GC117" s="434"/>
      <c r="GD117" s="434"/>
      <c r="GE117" s="434"/>
      <c r="GF117" s="434"/>
      <c r="GG117" s="434"/>
      <c r="GH117" s="434"/>
      <c r="GI117" s="434"/>
      <c r="GJ117" s="434"/>
      <c r="GK117" s="434"/>
      <c r="GL117" s="434"/>
      <c r="GM117" s="434"/>
      <c r="GN117" s="434"/>
    </row>
    <row r="118" spans="1:196" ht="15" customHeight="1">
      <c r="A118" s="206"/>
      <c r="B118" s="43"/>
      <c r="C118" s="43"/>
      <c r="D118" s="1054"/>
      <c r="E118" s="244"/>
      <c r="F118" s="43"/>
      <c r="G118" s="43"/>
      <c r="H118" s="43"/>
      <c r="I118" s="43"/>
      <c r="J118" s="43"/>
      <c r="K118" s="43"/>
      <c r="L118" s="43"/>
      <c r="M118" s="43"/>
      <c r="N118" s="43"/>
      <c r="O118" s="43"/>
      <c r="P118" s="43"/>
      <c r="Q118" s="43"/>
      <c r="R118" s="43"/>
      <c r="S118" s="43"/>
      <c r="T118" s="43"/>
      <c r="U118" s="43"/>
      <c r="V118" s="43"/>
      <c r="W118" s="43"/>
      <c r="X118" s="955"/>
      <c r="Y118" s="43"/>
      <c r="Z118" s="43"/>
      <c r="AA118" s="46"/>
      <c r="AB118" s="1386"/>
      <c r="AC118" s="1387"/>
      <c r="AD118" s="1387"/>
      <c r="AE118" s="434"/>
      <c r="AF118" s="434"/>
      <c r="AG118" s="434"/>
      <c r="AH118" s="434"/>
      <c r="AI118" s="434"/>
      <c r="AJ118" s="434"/>
      <c r="AK118" s="434"/>
      <c r="AL118" s="434"/>
      <c r="AM118" s="434"/>
      <c r="AN118" s="434"/>
      <c r="AO118" s="434"/>
      <c r="AP118" s="434"/>
      <c r="AQ118" s="434"/>
      <c r="AR118" s="434"/>
      <c r="AS118" s="434"/>
      <c r="AT118" s="434"/>
      <c r="AU118" s="434"/>
      <c r="AV118" s="434"/>
      <c r="AW118" s="434"/>
      <c r="AX118" s="434"/>
      <c r="AY118" s="434"/>
      <c r="AZ118" s="434"/>
      <c r="BA118" s="434"/>
      <c r="BB118" s="434"/>
      <c r="BC118" s="434"/>
      <c r="BD118" s="434"/>
      <c r="BE118" s="434"/>
      <c r="BF118" s="434"/>
      <c r="BG118" s="434"/>
      <c r="BH118" s="434"/>
      <c r="BI118" s="434"/>
      <c r="BJ118" s="434"/>
      <c r="BK118" s="434"/>
      <c r="BL118" s="434"/>
      <c r="BM118" s="434"/>
      <c r="BN118" s="434"/>
      <c r="BO118" s="434"/>
      <c r="BP118" s="434"/>
      <c r="BQ118" s="434"/>
      <c r="BR118" s="434"/>
      <c r="BS118" s="434"/>
      <c r="BT118" s="434"/>
      <c r="BU118" s="434"/>
      <c r="BV118" s="434"/>
      <c r="BW118" s="434"/>
      <c r="BX118" s="434"/>
      <c r="BY118" s="434"/>
      <c r="BZ118" s="434"/>
      <c r="CA118" s="434"/>
      <c r="CB118" s="434"/>
      <c r="CC118" s="434"/>
      <c r="CD118" s="434"/>
      <c r="CE118" s="434"/>
      <c r="CF118" s="434"/>
      <c r="CG118" s="434"/>
      <c r="CH118" s="434"/>
      <c r="CI118" s="434"/>
      <c r="CJ118" s="434"/>
      <c r="CK118" s="434"/>
      <c r="CL118" s="434"/>
      <c r="CM118" s="434"/>
      <c r="CN118" s="434"/>
      <c r="CO118" s="434"/>
      <c r="CP118" s="434"/>
      <c r="CQ118" s="434"/>
      <c r="CR118" s="434"/>
      <c r="CS118" s="434"/>
      <c r="CT118" s="434"/>
      <c r="CU118" s="434"/>
      <c r="CV118" s="434"/>
      <c r="CW118" s="434"/>
      <c r="CX118" s="434"/>
      <c r="CY118" s="434"/>
      <c r="CZ118" s="434"/>
      <c r="DA118" s="434"/>
      <c r="DB118" s="434"/>
      <c r="DC118" s="434"/>
      <c r="DD118" s="434"/>
      <c r="DE118" s="434"/>
      <c r="DF118" s="434"/>
      <c r="DG118" s="434"/>
      <c r="DH118" s="434"/>
      <c r="DI118" s="434"/>
      <c r="DJ118" s="434"/>
      <c r="DK118" s="434"/>
      <c r="DL118" s="434"/>
      <c r="DM118" s="434"/>
      <c r="DN118" s="434"/>
      <c r="DO118" s="434"/>
      <c r="DP118" s="434"/>
      <c r="DQ118" s="434"/>
      <c r="DR118" s="434"/>
      <c r="DS118" s="434"/>
      <c r="DT118" s="434"/>
      <c r="DU118" s="434"/>
      <c r="DV118" s="434"/>
      <c r="DW118" s="434"/>
      <c r="DX118" s="434"/>
      <c r="DY118" s="434"/>
      <c r="DZ118" s="434"/>
      <c r="EA118" s="434"/>
      <c r="EB118" s="434"/>
      <c r="EC118" s="434"/>
      <c r="ED118" s="434"/>
      <c r="EE118" s="434"/>
      <c r="EF118" s="434"/>
      <c r="EG118" s="434"/>
      <c r="EH118" s="434"/>
      <c r="EI118" s="434"/>
      <c r="EJ118" s="434"/>
      <c r="EK118" s="434"/>
      <c r="EL118" s="434"/>
      <c r="EM118" s="434"/>
      <c r="EN118" s="434"/>
      <c r="EO118" s="434"/>
      <c r="EP118" s="434"/>
      <c r="EQ118" s="434"/>
      <c r="ER118" s="434"/>
      <c r="ES118" s="434"/>
      <c r="ET118" s="434"/>
      <c r="EU118" s="434"/>
      <c r="EV118" s="434"/>
      <c r="EW118" s="434"/>
      <c r="EX118" s="434"/>
      <c r="EY118" s="434"/>
      <c r="EZ118" s="434"/>
      <c r="FA118" s="434"/>
      <c r="FB118" s="434"/>
      <c r="FC118" s="434"/>
      <c r="FD118" s="434"/>
      <c r="FE118" s="434"/>
      <c r="FF118" s="434"/>
      <c r="FG118" s="434"/>
      <c r="FH118" s="434"/>
      <c r="FI118" s="434"/>
      <c r="FJ118" s="434"/>
      <c r="FK118" s="434"/>
      <c r="FL118" s="434"/>
      <c r="FM118" s="434"/>
      <c r="FN118" s="434"/>
      <c r="FO118" s="434"/>
      <c r="FP118" s="434"/>
      <c r="FQ118" s="434"/>
      <c r="FR118" s="434"/>
      <c r="FS118" s="434"/>
      <c r="FT118" s="434"/>
      <c r="FU118" s="434"/>
      <c r="FV118" s="434"/>
      <c r="FW118" s="434"/>
      <c r="FX118" s="434"/>
      <c r="FY118" s="434"/>
      <c r="FZ118" s="434"/>
      <c r="GA118" s="434"/>
      <c r="GB118" s="434"/>
      <c r="GC118" s="434"/>
      <c r="GD118" s="434"/>
      <c r="GE118" s="434"/>
      <c r="GF118" s="434"/>
      <c r="GG118" s="434"/>
      <c r="GH118" s="434"/>
      <c r="GI118" s="434"/>
      <c r="GJ118" s="434"/>
      <c r="GK118" s="434"/>
      <c r="GL118" s="434"/>
      <c r="GM118" s="434"/>
      <c r="GN118" s="434"/>
    </row>
    <row r="119" spans="1:196" ht="15" customHeight="1">
      <c r="A119" s="206"/>
      <c r="B119" s="43"/>
      <c r="C119" s="43"/>
      <c r="D119" s="1054"/>
      <c r="E119" s="244"/>
      <c r="F119" s="43"/>
      <c r="G119" s="43"/>
      <c r="H119" s="43"/>
      <c r="I119" s="43"/>
      <c r="J119" s="43"/>
      <c r="K119" s="43"/>
      <c r="L119" s="43"/>
      <c r="M119" s="43"/>
      <c r="N119" s="43"/>
      <c r="O119" s="43"/>
      <c r="P119" s="43"/>
      <c r="Q119" s="43"/>
      <c r="R119" s="43"/>
      <c r="S119" s="43"/>
      <c r="T119" s="43"/>
      <c r="U119" s="43"/>
      <c r="V119" s="43"/>
      <c r="W119" s="43"/>
      <c r="X119" s="955"/>
      <c r="Y119" s="43"/>
      <c r="Z119" s="43"/>
      <c r="AA119" s="46"/>
      <c r="AB119" s="1386"/>
      <c r="AC119" s="1387"/>
      <c r="AD119" s="1387"/>
      <c r="AE119" s="434"/>
      <c r="AF119" s="434"/>
      <c r="AG119" s="434"/>
      <c r="AH119" s="434"/>
      <c r="AI119" s="434"/>
      <c r="AJ119" s="434"/>
      <c r="AK119" s="434"/>
      <c r="AL119" s="434"/>
      <c r="AM119" s="434"/>
      <c r="AN119" s="434"/>
      <c r="AO119" s="434"/>
      <c r="AP119" s="434"/>
      <c r="AQ119" s="434"/>
      <c r="AR119" s="434"/>
      <c r="AS119" s="434"/>
      <c r="AT119" s="434"/>
      <c r="AU119" s="434"/>
      <c r="AV119" s="434"/>
      <c r="AW119" s="434"/>
      <c r="AX119" s="434"/>
      <c r="AY119" s="434"/>
      <c r="AZ119" s="434"/>
      <c r="BA119" s="434"/>
      <c r="BB119" s="434"/>
      <c r="BC119" s="434"/>
      <c r="BD119" s="434"/>
      <c r="BE119" s="434"/>
      <c r="BF119" s="434"/>
      <c r="BG119" s="434"/>
      <c r="BH119" s="434"/>
      <c r="BI119" s="434"/>
      <c r="BJ119" s="434"/>
      <c r="BK119" s="434"/>
      <c r="BL119" s="434"/>
      <c r="BM119" s="434"/>
      <c r="BN119" s="434"/>
      <c r="BO119" s="434"/>
      <c r="BP119" s="434"/>
      <c r="BQ119" s="434"/>
      <c r="BR119" s="434"/>
      <c r="BS119" s="434"/>
      <c r="BT119" s="434"/>
      <c r="BU119" s="434"/>
      <c r="BV119" s="434"/>
      <c r="BW119" s="434"/>
      <c r="BX119" s="434"/>
      <c r="BY119" s="434"/>
      <c r="BZ119" s="434"/>
      <c r="CA119" s="434"/>
      <c r="CB119" s="434"/>
      <c r="CC119" s="434"/>
      <c r="CD119" s="434"/>
      <c r="CE119" s="434"/>
      <c r="CF119" s="434"/>
      <c r="CG119" s="434"/>
      <c r="CH119" s="434"/>
      <c r="CI119" s="434"/>
      <c r="CJ119" s="434"/>
      <c r="CK119" s="434"/>
      <c r="CL119" s="434"/>
      <c r="CM119" s="434"/>
      <c r="CN119" s="434"/>
      <c r="CO119" s="434"/>
      <c r="CP119" s="434"/>
      <c r="CQ119" s="434"/>
      <c r="CR119" s="434"/>
      <c r="CS119" s="434"/>
      <c r="CT119" s="434"/>
      <c r="CU119" s="434"/>
      <c r="CV119" s="434"/>
      <c r="CW119" s="434"/>
      <c r="CX119" s="434"/>
      <c r="CY119" s="434"/>
      <c r="CZ119" s="434"/>
      <c r="DA119" s="434"/>
      <c r="DB119" s="434"/>
      <c r="DC119" s="434"/>
      <c r="DD119" s="434"/>
      <c r="DE119" s="434"/>
      <c r="DF119" s="434"/>
      <c r="DG119" s="434"/>
      <c r="DH119" s="434"/>
      <c r="DI119" s="434"/>
      <c r="DJ119" s="434"/>
      <c r="DK119" s="434"/>
      <c r="DL119" s="434"/>
      <c r="DM119" s="434"/>
      <c r="DN119" s="434"/>
      <c r="DO119" s="434"/>
      <c r="DP119" s="434"/>
      <c r="DQ119" s="434"/>
      <c r="DR119" s="434"/>
      <c r="DS119" s="434"/>
      <c r="DT119" s="434"/>
      <c r="DU119" s="434"/>
      <c r="DV119" s="434"/>
      <c r="DW119" s="434"/>
      <c r="DX119" s="434"/>
      <c r="DY119" s="434"/>
      <c r="DZ119" s="434"/>
      <c r="EA119" s="434"/>
      <c r="EB119" s="434"/>
      <c r="EC119" s="434"/>
      <c r="ED119" s="434"/>
      <c r="EE119" s="434"/>
      <c r="EF119" s="434"/>
      <c r="EG119" s="434"/>
      <c r="EH119" s="434"/>
      <c r="EI119" s="434"/>
      <c r="EJ119" s="434"/>
      <c r="EK119" s="434"/>
      <c r="EL119" s="434"/>
      <c r="EM119" s="434"/>
      <c r="EN119" s="434"/>
      <c r="EO119" s="434"/>
      <c r="EP119" s="434"/>
      <c r="EQ119" s="434"/>
      <c r="ER119" s="434"/>
      <c r="ES119" s="434"/>
      <c r="ET119" s="434"/>
      <c r="EU119" s="434"/>
      <c r="EV119" s="434"/>
      <c r="EW119" s="434"/>
      <c r="EX119" s="434"/>
      <c r="EY119" s="434"/>
      <c r="EZ119" s="434"/>
      <c r="FA119" s="434"/>
      <c r="FB119" s="434"/>
      <c r="FC119" s="434"/>
      <c r="FD119" s="434"/>
      <c r="FE119" s="434"/>
      <c r="FF119" s="434"/>
      <c r="FG119" s="434"/>
      <c r="FH119" s="434"/>
      <c r="FI119" s="434"/>
      <c r="FJ119" s="434"/>
      <c r="FK119" s="434"/>
      <c r="FL119" s="434"/>
      <c r="FM119" s="434"/>
      <c r="FN119" s="434"/>
      <c r="FO119" s="434"/>
      <c r="FP119" s="434"/>
      <c r="FQ119" s="434"/>
      <c r="FR119" s="434"/>
      <c r="FS119" s="434"/>
      <c r="FT119" s="434"/>
      <c r="FU119" s="434"/>
      <c r="FV119" s="434"/>
      <c r="FW119" s="434"/>
      <c r="FX119" s="434"/>
      <c r="FY119" s="434"/>
      <c r="FZ119" s="434"/>
      <c r="GA119" s="434"/>
      <c r="GB119" s="434"/>
      <c r="GC119" s="434"/>
      <c r="GD119" s="434"/>
      <c r="GE119" s="434"/>
      <c r="GF119" s="434"/>
      <c r="GG119" s="434"/>
      <c r="GH119" s="434"/>
      <c r="GI119" s="434"/>
      <c r="GJ119" s="434"/>
      <c r="GK119" s="434"/>
      <c r="GL119" s="434"/>
      <c r="GM119" s="434"/>
      <c r="GN119" s="434"/>
    </row>
    <row r="120" spans="1:196" ht="15" customHeight="1">
      <c r="A120" s="206"/>
      <c r="B120" s="43"/>
      <c r="C120" s="43"/>
      <c r="D120" s="1054"/>
      <c r="E120" s="244"/>
      <c r="F120" s="43"/>
      <c r="G120" s="43"/>
      <c r="H120" s="43"/>
      <c r="I120" s="43"/>
      <c r="J120" s="43"/>
      <c r="K120" s="43"/>
      <c r="L120" s="43"/>
      <c r="M120" s="43"/>
      <c r="N120" s="43"/>
      <c r="O120" s="43"/>
      <c r="P120" s="43"/>
      <c r="Q120" s="43"/>
      <c r="R120" s="43"/>
      <c r="S120" s="43"/>
      <c r="T120" s="43"/>
      <c r="U120" s="43"/>
      <c r="V120" s="43"/>
      <c r="W120" s="43"/>
      <c r="X120" s="955"/>
      <c r="Y120" s="43"/>
      <c r="Z120" s="43"/>
      <c r="AA120" s="46"/>
      <c r="AB120" s="1386"/>
      <c r="AC120" s="1387"/>
      <c r="AD120" s="1387"/>
      <c r="AE120" s="434"/>
      <c r="AF120" s="434"/>
      <c r="AG120" s="434"/>
      <c r="AH120" s="434"/>
      <c r="AI120" s="434"/>
      <c r="AJ120" s="434"/>
      <c r="AK120" s="434"/>
      <c r="AL120" s="434"/>
      <c r="AM120" s="434"/>
      <c r="AN120" s="434"/>
      <c r="AO120" s="434"/>
      <c r="AP120" s="434"/>
      <c r="AQ120" s="434"/>
      <c r="AR120" s="434"/>
      <c r="AS120" s="434"/>
      <c r="AT120" s="434"/>
      <c r="AU120" s="434"/>
      <c r="AV120" s="434"/>
      <c r="AW120" s="434"/>
      <c r="AX120" s="434"/>
      <c r="AY120" s="434"/>
      <c r="AZ120" s="434"/>
      <c r="BA120" s="434"/>
      <c r="BB120" s="434"/>
      <c r="BC120" s="434"/>
      <c r="BD120" s="434"/>
      <c r="BE120" s="434"/>
      <c r="BF120" s="434"/>
      <c r="BG120" s="434"/>
      <c r="BH120" s="434"/>
      <c r="BI120" s="434"/>
      <c r="BJ120" s="434"/>
      <c r="BK120" s="434"/>
      <c r="BL120" s="434"/>
      <c r="BM120" s="434"/>
      <c r="BN120" s="434"/>
      <c r="BO120" s="434"/>
      <c r="BP120" s="434"/>
      <c r="BQ120" s="434"/>
      <c r="BR120" s="434"/>
      <c r="BS120" s="434"/>
      <c r="BT120" s="434"/>
      <c r="BU120" s="434"/>
      <c r="BV120" s="434"/>
      <c r="BW120" s="434"/>
      <c r="BX120" s="434"/>
      <c r="BY120" s="434"/>
      <c r="BZ120" s="434"/>
      <c r="CA120" s="434"/>
      <c r="CB120" s="434"/>
      <c r="CC120" s="434"/>
      <c r="CD120" s="434"/>
      <c r="CE120" s="434"/>
      <c r="CF120" s="434"/>
      <c r="CG120" s="434"/>
      <c r="CH120" s="434"/>
      <c r="CI120" s="434"/>
      <c r="CJ120" s="434"/>
      <c r="CK120" s="434"/>
      <c r="CL120" s="434"/>
      <c r="CM120" s="434"/>
      <c r="CN120" s="434"/>
      <c r="CO120" s="434"/>
      <c r="CP120" s="434"/>
      <c r="CQ120" s="434"/>
      <c r="CR120" s="434"/>
      <c r="CS120" s="434"/>
      <c r="CT120" s="434"/>
      <c r="CU120" s="434"/>
      <c r="CV120" s="434"/>
      <c r="CW120" s="434"/>
      <c r="CX120" s="434"/>
      <c r="CY120" s="434"/>
      <c r="CZ120" s="434"/>
      <c r="DA120" s="434"/>
      <c r="DB120" s="434"/>
      <c r="DC120" s="434"/>
      <c r="DD120" s="434"/>
      <c r="DE120" s="434"/>
      <c r="DF120" s="434"/>
      <c r="DG120" s="434"/>
      <c r="DH120" s="434"/>
      <c r="DI120" s="434"/>
      <c r="DJ120" s="434"/>
      <c r="DK120" s="434"/>
      <c r="DL120" s="434"/>
      <c r="DM120" s="434"/>
      <c r="DN120" s="434"/>
      <c r="DO120" s="434"/>
      <c r="DP120" s="434"/>
      <c r="DQ120" s="434"/>
      <c r="DR120" s="434"/>
      <c r="DS120" s="434"/>
      <c r="DT120" s="434"/>
      <c r="DU120" s="434"/>
      <c r="DV120" s="434"/>
      <c r="DW120" s="434"/>
      <c r="DX120" s="434"/>
      <c r="DY120" s="434"/>
      <c r="DZ120" s="434"/>
      <c r="EA120" s="434"/>
      <c r="EB120" s="434"/>
      <c r="EC120" s="434"/>
      <c r="ED120" s="434"/>
      <c r="EE120" s="434"/>
      <c r="EF120" s="434"/>
      <c r="EG120" s="434"/>
      <c r="EH120" s="434"/>
      <c r="EI120" s="434"/>
      <c r="EJ120" s="434"/>
      <c r="EK120" s="434"/>
      <c r="EL120" s="434"/>
      <c r="EM120" s="434"/>
      <c r="EN120" s="434"/>
      <c r="EO120" s="434"/>
      <c r="EP120" s="434"/>
      <c r="EQ120" s="434"/>
      <c r="ER120" s="434"/>
      <c r="ES120" s="434"/>
      <c r="ET120" s="434"/>
      <c r="EU120" s="434"/>
      <c r="EV120" s="434"/>
      <c r="EW120" s="434"/>
      <c r="EX120" s="434"/>
      <c r="EY120" s="434"/>
      <c r="EZ120" s="434"/>
      <c r="FA120" s="434"/>
      <c r="FB120" s="434"/>
      <c r="FC120" s="434"/>
      <c r="FD120" s="434"/>
      <c r="FE120" s="434"/>
      <c r="FF120" s="434"/>
      <c r="FG120" s="434"/>
      <c r="FH120" s="434"/>
      <c r="FI120" s="434"/>
      <c r="FJ120" s="434"/>
      <c r="FK120" s="434"/>
      <c r="FL120" s="434"/>
      <c r="FM120" s="434"/>
      <c r="FN120" s="434"/>
      <c r="FO120" s="434"/>
      <c r="FP120" s="434"/>
      <c r="FQ120" s="434"/>
      <c r="FR120" s="434"/>
      <c r="FS120" s="434"/>
      <c r="FT120" s="434"/>
      <c r="FU120" s="434"/>
      <c r="FV120" s="434"/>
      <c r="FW120" s="434"/>
      <c r="FX120" s="434"/>
      <c r="FY120" s="434"/>
      <c r="FZ120" s="434"/>
      <c r="GA120" s="434"/>
      <c r="GB120" s="434"/>
      <c r="GC120" s="434"/>
      <c r="GD120" s="434"/>
      <c r="GE120" s="434"/>
      <c r="GF120" s="434"/>
      <c r="GG120" s="434"/>
      <c r="GH120" s="434"/>
      <c r="GI120" s="434"/>
      <c r="GJ120" s="434"/>
      <c r="GK120" s="434"/>
      <c r="GL120" s="434"/>
      <c r="GM120" s="434"/>
      <c r="GN120" s="434"/>
    </row>
    <row r="121" spans="1:196" ht="15" customHeight="1">
      <c r="A121" s="206"/>
      <c r="B121" s="43"/>
      <c r="C121" s="43"/>
      <c r="D121" s="1054"/>
      <c r="E121" s="244"/>
      <c r="F121" s="43"/>
      <c r="G121" s="43"/>
      <c r="H121" s="43"/>
      <c r="I121" s="43"/>
      <c r="J121" s="43"/>
      <c r="K121" s="43"/>
      <c r="L121" s="43"/>
      <c r="M121" s="43"/>
      <c r="N121" s="43"/>
      <c r="O121" s="43"/>
      <c r="P121" s="43"/>
      <c r="Q121" s="43"/>
      <c r="R121" s="43"/>
      <c r="S121" s="43"/>
      <c r="T121" s="43"/>
      <c r="U121" s="43"/>
      <c r="V121" s="43"/>
      <c r="W121" s="43"/>
      <c r="X121" s="955"/>
      <c r="Y121" s="43"/>
      <c r="Z121" s="43"/>
      <c r="AA121" s="46"/>
      <c r="AB121" s="1386"/>
      <c r="AC121" s="1387"/>
      <c r="AD121" s="1387"/>
      <c r="AE121" s="434"/>
      <c r="AF121" s="434"/>
      <c r="AG121" s="434"/>
      <c r="AH121" s="434"/>
      <c r="AI121" s="434"/>
      <c r="AJ121" s="434"/>
      <c r="AK121" s="434"/>
      <c r="AL121" s="434"/>
      <c r="AM121" s="434"/>
      <c r="AN121" s="434"/>
      <c r="AO121" s="434"/>
      <c r="AP121" s="434"/>
      <c r="AQ121" s="434"/>
      <c r="AR121" s="434"/>
      <c r="AS121" s="434"/>
      <c r="AT121" s="434"/>
      <c r="AU121" s="434"/>
      <c r="AV121" s="434"/>
      <c r="AW121" s="434"/>
      <c r="AX121" s="434"/>
      <c r="AY121" s="434"/>
      <c r="AZ121" s="434"/>
      <c r="BA121" s="434"/>
      <c r="BB121" s="434"/>
      <c r="BC121" s="434"/>
      <c r="BD121" s="434"/>
      <c r="BE121" s="434"/>
      <c r="BF121" s="434"/>
      <c r="BG121" s="434"/>
      <c r="BH121" s="434"/>
      <c r="BI121" s="434"/>
      <c r="BJ121" s="434"/>
      <c r="BK121" s="434"/>
      <c r="BL121" s="434"/>
      <c r="BM121" s="434"/>
      <c r="BN121" s="434"/>
      <c r="BO121" s="434"/>
      <c r="BP121" s="434"/>
      <c r="BQ121" s="434"/>
      <c r="BR121" s="434"/>
      <c r="BS121" s="434"/>
      <c r="BT121" s="434"/>
      <c r="BU121" s="434"/>
      <c r="BV121" s="434"/>
      <c r="BW121" s="434"/>
      <c r="BX121" s="434"/>
      <c r="BY121" s="434"/>
      <c r="BZ121" s="434"/>
      <c r="CA121" s="434"/>
      <c r="CB121" s="434"/>
      <c r="CC121" s="434"/>
      <c r="CD121" s="434"/>
      <c r="CE121" s="434"/>
      <c r="CF121" s="434"/>
      <c r="CG121" s="434"/>
      <c r="CH121" s="434"/>
      <c r="CI121" s="434"/>
      <c r="CJ121" s="434"/>
      <c r="CK121" s="434"/>
      <c r="CL121" s="434"/>
      <c r="CM121" s="434"/>
      <c r="CN121" s="434"/>
      <c r="CO121" s="434"/>
      <c r="CP121" s="434"/>
      <c r="CQ121" s="434"/>
      <c r="CR121" s="434"/>
      <c r="CS121" s="434"/>
      <c r="CT121" s="434"/>
      <c r="CU121" s="434"/>
      <c r="CV121" s="434"/>
      <c r="CW121" s="434"/>
      <c r="CX121" s="434"/>
      <c r="CY121" s="434"/>
      <c r="CZ121" s="434"/>
      <c r="DA121" s="434"/>
      <c r="DB121" s="434"/>
      <c r="DC121" s="434"/>
      <c r="DD121" s="434"/>
      <c r="DE121" s="434"/>
      <c r="DF121" s="434"/>
      <c r="DG121" s="434"/>
      <c r="DH121" s="434"/>
      <c r="DI121" s="434"/>
      <c r="DJ121" s="434"/>
      <c r="DK121" s="434"/>
      <c r="DL121" s="434"/>
      <c r="DM121" s="434"/>
      <c r="DN121" s="434"/>
      <c r="DO121" s="434"/>
      <c r="DP121" s="434"/>
      <c r="DQ121" s="434"/>
      <c r="DR121" s="434"/>
      <c r="DS121" s="434"/>
      <c r="DT121" s="434"/>
      <c r="DU121" s="434"/>
      <c r="DV121" s="434"/>
      <c r="DW121" s="434"/>
      <c r="DX121" s="434"/>
      <c r="DY121" s="434"/>
      <c r="DZ121" s="434"/>
      <c r="EA121" s="434"/>
      <c r="EB121" s="434"/>
      <c r="EC121" s="434"/>
      <c r="ED121" s="434"/>
      <c r="EE121" s="434"/>
      <c r="EF121" s="434"/>
      <c r="EG121" s="434"/>
      <c r="EH121" s="434"/>
      <c r="EI121" s="434"/>
      <c r="EJ121" s="434"/>
      <c r="EK121" s="434"/>
      <c r="EL121" s="434"/>
      <c r="EM121" s="434"/>
      <c r="EN121" s="434"/>
      <c r="EO121" s="434"/>
      <c r="EP121" s="434"/>
      <c r="EQ121" s="434"/>
      <c r="ER121" s="434"/>
      <c r="ES121" s="434"/>
      <c r="ET121" s="434"/>
      <c r="EU121" s="434"/>
      <c r="EV121" s="434"/>
      <c r="EW121" s="434"/>
      <c r="EX121" s="434"/>
      <c r="EY121" s="434"/>
      <c r="EZ121" s="434"/>
      <c r="FA121" s="434"/>
      <c r="FB121" s="434"/>
      <c r="FC121" s="434"/>
      <c r="FD121" s="434"/>
      <c r="FE121" s="434"/>
      <c r="FF121" s="434"/>
      <c r="FG121" s="434"/>
      <c r="FH121" s="434"/>
      <c r="FI121" s="434"/>
      <c r="FJ121" s="434"/>
      <c r="FK121" s="434"/>
      <c r="FL121" s="434"/>
      <c r="FM121" s="434"/>
      <c r="FN121" s="434"/>
      <c r="FO121" s="434"/>
      <c r="FP121" s="434"/>
      <c r="FQ121" s="434"/>
      <c r="FR121" s="434"/>
      <c r="FS121" s="434"/>
      <c r="FT121" s="434"/>
      <c r="FU121" s="434"/>
      <c r="FV121" s="434"/>
      <c r="FW121" s="434"/>
      <c r="FX121" s="434"/>
      <c r="FY121" s="434"/>
      <c r="FZ121" s="434"/>
      <c r="GA121" s="434"/>
      <c r="GB121" s="434"/>
      <c r="GC121" s="434"/>
      <c r="GD121" s="434"/>
      <c r="GE121" s="434"/>
      <c r="GF121" s="434"/>
      <c r="GG121" s="434"/>
      <c r="GH121" s="434"/>
      <c r="GI121" s="434"/>
      <c r="GJ121" s="434"/>
      <c r="GK121" s="434"/>
      <c r="GL121" s="434"/>
      <c r="GM121" s="434"/>
      <c r="GN121" s="434"/>
    </row>
    <row r="122" spans="1:196" ht="15" customHeight="1">
      <c r="A122" s="206"/>
      <c r="B122" s="43"/>
      <c r="C122" s="43"/>
      <c r="D122" s="1054"/>
      <c r="E122" s="244"/>
      <c r="F122" s="43"/>
      <c r="G122" s="43"/>
      <c r="H122" s="43"/>
      <c r="I122" s="43"/>
      <c r="J122" s="43"/>
      <c r="K122" s="43"/>
      <c r="L122" s="43"/>
      <c r="M122" s="43"/>
      <c r="N122" s="43"/>
      <c r="O122" s="43"/>
      <c r="P122" s="43"/>
      <c r="Q122" s="43"/>
      <c r="R122" s="43"/>
      <c r="S122" s="43"/>
      <c r="T122" s="43"/>
      <c r="U122" s="43"/>
      <c r="V122" s="43"/>
      <c r="W122" s="43"/>
      <c r="X122" s="955"/>
      <c r="Y122" s="43"/>
      <c r="Z122" s="43"/>
      <c r="AA122" s="46"/>
      <c r="AB122" s="1386"/>
      <c r="AC122" s="1387"/>
      <c r="AD122" s="1387"/>
      <c r="AE122" s="434"/>
      <c r="AF122" s="434"/>
      <c r="AG122" s="434"/>
      <c r="AH122" s="434"/>
      <c r="AI122" s="434"/>
      <c r="AJ122" s="434"/>
      <c r="AK122" s="434"/>
      <c r="AL122" s="434"/>
      <c r="AM122" s="434"/>
      <c r="AN122" s="434"/>
      <c r="AO122" s="434"/>
      <c r="AP122" s="434"/>
      <c r="AQ122" s="434"/>
      <c r="AR122" s="434"/>
      <c r="AS122" s="434"/>
      <c r="AT122" s="434"/>
      <c r="AU122" s="434"/>
      <c r="AV122" s="434"/>
      <c r="AW122" s="434"/>
      <c r="AX122" s="434"/>
      <c r="AY122" s="434"/>
      <c r="AZ122" s="434"/>
      <c r="BA122" s="434"/>
      <c r="BB122" s="434"/>
      <c r="BC122" s="434"/>
      <c r="BD122" s="434"/>
      <c r="BE122" s="434"/>
      <c r="BF122" s="434"/>
      <c r="BG122" s="434"/>
      <c r="BH122" s="434"/>
      <c r="BI122" s="434"/>
      <c r="BJ122" s="434"/>
      <c r="BK122" s="434"/>
      <c r="BL122" s="434"/>
      <c r="BM122" s="434"/>
      <c r="BN122" s="434"/>
      <c r="BO122" s="434"/>
      <c r="BP122" s="434"/>
      <c r="BQ122" s="434"/>
      <c r="BR122" s="434"/>
      <c r="BS122" s="434"/>
      <c r="BT122" s="434"/>
      <c r="BU122" s="434"/>
      <c r="BV122" s="434"/>
      <c r="BW122" s="434"/>
      <c r="BX122" s="434"/>
      <c r="BY122" s="434"/>
      <c r="BZ122" s="434"/>
      <c r="CA122" s="434"/>
      <c r="CB122" s="434"/>
      <c r="CC122" s="434"/>
      <c r="CD122" s="434"/>
      <c r="CE122" s="434"/>
      <c r="CF122" s="434"/>
      <c r="CG122" s="434"/>
      <c r="CH122" s="434"/>
      <c r="CI122" s="434"/>
      <c r="CJ122" s="434"/>
      <c r="CK122" s="434"/>
      <c r="CL122" s="434"/>
      <c r="CM122" s="434"/>
      <c r="CN122" s="434"/>
      <c r="CO122" s="434"/>
      <c r="CP122" s="434"/>
      <c r="CQ122" s="434"/>
      <c r="CR122" s="434"/>
      <c r="CS122" s="434"/>
      <c r="CT122" s="434"/>
      <c r="CU122" s="434"/>
      <c r="CV122" s="434"/>
      <c r="CW122" s="434"/>
      <c r="CX122" s="434"/>
      <c r="CY122" s="434"/>
      <c r="CZ122" s="434"/>
      <c r="DA122" s="434"/>
      <c r="DB122" s="434"/>
      <c r="DC122" s="434"/>
      <c r="DD122" s="434"/>
      <c r="DE122" s="434"/>
      <c r="DF122" s="434"/>
      <c r="DG122" s="434"/>
      <c r="DH122" s="434"/>
      <c r="DI122" s="434"/>
      <c r="DJ122" s="434"/>
      <c r="DK122" s="434"/>
      <c r="DL122" s="434"/>
      <c r="DM122" s="434"/>
      <c r="DN122" s="434"/>
      <c r="DO122" s="434"/>
      <c r="DP122" s="434"/>
      <c r="DQ122" s="434"/>
      <c r="DR122" s="434"/>
      <c r="DS122" s="434"/>
      <c r="DT122" s="434"/>
      <c r="DU122" s="434"/>
      <c r="DV122" s="434"/>
      <c r="DW122" s="434"/>
      <c r="DX122" s="434"/>
      <c r="DY122" s="434"/>
      <c r="DZ122" s="434"/>
      <c r="EA122" s="434"/>
      <c r="EB122" s="434"/>
      <c r="EC122" s="434"/>
      <c r="ED122" s="434"/>
      <c r="EE122" s="434"/>
      <c r="EF122" s="434"/>
      <c r="EG122" s="434"/>
      <c r="EH122" s="434"/>
      <c r="EI122" s="434"/>
      <c r="EJ122" s="434"/>
      <c r="EK122" s="434"/>
      <c r="EL122" s="434"/>
      <c r="EM122" s="434"/>
      <c r="EN122" s="434"/>
      <c r="EO122" s="434"/>
      <c r="EP122" s="434"/>
      <c r="EQ122" s="434"/>
      <c r="ER122" s="434"/>
      <c r="ES122" s="434"/>
      <c r="ET122" s="434"/>
      <c r="EU122" s="434"/>
      <c r="EV122" s="434"/>
      <c r="EW122" s="434"/>
      <c r="EX122" s="434"/>
      <c r="EY122" s="434"/>
      <c r="EZ122" s="434"/>
      <c r="FA122" s="434"/>
      <c r="FB122" s="434"/>
      <c r="FC122" s="434"/>
      <c r="FD122" s="434"/>
      <c r="FE122" s="434"/>
      <c r="FF122" s="434"/>
      <c r="FG122" s="434"/>
      <c r="FH122" s="434"/>
      <c r="FI122" s="434"/>
      <c r="FJ122" s="434"/>
      <c r="FK122" s="434"/>
      <c r="FL122" s="434"/>
      <c r="FM122" s="434"/>
      <c r="FN122" s="434"/>
      <c r="FO122" s="434"/>
      <c r="FP122" s="434"/>
      <c r="FQ122" s="434"/>
      <c r="FR122" s="434"/>
      <c r="FS122" s="434"/>
      <c r="FT122" s="434"/>
      <c r="FU122" s="434"/>
      <c r="FV122" s="434"/>
      <c r="FW122" s="434"/>
      <c r="FX122" s="434"/>
      <c r="FY122" s="434"/>
      <c r="FZ122" s="434"/>
      <c r="GA122" s="434"/>
      <c r="GB122" s="434"/>
      <c r="GC122" s="434"/>
      <c r="GD122" s="434"/>
      <c r="GE122" s="434"/>
      <c r="GF122" s="434"/>
      <c r="GG122" s="434"/>
      <c r="GH122" s="434"/>
      <c r="GI122" s="434"/>
      <c r="GJ122" s="434"/>
      <c r="GK122" s="434"/>
      <c r="GL122" s="434"/>
      <c r="GM122" s="434"/>
      <c r="GN122" s="434"/>
    </row>
    <row r="123" spans="1:196" ht="15" customHeight="1">
      <c r="A123" s="206"/>
      <c r="B123" s="43"/>
      <c r="C123" s="43"/>
      <c r="D123" s="1054"/>
      <c r="E123" s="244"/>
      <c r="F123" s="43"/>
      <c r="G123" s="43"/>
      <c r="H123" s="43"/>
      <c r="I123" s="43"/>
      <c r="J123" s="43"/>
      <c r="K123" s="43"/>
      <c r="L123" s="43"/>
      <c r="M123" s="43"/>
      <c r="N123" s="43"/>
      <c r="O123" s="43"/>
      <c r="P123" s="43"/>
      <c r="Q123" s="43"/>
      <c r="R123" s="43"/>
      <c r="S123" s="43"/>
      <c r="T123" s="43"/>
      <c r="U123" s="43"/>
      <c r="V123" s="43"/>
      <c r="W123" s="43"/>
      <c r="X123" s="955"/>
      <c r="Y123" s="43"/>
      <c r="Z123" s="43"/>
      <c r="AA123" s="46"/>
      <c r="AB123" s="1386"/>
      <c r="AC123" s="1387"/>
      <c r="AD123" s="1387"/>
      <c r="AE123" s="434"/>
      <c r="AF123" s="434"/>
      <c r="AG123" s="434"/>
      <c r="AH123" s="434"/>
      <c r="AI123" s="434"/>
      <c r="AJ123" s="434"/>
      <c r="AK123" s="434"/>
      <c r="AL123" s="434"/>
      <c r="AM123" s="434"/>
      <c r="AN123" s="434"/>
      <c r="AO123" s="434"/>
      <c r="AP123" s="434"/>
      <c r="AQ123" s="434"/>
      <c r="AR123" s="434"/>
      <c r="AS123" s="434"/>
      <c r="AT123" s="434"/>
      <c r="AU123" s="434"/>
      <c r="AV123" s="434"/>
      <c r="AW123" s="434"/>
      <c r="AX123" s="434"/>
      <c r="AY123" s="434"/>
      <c r="AZ123" s="434"/>
      <c r="BA123" s="434"/>
      <c r="BB123" s="434"/>
      <c r="BC123" s="434"/>
      <c r="BD123" s="434"/>
      <c r="BE123" s="434"/>
      <c r="BF123" s="434"/>
      <c r="BG123" s="434"/>
      <c r="BH123" s="434"/>
      <c r="BI123" s="434"/>
      <c r="BJ123" s="434"/>
      <c r="BK123" s="434"/>
      <c r="BL123" s="434"/>
      <c r="BM123" s="434"/>
      <c r="BN123" s="434"/>
      <c r="BO123" s="434"/>
      <c r="BP123" s="434"/>
      <c r="BQ123" s="434"/>
      <c r="BR123" s="434"/>
      <c r="BS123" s="434"/>
      <c r="BT123" s="434"/>
      <c r="BU123" s="434"/>
      <c r="BV123" s="434"/>
      <c r="BW123" s="434"/>
      <c r="BX123" s="434"/>
      <c r="BY123" s="434"/>
      <c r="BZ123" s="434"/>
      <c r="CA123" s="434"/>
      <c r="CB123" s="434"/>
      <c r="CC123" s="434"/>
      <c r="CD123" s="434"/>
      <c r="CE123" s="434"/>
      <c r="CF123" s="434"/>
      <c r="CG123" s="434"/>
      <c r="CH123" s="434"/>
      <c r="CI123" s="434"/>
      <c r="CJ123" s="434"/>
      <c r="CK123" s="434"/>
      <c r="CL123" s="434"/>
      <c r="CM123" s="434"/>
      <c r="CN123" s="434"/>
      <c r="CO123" s="434"/>
      <c r="CP123" s="434"/>
      <c r="CQ123" s="434"/>
      <c r="CR123" s="434"/>
      <c r="CS123" s="434"/>
      <c r="CT123" s="434"/>
      <c r="CU123" s="434"/>
      <c r="CV123" s="434"/>
      <c r="CW123" s="434"/>
      <c r="CX123" s="434"/>
      <c r="CY123" s="434"/>
      <c r="CZ123" s="434"/>
      <c r="DA123" s="434"/>
      <c r="DB123" s="434"/>
      <c r="DC123" s="434"/>
      <c r="DD123" s="434"/>
      <c r="DE123" s="434"/>
      <c r="DF123" s="434"/>
      <c r="DG123" s="434"/>
      <c r="DH123" s="434"/>
      <c r="DI123" s="434"/>
      <c r="DJ123" s="434"/>
      <c r="DK123" s="434"/>
      <c r="DL123" s="434"/>
      <c r="DM123" s="434"/>
      <c r="DN123" s="434"/>
      <c r="DO123" s="434"/>
      <c r="DP123" s="434"/>
      <c r="DQ123" s="434"/>
      <c r="DR123" s="434"/>
      <c r="DS123" s="434"/>
      <c r="DT123" s="434"/>
      <c r="DU123" s="434"/>
      <c r="DV123" s="434"/>
      <c r="DW123" s="434"/>
      <c r="DX123" s="434"/>
      <c r="DY123" s="434"/>
      <c r="DZ123" s="434"/>
      <c r="EA123" s="434"/>
      <c r="EB123" s="434"/>
      <c r="EC123" s="434"/>
      <c r="ED123" s="434"/>
      <c r="EE123" s="434"/>
      <c r="EF123" s="434"/>
      <c r="EG123" s="434"/>
      <c r="EH123" s="434"/>
      <c r="EI123" s="434"/>
      <c r="EJ123" s="434"/>
      <c r="EK123" s="434"/>
      <c r="EL123" s="434"/>
      <c r="EM123" s="434"/>
      <c r="EN123" s="434"/>
      <c r="EO123" s="434"/>
      <c r="EP123" s="434"/>
      <c r="EQ123" s="434"/>
      <c r="ER123" s="434"/>
      <c r="ES123" s="434"/>
      <c r="ET123" s="434"/>
      <c r="EU123" s="434"/>
      <c r="EV123" s="434"/>
      <c r="EW123" s="434"/>
      <c r="EX123" s="434"/>
      <c r="EY123" s="434"/>
      <c r="EZ123" s="434"/>
      <c r="FA123" s="434"/>
      <c r="FB123" s="434"/>
      <c r="FC123" s="434"/>
      <c r="FD123" s="434"/>
      <c r="FE123" s="434"/>
      <c r="FF123" s="434"/>
      <c r="FG123" s="434"/>
      <c r="FH123" s="434"/>
      <c r="FI123" s="434"/>
      <c r="FJ123" s="434"/>
      <c r="FK123" s="434"/>
      <c r="FL123" s="434"/>
      <c r="FM123" s="434"/>
      <c r="FN123" s="434"/>
      <c r="FO123" s="434"/>
      <c r="FP123" s="434"/>
      <c r="FQ123" s="434"/>
      <c r="FR123" s="434"/>
      <c r="FS123" s="434"/>
      <c r="FT123" s="434"/>
      <c r="FU123" s="434"/>
      <c r="FV123" s="434"/>
      <c r="FW123" s="434"/>
      <c r="FX123" s="434"/>
      <c r="FY123" s="434"/>
      <c r="FZ123" s="434"/>
      <c r="GA123" s="434"/>
      <c r="GB123" s="434"/>
      <c r="GC123" s="434"/>
      <c r="GD123" s="434"/>
      <c r="GE123" s="434"/>
      <c r="GF123" s="434"/>
      <c r="GG123" s="434"/>
      <c r="GH123" s="434"/>
      <c r="GI123" s="434"/>
      <c r="GJ123" s="434"/>
      <c r="GK123" s="434"/>
      <c r="GL123" s="434"/>
      <c r="GM123" s="434"/>
      <c r="GN123" s="434"/>
    </row>
    <row r="124" spans="1:196" ht="15" customHeight="1">
      <c r="A124" s="206"/>
      <c r="B124" s="43"/>
      <c r="C124" s="43"/>
      <c r="D124" s="1054"/>
      <c r="E124" s="244"/>
      <c r="F124" s="43"/>
      <c r="G124" s="43"/>
      <c r="H124" s="43"/>
      <c r="I124" s="43"/>
      <c r="J124" s="43"/>
      <c r="K124" s="43"/>
      <c r="L124" s="43"/>
      <c r="M124" s="43"/>
      <c r="N124" s="43"/>
      <c r="O124" s="43"/>
      <c r="P124" s="43"/>
      <c r="Q124" s="43"/>
      <c r="R124" s="43"/>
      <c r="S124" s="43"/>
      <c r="T124" s="43"/>
      <c r="U124" s="43"/>
      <c r="V124" s="43"/>
      <c r="W124" s="43"/>
      <c r="X124" s="955"/>
      <c r="Y124" s="43"/>
      <c r="Z124" s="43"/>
      <c r="AA124" s="46"/>
      <c r="AB124" s="1386"/>
      <c r="AC124" s="1387"/>
      <c r="AD124" s="1387"/>
      <c r="AE124" s="434"/>
      <c r="AF124" s="434"/>
      <c r="AG124" s="434"/>
      <c r="AH124" s="434"/>
      <c r="AI124" s="434"/>
      <c r="AJ124" s="434"/>
      <c r="AK124" s="434"/>
      <c r="AL124" s="434"/>
      <c r="AM124" s="434"/>
      <c r="AN124" s="434"/>
      <c r="AO124" s="434"/>
      <c r="AP124" s="434"/>
      <c r="AQ124" s="434"/>
      <c r="AR124" s="434"/>
      <c r="AS124" s="434"/>
      <c r="AT124" s="434"/>
      <c r="AU124" s="434"/>
      <c r="AV124" s="434"/>
      <c r="AW124" s="434"/>
      <c r="AX124" s="434"/>
      <c r="AY124" s="434"/>
      <c r="AZ124" s="434"/>
      <c r="BA124" s="434"/>
      <c r="BB124" s="434"/>
      <c r="BC124" s="434"/>
      <c r="BD124" s="434"/>
      <c r="BE124" s="434"/>
      <c r="BF124" s="434"/>
      <c r="BG124" s="434"/>
      <c r="BH124" s="434"/>
      <c r="BI124" s="434"/>
      <c r="BJ124" s="434"/>
      <c r="BK124" s="434"/>
      <c r="BL124" s="434"/>
      <c r="BM124" s="434"/>
      <c r="BN124" s="434"/>
      <c r="BO124" s="434"/>
      <c r="BP124" s="434"/>
      <c r="BQ124" s="434"/>
      <c r="BR124" s="434"/>
      <c r="BS124" s="434"/>
      <c r="BT124" s="434"/>
      <c r="BU124" s="434"/>
      <c r="BV124" s="434"/>
      <c r="BW124" s="434"/>
      <c r="BX124" s="434"/>
      <c r="BY124" s="434"/>
      <c r="BZ124" s="434"/>
      <c r="CA124" s="434"/>
      <c r="CB124" s="434"/>
      <c r="CC124" s="434"/>
      <c r="CD124" s="434"/>
      <c r="CE124" s="434"/>
      <c r="CF124" s="434"/>
      <c r="CG124" s="434"/>
      <c r="CH124" s="434"/>
      <c r="CI124" s="434"/>
      <c r="CJ124" s="434"/>
      <c r="CK124" s="434"/>
      <c r="CL124" s="434"/>
      <c r="CM124" s="434"/>
      <c r="CN124" s="434"/>
      <c r="CO124" s="434"/>
      <c r="CP124" s="434"/>
      <c r="CQ124" s="434"/>
      <c r="CR124" s="434"/>
      <c r="CS124" s="434"/>
      <c r="CT124" s="434"/>
      <c r="CU124" s="434"/>
      <c r="CV124" s="434"/>
      <c r="CW124" s="434"/>
      <c r="CX124" s="434"/>
      <c r="CY124" s="434"/>
      <c r="CZ124" s="434"/>
      <c r="DA124" s="434"/>
      <c r="DB124" s="434"/>
      <c r="DC124" s="434"/>
      <c r="DD124" s="434"/>
      <c r="DE124" s="434"/>
      <c r="DF124" s="434"/>
      <c r="DG124" s="434"/>
      <c r="DH124" s="434"/>
      <c r="DI124" s="434"/>
      <c r="DJ124" s="434"/>
      <c r="DK124" s="434"/>
      <c r="DL124" s="434"/>
      <c r="DM124" s="434"/>
      <c r="DN124" s="434"/>
      <c r="DO124" s="434"/>
      <c r="DP124" s="434"/>
      <c r="DQ124" s="434"/>
      <c r="DR124" s="434"/>
      <c r="DS124" s="434"/>
      <c r="DT124" s="434"/>
      <c r="DU124" s="434"/>
      <c r="DV124" s="434"/>
      <c r="DW124" s="434"/>
      <c r="DX124" s="434"/>
      <c r="DY124" s="434"/>
      <c r="DZ124" s="434"/>
      <c r="EA124" s="434"/>
      <c r="EB124" s="434"/>
      <c r="EC124" s="434"/>
      <c r="ED124" s="434"/>
      <c r="EE124" s="434"/>
      <c r="EF124" s="434"/>
      <c r="EG124" s="434"/>
      <c r="EH124" s="434"/>
      <c r="EI124" s="434"/>
      <c r="EJ124" s="434"/>
      <c r="EK124" s="434"/>
      <c r="EL124" s="434"/>
      <c r="EM124" s="434"/>
      <c r="EN124" s="434"/>
      <c r="EO124" s="434"/>
      <c r="EP124" s="434"/>
      <c r="EQ124" s="434"/>
      <c r="ER124" s="434"/>
      <c r="ES124" s="434"/>
      <c r="ET124" s="434"/>
      <c r="EU124" s="434"/>
      <c r="EV124" s="434"/>
      <c r="EW124" s="434"/>
      <c r="EX124" s="434"/>
      <c r="EY124" s="434"/>
      <c r="EZ124" s="434"/>
      <c r="FA124" s="434"/>
      <c r="FB124" s="434"/>
      <c r="FC124" s="434"/>
      <c r="FD124" s="434"/>
      <c r="FE124" s="434"/>
      <c r="FF124" s="434"/>
      <c r="FG124" s="434"/>
      <c r="FH124" s="434"/>
      <c r="FI124" s="434"/>
      <c r="FJ124" s="434"/>
      <c r="FK124" s="434"/>
      <c r="FL124" s="434"/>
      <c r="FM124" s="434"/>
      <c r="FN124" s="434"/>
      <c r="FO124" s="434"/>
      <c r="FP124" s="434"/>
      <c r="FQ124" s="434"/>
      <c r="FR124" s="434"/>
      <c r="FS124" s="434"/>
      <c r="FT124" s="434"/>
      <c r="FU124" s="434"/>
      <c r="FV124" s="434"/>
      <c r="FW124" s="434"/>
      <c r="FX124" s="434"/>
      <c r="FY124" s="434"/>
      <c r="FZ124" s="434"/>
      <c r="GA124" s="434"/>
      <c r="GB124" s="434"/>
      <c r="GC124" s="434"/>
      <c r="GD124" s="434"/>
      <c r="GE124" s="434"/>
      <c r="GF124" s="434"/>
      <c r="GG124" s="434"/>
      <c r="GH124" s="434"/>
      <c r="GI124" s="434"/>
      <c r="GJ124" s="434"/>
      <c r="GK124" s="434"/>
      <c r="GL124" s="434"/>
      <c r="GM124" s="434"/>
      <c r="GN124" s="434"/>
    </row>
    <row r="125" spans="1:196" ht="15" customHeight="1">
      <c r="A125" s="206"/>
      <c r="B125" s="43"/>
      <c r="C125" s="43"/>
      <c r="D125" s="1054"/>
      <c r="E125" s="244"/>
      <c r="F125" s="43"/>
      <c r="G125" s="43"/>
      <c r="H125" s="43"/>
      <c r="I125" s="43"/>
      <c r="J125" s="43"/>
      <c r="K125" s="43"/>
      <c r="L125" s="43"/>
      <c r="M125" s="43"/>
      <c r="N125" s="43"/>
      <c r="O125" s="43"/>
      <c r="P125" s="43"/>
      <c r="Q125" s="43"/>
      <c r="R125" s="43"/>
      <c r="S125" s="43"/>
      <c r="T125" s="43"/>
      <c r="U125" s="43"/>
      <c r="V125" s="43"/>
      <c r="W125" s="43"/>
      <c r="X125" s="955"/>
      <c r="Y125" s="43"/>
      <c r="Z125" s="43"/>
      <c r="AA125" s="46"/>
      <c r="AB125" s="1386"/>
      <c r="AC125" s="1387"/>
      <c r="AD125" s="1387"/>
      <c r="AE125" s="434"/>
      <c r="AF125" s="434"/>
      <c r="AG125" s="434"/>
      <c r="AH125" s="434"/>
      <c r="AI125" s="434"/>
      <c r="AJ125" s="434"/>
      <c r="AK125" s="434"/>
      <c r="AL125" s="434"/>
      <c r="AM125" s="434"/>
      <c r="AN125" s="434"/>
      <c r="AO125" s="434"/>
      <c r="AP125" s="434"/>
      <c r="AQ125" s="434"/>
      <c r="AR125" s="434"/>
      <c r="AS125" s="434"/>
      <c r="AT125" s="434"/>
      <c r="AU125" s="434"/>
      <c r="AV125" s="434"/>
      <c r="AW125" s="434"/>
      <c r="AX125" s="434"/>
      <c r="AY125" s="434"/>
      <c r="AZ125" s="434"/>
      <c r="BA125" s="434"/>
      <c r="BB125" s="434"/>
      <c r="BC125" s="434"/>
      <c r="BD125" s="434"/>
      <c r="BE125" s="434"/>
      <c r="BF125" s="434"/>
      <c r="BG125" s="434"/>
      <c r="BH125" s="434"/>
      <c r="BI125" s="434"/>
      <c r="BJ125" s="434"/>
      <c r="BK125" s="434"/>
      <c r="BL125" s="434"/>
      <c r="BM125" s="434"/>
      <c r="BN125" s="434"/>
      <c r="BO125" s="434"/>
      <c r="BP125" s="434"/>
      <c r="BQ125" s="434"/>
      <c r="BR125" s="434"/>
      <c r="BS125" s="434"/>
      <c r="BT125" s="434"/>
      <c r="BU125" s="434"/>
      <c r="BV125" s="434"/>
      <c r="BW125" s="434"/>
      <c r="BX125" s="434"/>
      <c r="BY125" s="434"/>
      <c r="BZ125" s="434"/>
      <c r="CA125" s="434"/>
      <c r="CB125" s="434"/>
      <c r="CC125" s="434"/>
      <c r="CD125" s="434"/>
      <c r="CE125" s="434"/>
      <c r="CF125" s="434"/>
      <c r="CG125" s="434"/>
      <c r="CH125" s="434"/>
      <c r="CI125" s="434"/>
      <c r="CJ125" s="434"/>
      <c r="CK125" s="434"/>
      <c r="CL125" s="434"/>
      <c r="CM125" s="434"/>
      <c r="CN125" s="434"/>
      <c r="CO125" s="434"/>
      <c r="CP125" s="434"/>
      <c r="CQ125" s="434"/>
      <c r="CR125" s="434"/>
      <c r="CS125" s="434"/>
      <c r="CT125" s="434"/>
      <c r="CU125" s="434"/>
      <c r="CV125" s="434"/>
      <c r="CW125" s="434"/>
      <c r="CX125" s="434"/>
      <c r="CY125" s="434"/>
      <c r="CZ125" s="434"/>
      <c r="DA125" s="434"/>
      <c r="DB125" s="434"/>
      <c r="DC125" s="434"/>
      <c r="DD125" s="434"/>
      <c r="DE125" s="434"/>
      <c r="DF125" s="434"/>
      <c r="DG125" s="434"/>
      <c r="DH125" s="434"/>
      <c r="DI125" s="434"/>
      <c r="DJ125" s="434"/>
      <c r="DK125" s="434"/>
      <c r="DL125" s="434"/>
      <c r="DM125" s="434"/>
      <c r="DN125" s="434"/>
      <c r="DO125" s="434"/>
      <c r="DP125" s="434"/>
      <c r="DQ125" s="434"/>
      <c r="DR125" s="434"/>
      <c r="DS125" s="434"/>
      <c r="DT125" s="434"/>
      <c r="DU125" s="434"/>
      <c r="DV125" s="434"/>
      <c r="DW125" s="434"/>
      <c r="DX125" s="434"/>
      <c r="DY125" s="434"/>
      <c r="DZ125" s="434"/>
      <c r="EA125" s="434"/>
      <c r="EB125" s="434"/>
      <c r="EC125" s="434"/>
      <c r="ED125" s="434"/>
      <c r="EE125" s="434"/>
      <c r="EF125" s="434"/>
      <c r="EG125" s="434"/>
      <c r="EH125" s="434"/>
      <c r="EI125" s="434"/>
      <c r="EJ125" s="434"/>
      <c r="EK125" s="434"/>
      <c r="EL125" s="434"/>
      <c r="EM125" s="434"/>
      <c r="EN125" s="434"/>
      <c r="EO125" s="434"/>
      <c r="EP125" s="434"/>
      <c r="EQ125" s="434"/>
      <c r="ER125" s="434"/>
      <c r="ES125" s="434"/>
      <c r="ET125" s="434"/>
      <c r="EU125" s="434"/>
      <c r="EV125" s="434"/>
      <c r="EW125" s="434"/>
      <c r="EX125" s="434"/>
      <c r="EY125" s="434"/>
      <c r="EZ125" s="434"/>
      <c r="FA125" s="434"/>
      <c r="FB125" s="434"/>
      <c r="FC125" s="434"/>
      <c r="FD125" s="434"/>
      <c r="FE125" s="434"/>
      <c r="FF125" s="434"/>
      <c r="FG125" s="434"/>
      <c r="FH125" s="434"/>
      <c r="FI125" s="434"/>
      <c r="FJ125" s="434"/>
      <c r="FK125" s="434"/>
      <c r="FL125" s="434"/>
      <c r="FM125" s="434"/>
      <c r="FN125" s="434"/>
      <c r="FO125" s="434"/>
      <c r="FP125" s="434"/>
      <c r="FQ125" s="434"/>
      <c r="FR125" s="434"/>
      <c r="FS125" s="434"/>
      <c r="FT125" s="434"/>
      <c r="FU125" s="434"/>
      <c r="FV125" s="434"/>
      <c r="FW125" s="434"/>
      <c r="FX125" s="434"/>
      <c r="FY125" s="434"/>
      <c r="FZ125" s="434"/>
      <c r="GA125" s="434"/>
      <c r="GB125" s="434"/>
      <c r="GC125" s="434"/>
      <c r="GD125" s="434"/>
      <c r="GE125" s="434"/>
      <c r="GF125" s="434"/>
      <c r="GG125" s="434"/>
      <c r="GH125" s="434"/>
      <c r="GI125" s="434"/>
      <c r="GJ125" s="434"/>
      <c r="GK125" s="434"/>
      <c r="GL125" s="434"/>
      <c r="GM125" s="434"/>
      <c r="GN125" s="434"/>
    </row>
    <row r="126" spans="1:196" ht="15" customHeight="1">
      <c r="A126" s="206"/>
      <c r="B126" s="43"/>
      <c r="C126" s="43"/>
      <c r="D126" s="1054"/>
      <c r="E126" s="244"/>
      <c r="F126" s="43"/>
      <c r="G126" s="43"/>
      <c r="H126" s="43"/>
      <c r="I126" s="43"/>
      <c r="J126" s="43"/>
      <c r="K126" s="43"/>
      <c r="L126" s="43"/>
      <c r="M126" s="43"/>
      <c r="N126" s="43"/>
      <c r="O126" s="43"/>
      <c r="P126" s="43"/>
      <c r="Q126" s="43"/>
      <c r="R126" s="43"/>
      <c r="S126" s="43"/>
      <c r="T126" s="43"/>
      <c r="U126" s="43"/>
      <c r="V126" s="43"/>
      <c r="W126" s="43"/>
      <c r="X126" s="955"/>
      <c r="Y126" s="43"/>
      <c r="Z126" s="43"/>
      <c r="AA126" s="46"/>
      <c r="AB126" s="1386"/>
      <c r="AC126" s="1387"/>
      <c r="AD126" s="1387"/>
      <c r="AE126" s="434"/>
      <c r="AF126" s="434"/>
      <c r="AG126" s="434"/>
      <c r="AH126" s="434"/>
      <c r="AI126" s="434"/>
      <c r="AJ126" s="434"/>
      <c r="AK126" s="434"/>
      <c r="AL126" s="434"/>
      <c r="AM126" s="434"/>
      <c r="AN126" s="434"/>
      <c r="AO126" s="434"/>
      <c r="AP126" s="434"/>
      <c r="AQ126" s="434"/>
      <c r="AR126" s="434"/>
      <c r="AS126" s="434"/>
      <c r="AT126" s="434"/>
      <c r="AU126" s="434"/>
      <c r="AV126" s="434"/>
      <c r="AW126" s="434"/>
      <c r="AX126" s="434"/>
      <c r="AY126" s="434"/>
      <c r="AZ126" s="434"/>
      <c r="BA126" s="434"/>
      <c r="BB126" s="434"/>
      <c r="BC126" s="434"/>
      <c r="BD126" s="434"/>
      <c r="BE126" s="434"/>
      <c r="BF126" s="434"/>
      <c r="BG126" s="434"/>
      <c r="BH126" s="434"/>
      <c r="BI126" s="434"/>
      <c r="BJ126" s="434"/>
      <c r="BK126" s="434"/>
      <c r="BL126" s="434"/>
      <c r="BM126" s="434"/>
      <c r="BN126" s="434"/>
      <c r="BO126" s="434"/>
      <c r="BP126" s="434"/>
      <c r="BQ126" s="434"/>
      <c r="BR126" s="434"/>
      <c r="BS126" s="434"/>
      <c r="BT126" s="434"/>
      <c r="BU126" s="434"/>
      <c r="BV126" s="434"/>
      <c r="BW126" s="434"/>
      <c r="BX126" s="434"/>
      <c r="BY126" s="434"/>
      <c r="BZ126" s="434"/>
      <c r="CA126" s="434"/>
      <c r="CB126" s="434"/>
      <c r="CC126" s="434"/>
      <c r="CD126" s="434"/>
      <c r="CE126" s="434"/>
      <c r="CF126" s="434"/>
      <c r="CG126" s="434"/>
      <c r="CH126" s="434"/>
      <c r="CI126" s="434"/>
      <c r="CJ126" s="434"/>
      <c r="CK126" s="434"/>
      <c r="CL126" s="434"/>
      <c r="CM126" s="434"/>
      <c r="CN126" s="434"/>
      <c r="CO126" s="434"/>
      <c r="CP126" s="434"/>
      <c r="CQ126" s="434"/>
      <c r="CR126" s="434"/>
      <c r="CS126" s="434"/>
      <c r="CT126" s="434"/>
      <c r="CU126" s="434"/>
      <c r="CV126" s="434"/>
      <c r="CW126" s="434"/>
      <c r="CX126" s="434"/>
      <c r="CY126" s="434"/>
      <c r="CZ126" s="434"/>
      <c r="DA126" s="434"/>
      <c r="DB126" s="434"/>
      <c r="DC126" s="434"/>
      <c r="DD126" s="434"/>
      <c r="DE126" s="434"/>
      <c r="DF126" s="434"/>
      <c r="DG126" s="434"/>
      <c r="DH126" s="434"/>
      <c r="DI126" s="434"/>
      <c r="DJ126" s="434"/>
      <c r="DK126" s="434"/>
      <c r="DL126" s="434"/>
      <c r="DM126" s="434"/>
      <c r="DN126" s="434"/>
      <c r="DO126" s="434"/>
      <c r="DP126" s="434"/>
      <c r="DQ126" s="434"/>
      <c r="DR126" s="434"/>
      <c r="DS126" s="434"/>
      <c r="DT126" s="434"/>
      <c r="DU126" s="434"/>
      <c r="DV126" s="434"/>
      <c r="DW126" s="434"/>
      <c r="DX126" s="434"/>
      <c r="DY126" s="434"/>
      <c r="DZ126" s="434"/>
      <c r="EA126" s="434"/>
      <c r="EB126" s="434"/>
      <c r="EC126" s="434"/>
      <c r="ED126" s="434"/>
      <c r="EE126" s="434"/>
      <c r="EF126" s="434"/>
      <c r="EG126" s="434"/>
      <c r="EH126" s="434"/>
      <c r="EI126" s="434"/>
      <c r="EJ126" s="434"/>
      <c r="EK126" s="434"/>
      <c r="EL126" s="434"/>
      <c r="EM126" s="434"/>
      <c r="EN126" s="434"/>
      <c r="EO126" s="434"/>
      <c r="EP126" s="434"/>
      <c r="EQ126" s="434"/>
      <c r="ER126" s="434"/>
      <c r="ES126" s="434"/>
      <c r="ET126" s="434"/>
      <c r="EU126" s="434"/>
      <c r="EV126" s="434"/>
      <c r="EW126" s="434"/>
      <c r="EX126" s="434"/>
      <c r="EY126" s="434"/>
      <c r="EZ126" s="434"/>
      <c r="FA126" s="434"/>
      <c r="FB126" s="434"/>
      <c r="FC126" s="434"/>
      <c r="FD126" s="434"/>
      <c r="FE126" s="434"/>
      <c r="FF126" s="434"/>
      <c r="FG126" s="434"/>
      <c r="FH126" s="434"/>
      <c r="FI126" s="434"/>
      <c r="FJ126" s="434"/>
      <c r="FK126" s="434"/>
      <c r="FL126" s="434"/>
      <c r="FM126" s="434"/>
      <c r="FN126" s="434"/>
      <c r="FO126" s="434"/>
      <c r="FP126" s="434"/>
      <c r="FQ126" s="434"/>
      <c r="FR126" s="434"/>
      <c r="FS126" s="434"/>
      <c r="FT126" s="434"/>
      <c r="FU126" s="434"/>
      <c r="FV126" s="434"/>
      <c r="FW126" s="434"/>
      <c r="FX126" s="434"/>
      <c r="FY126" s="434"/>
      <c r="FZ126" s="434"/>
      <c r="GA126" s="434"/>
      <c r="GB126" s="434"/>
      <c r="GC126" s="434"/>
      <c r="GD126" s="434"/>
      <c r="GE126" s="434"/>
      <c r="GF126" s="434"/>
      <c r="GG126" s="434"/>
      <c r="GH126" s="434"/>
      <c r="GI126" s="434"/>
      <c r="GJ126" s="434"/>
      <c r="GK126" s="434"/>
      <c r="GL126" s="434"/>
      <c r="GM126" s="434"/>
      <c r="GN126" s="434"/>
    </row>
    <row r="127" spans="1:196" ht="15" customHeight="1">
      <c r="A127" s="206"/>
      <c r="B127" s="43"/>
      <c r="C127" s="43"/>
      <c r="D127" s="1054"/>
      <c r="E127" s="244"/>
      <c r="F127" s="43"/>
      <c r="G127" s="43"/>
      <c r="H127" s="43"/>
      <c r="I127" s="43"/>
      <c r="J127" s="43"/>
      <c r="K127" s="43"/>
      <c r="L127" s="43"/>
      <c r="M127" s="43"/>
      <c r="N127" s="43"/>
      <c r="O127" s="43"/>
      <c r="P127" s="43"/>
      <c r="Q127" s="43"/>
      <c r="R127" s="43"/>
      <c r="S127" s="43"/>
      <c r="T127" s="43"/>
      <c r="U127" s="43"/>
      <c r="V127" s="43"/>
      <c r="W127" s="43"/>
      <c r="X127" s="955"/>
      <c r="Y127" s="43"/>
      <c r="Z127" s="43"/>
      <c r="AA127" s="46"/>
      <c r="AB127" s="1386"/>
      <c r="AC127" s="1387"/>
      <c r="AD127" s="1387"/>
      <c r="AE127" s="434"/>
      <c r="AF127" s="434"/>
      <c r="AG127" s="434"/>
      <c r="AH127" s="434"/>
      <c r="AI127" s="434"/>
      <c r="AJ127" s="434"/>
      <c r="AK127" s="434"/>
      <c r="AL127" s="434"/>
      <c r="AM127" s="434"/>
      <c r="AN127" s="434"/>
      <c r="AO127" s="434"/>
      <c r="AP127" s="434"/>
      <c r="AQ127" s="434"/>
      <c r="AR127" s="434"/>
      <c r="AS127" s="434"/>
      <c r="AT127" s="434"/>
      <c r="AU127" s="434"/>
      <c r="AV127" s="434"/>
      <c r="AW127" s="434"/>
      <c r="AX127" s="434"/>
      <c r="AY127" s="434"/>
      <c r="AZ127" s="434"/>
      <c r="BA127" s="434"/>
      <c r="BB127" s="434"/>
      <c r="BC127" s="434"/>
      <c r="BD127" s="434"/>
      <c r="BE127" s="434"/>
      <c r="BF127" s="434"/>
      <c r="BG127" s="434"/>
      <c r="BH127" s="434"/>
      <c r="BI127" s="434"/>
      <c r="BJ127" s="434"/>
      <c r="BK127" s="434"/>
      <c r="BL127" s="434"/>
      <c r="BM127" s="434"/>
      <c r="BN127" s="434"/>
      <c r="BO127" s="434"/>
      <c r="BP127" s="434"/>
      <c r="BQ127" s="434"/>
      <c r="BR127" s="434"/>
      <c r="BS127" s="434"/>
      <c r="BT127" s="434"/>
      <c r="BU127" s="434"/>
      <c r="BV127" s="434"/>
      <c r="BW127" s="434"/>
      <c r="BX127" s="434"/>
      <c r="BY127" s="434"/>
      <c r="BZ127" s="434"/>
      <c r="CA127" s="434"/>
      <c r="CB127" s="434"/>
      <c r="CC127" s="434"/>
      <c r="CD127" s="434"/>
      <c r="CE127" s="434"/>
      <c r="CF127" s="434"/>
      <c r="CG127" s="434"/>
      <c r="CH127" s="434"/>
      <c r="CI127" s="434"/>
      <c r="CJ127" s="434"/>
      <c r="CK127" s="434"/>
      <c r="CL127" s="434"/>
      <c r="CM127" s="434"/>
      <c r="CN127" s="434"/>
      <c r="CO127" s="434"/>
      <c r="CP127" s="434"/>
      <c r="CQ127" s="434"/>
      <c r="CR127" s="434"/>
      <c r="CS127" s="434"/>
      <c r="CT127" s="434"/>
      <c r="CU127" s="434"/>
      <c r="CV127" s="434"/>
      <c r="CW127" s="434"/>
      <c r="CX127" s="434"/>
      <c r="CY127" s="434"/>
      <c r="CZ127" s="434"/>
      <c r="DA127" s="434"/>
      <c r="DB127" s="434"/>
      <c r="DC127" s="434"/>
      <c r="DD127" s="434"/>
      <c r="DE127" s="434"/>
      <c r="DF127" s="434"/>
      <c r="DG127" s="434"/>
      <c r="DH127" s="434"/>
      <c r="DI127" s="434"/>
      <c r="DJ127" s="434"/>
      <c r="DK127" s="434"/>
      <c r="DL127" s="434"/>
      <c r="DM127" s="434"/>
      <c r="DN127" s="434"/>
      <c r="DO127" s="434"/>
      <c r="DP127" s="434"/>
      <c r="DQ127" s="434"/>
      <c r="DR127" s="434"/>
      <c r="DS127" s="434"/>
      <c r="DT127" s="434"/>
      <c r="DU127" s="434"/>
      <c r="DV127" s="434"/>
      <c r="DW127" s="434"/>
      <c r="DX127" s="434"/>
      <c r="DY127" s="434"/>
      <c r="DZ127" s="434"/>
      <c r="EA127" s="434"/>
      <c r="EB127" s="434"/>
      <c r="EC127" s="434"/>
      <c r="ED127" s="434"/>
      <c r="EE127" s="434"/>
      <c r="EF127" s="434"/>
      <c r="EG127" s="434"/>
      <c r="EH127" s="434"/>
      <c r="EI127" s="434"/>
      <c r="EJ127" s="434"/>
      <c r="EK127" s="434"/>
      <c r="EL127" s="434"/>
      <c r="EM127" s="434"/>
      <c r="EN127" s="434"/>
      <c r="EO127" s="434"/>
      <c r="EP127" s="434"/>
      <c r="EQ127" s="434"/>
      <c r="ER127" s="434"/>
      <c r="ES127" s="434"/>
      <c r="ET127" s="434"/>
      <c r="EU127" s="434"/>
      <c r="EV127" s="434"/>
      <c r="EW127" s="434"/>
      <c r="EX127" s="434"/>
      <c r="EY127" s="434"/>
      <c r="EZ127" s="434"/>
      <c r="FA127" s="434"/>
      <c r="FB127" s="434"/>
      <c r="FC127" s="434"/>
      <c r="FD127" s="434"/>
      <c r="FE127" s="434"/>
      <c r="FF127" s="434"/>
      <c r="FG127" s="434"/>
      <c r="FH127" s="434"/>
      <c r="FI127" s="434"/>
      <c r="FJ127" s="434"/>
      <c r="FK127" s="434"/>
      <c r="FL127" s="434"/>
      <c r="FM127" s="434"/>
      <c r="FN127" s="434"/>
      <c r="FO127" s="434"/>
      <c r="FP127" s="434"/>
      <c r="FQ127" s="434"/>
      <c r="FR127" s="434"/>
      <c r="FS127" s="434"/>
      <c r="FT127" s="434"/>
      <c r="FU127" s="434"/>
      <c r="FV127" s="434"/>
      <c r="FW127" s="434"/>
      <c r="FX127" s="434"/>
      <c r="FY127" s="434"/>
      <c r="FZ127" s="434"/>
      <c r="GA127" s="434"/>
      <c r="GB127" s="434"/>
      <c r="GC127" s="434"/>
      <c r="GD127" s="434"/>
      <c r="GE127" s="434"/>
      <c r="GF127" s="434"/>
      <c r="GG127" s="434"/>
      <c r="GH127" s="434"/>
      <c r="GI127" s="434"/>
      <c r="GJ127" s="434"/>
      <c r="GK127" s="434"/>
      <c r="GL127" s="434"/>
      <c r="GM127" s="434"/>
      <c r="GN127" s="434"/>
    </row>
    <row r="128" spans="1:196" ht="15" customHeight="1">
      <c r="A128" s="206"/>
      <c r="B128" s="43"/>
      <c r="C128" s="43"/>
      <c r="D128" s="1054"/>
      <c r="E128" s="244"/>
      <c r="F128" s="43"/>
      <c r="G128" s="43"/>
      <c r="H128" s="43"/>
      <c r="I128" s="43"/>
      <c r="J128" s="43"/>
      <c r="K128" s="43"/>
      <c r="L128" s="43"/>
      <c r="M128" s="43"/>
      <c r="N128" s="43"/>
      <c r="O128" s="43"/>
      <c r="P128" s="43"/>
      <c r="Q128" s="43"/>
      <c r="R128" s="43"/>
      <c r="S128" s="43"/>
      <c r="T128" s="43"/>
      <c r="U128" s="43"/>
      <c r="V128" s="43"/>
      <c r="W128" s="43"/>
      <c r="X128" s="955"/>
      <c r="Y128" s="43"/>
      <c r="Z128" s="43"/>
      <c r="AA128" s="46"/>
      <c r="AB128" s="1386"/>
      <c r="AC128" s="1387"/>
      <c r="AD128" s="1387"/>
      <c r="AE128" s="434"/>
      <c r="AF128" s="434"/>
      <c r="AG128" s="434"/>
      <c r="AH128" s="434"/>
      <c r="AI128" s="434"/>
      <c r="AJ128" s="434"/>
      <c r="AK128" s="434"/>
      <c r="AL128" s="434"/>
      <c r="AM128" s="434"/>
      <c r="AN128" s="434"/>
      <c r="AO128" s="434"/>
      <c r="AP128" s="434"/>
      <c r="AQ128" s="434"/>
      <c r="AR128" s="434"/>
      <c r="AS128" s="434"/>
      <c r="AT128" s="434"/>
      <c r="AU128" s="434"/>
      <c r="AV128" s="434"/>
      <c r="AW128" s="434"/>
      <c r="AX128" s="434"/>
      <c r="AY128" s="434"/>
      <c r="AZ128" s="434"/>
      <c r="BA128" s="434"/>
      <c r="BB128" s="434"/>
      <c r="BC128" s="434"/>
      <c r="BD128" s="434"/>
      <c r="BE128" s="434"/>
      <c r="BF128" s="434"/>
      <c r="BG128" s="434"/>
      <c r="BH128" s="434"/>
      <c r="BI128" s="434"/>
      <c r="BJ128" s="434"/>
      <c r="BK128" s="434"/>
      <c r="BL128" s="434"/>
      <c r="BM128" s="434"/>
      <c r="BN128" s="434"/>
      <c r="BO128" s="434"/>
      <c r="BP128" s="434"/>
      <c r="BQ128" s="434"/>
      <c r="BR128" s="434"/>
      <c r="BS128" s="434"/>
      <c r="BT128" s="434"/>
      <c r="BU128" s="434"/>
      <c r="BV128" s="434"/>
      <c r="BW128" s="434"/>
      <c r="BX128" s="434"/>
      <c r="BY128" s="434"/>
      <c r="BZ128" s="434"/>
      <c r="CA128" s="434"/>
      <c r="CB128" s="434"/>
      <c r="CC128" s="434"/>
      <c r="CD128" s="434"/>
      <c r="CE128" s="434"/>
      <c r="CF128" s="434"/>
      <c r="CG128" s="434"/>
      <c r="CH128" s="434"/>
      <c r="CI128" s="434"/>
      <c r="CJ128" s="434"/>
      <c r="CK128" s="434"/>
      <c r="CL128" s="434"/>
      <c r="CM128" s="434"/>
      <c r="CN128" s="434"/>
      <c r="CO128" s="434"/>
      <c r="CP128" s="434"/>
      <c r="CQ128" s="434"/>
      <c r="CR128" s="434"/>
      <c r="CS128" s="434"/>
      <c r="CT128" s="434"/>
      <c r="CU128" s="434"/>
      <c r="CV128" s="434"/>
      <c r="CW128" s="434"/>
      <c r="CX128" s="434"/>
      <c r="CY128" s="434"/>
      <c r="CZ128" s="434"/>
      <c r="DA128" s="434"/>
      <c r="DB128" s="434"/>
      <c r="DC128" s="434"/>
      <c r="DD128" s="434"/>
      <c r="DE128" s="434"/>
      <c r="DF128" s="434"/>
      <c r="DG128" s="434"/>
      <c r="DH128" s="434"/>
      <c r="DI128" s="434"/>
      <c r="DJ128" s="434"/>
      <c r="DK128" s="434"/>
      <c r="DL128" s="434"/>
      <c r="DM128" s="434"/>
      <c r="DN128" s="434"/>
      <c r="DO128" s="434"/>
      <c r="DP128" s="434"/>
      <c r="DQ128" s="434"/>
      <c r="DR128" s="434"/>
      <c r="DS128" s="434"/>
      <c r="DT128" s="434"/>
      <c r="DU128" s="434"/>
      <c r="DV128" s="434"/>
      <c r="DW128" s="434"/>
      <c r="DX128" s="434"/>
      <c r="DY128" s="434"/>
      <c r="DZ128" s="434"/>
      <c r="EA128" s="434"/>
      <c r="EB128" s="434"/>
      <c r="EC128" s="434"/>
      <c r="ED128" s="434"/>
      <c r="EE128" s="434"/>
      <c r="EF128" s="434"/>
      <c r="EG128" s="434"/>
      <c r="EH128" s="434"/>
      <c r="EI128" s="434"/>
      <c r="EJ128" s="434"/>
      <c r="EK128" s="434"/>
      <c r="EL128" s="434"/>
      <c r="EM128" s="434"/>
      <c r="EN128" s="434"/>
      <c r="EO128" s="434"/>
      <c r="EP128" s="434"/>
      <c r="EQ128" s="434"/>
      <c r="ER128" s="434"/>
      <c r="ES128" s="434"/>
      <c r="ET128" s="434"/>
      <c r="EU128" s="434"/>
      <c r="EV128" s="434"/>
      <c r="EW128" s="434"/>
      <c r="EX128" s="434"/>
      <c r="EY128" s="434"/>
      <c r="EZ128" s="434"/>
      <c r="FA128" s="434"/>
      <c r="FB128" s="434"/>
      <c r="FC128" s="434"/>
      <c r="FD128" s="434"/>
      <c r="FE128" s="434"/>
      <c r="FF128" s="434"/>
      <c r="FG128" s="434"/>
      <c r="FH128" s="434"/>
      <c r="FI128" s="434"/>
      <c r="FJ128" s="434"/>
      <c r="FK128" s="434"/>
      <c r="FL128" s="434"/>
      <c r="FM128" s="434"/>
      <c r="FN128" s="434"/>
      <c r="FO128" s="434"/>
      <c r="FP128" s="434"/>
      <c r="FQ128" s="434"/>
      <c r="FR128" s="434"/>
      <c r="FS128" s="434"/>
      <c r="FT128" s="434"/>
      <c r="FU128" s="434"/>
      <c r="FV128" s="434"/>
      <c r="FW128" s="434"/>
      <c r="FX128" s="434"/>
      <c r="FY128" s="434"/>
      <c r="FZ128" s="434"/>
      <c r="GA128" s="434"/>
      <c r="GB128" s="434"/>
      <c r="GC128" s="434"/>
      <c r="GD128" s="434"/>
      <c r="GE128" s="434"/>
      <c r="GF128" s="434"/>
      <c r="GG128" s="434"/>
      <c r="GH128" s="434"/>
      <c r="GI128" s="434"/>
      <c r="GJ128" s="434"/>
      <c r="GK128" s="434"/>
      <c r="GL128" s="434"/>
      <c r="GM128" s="434"/>
      <c r="GN128" s="434"/>
    </row>
    <row r="129" spans="1:196" ht="15" customHeight="1">
      <c r="A129" s="206"/>
      <c r="B129" s="43"/>
      <c r="C129" s="43"/>
      <c r="D129" s="1054"/>
      <c r="E129" s="244"/>
      <c r="F129" s="43"/>
      <c r="G129" s="43"/>
      <c r="H129" s="43"/>
      <c r="I129" s="43"/>
      <c r="J129" s="43"/>
      <c r="K129" s="43"/>
      <c r="L129" s="43"/>
      <c r="M129" s="43"/>
      <c r="N129" s="43"/>
      <c r="O129" s="43"/>
      <c r="P129" s="43"/>
      <c r="Q129" s="43"/>
      <c r="R129" s="43"/>
      <c r="S129" s="43"/>
      <c r="T129" s="43"/>
      <c r="U129" s="43"/>
      <c r="V129" s="43"/>
      <c r="W129" s="43"/>
      <c r="X129" s="955"/>
      <c r="Y129" s="43"/>
      <c r="Z129" s="43"/>
      <c r="AA129" s="46"/>
      <c r="AB129" s="1386"/>
      <c r="AC129" s="1387"/>
      <c r="AD129" s="1387"/>
      <c r="AE129" s="434"/>
      <c r="AF129" s="434"/>
      <c r="AG129" s="434"/>
      <c r="AH129" s="434"/>
      <c r="AI129" s="434"/>
      <c r="AJ129" s="434"/>
      <c r="AK129" s="434"/>
      <c r="AL129" s="434"/>
      <c r="AM129" s="434"/>
      <c r="AN129" s="434"/>
      <c r="AO129" s="434"/>
      <c r="AP129" s="434"/>
      <c r="AQ129" s="434"/>
      <c r="AR129" s="434"/>
      <c r="AS129" s="434"/>
      <c r="AT129" s="434"/>
      <c r="AU129" s="434"/>
      <c r="AV129" s="434"/>
      <c r="AW129" s="434"/>
      <c r="AX129" s="434"/>
      <c r="AY129" s="434"/>
      <c r="AZ129" s="434"/>
      <c r="BA129" s="434"/>
      <c r="BB129" s="434"/>
      <c r="BC129" s="434"/>
      <c r="BD129" s="434"/>
      <c r="BE129" s="434"/>
      <c r="BF129" s="434"/>
      <c r="BG129" s="434"/>
      <c r="BH129" s="434"/>
      <c r="BI129" s="434"/>
      <c r="BJ129" s="434"/>
      <c r="BK129" s="434"/>
      <c r="BL129" s="434"/>
      <c r="BM129" s="434"/>
      <c r="BN129" s="434"/>
      <c r="BO129" s="434"/>
      <c r="BP129" s="434"/>
      <c r="BQ129" s="434"/>
      <c r="BR129" s="434"/>
      <c r="BS129" s="434"/>
      <c r="BT129" s="434"/>
      <c r="BU129" s="434"/>
      <c r="BV129" s="434"/>
      <c r="BW129" s="434"/>
      <c r="BX129" s="434"/>
      <c r="BY129" s="434"/>
      <c r="BZ129" s="434"/>
      <c r="CA129" s="434"/>
      <c r="CB129" s="434"/>
      <c r="CC129" s="434"/>
      <c r="CD129" s="434"/>
      <c r="CE129" s="434"/>
      <c r="CF129" s="434"/>
      <c r="CG129" s="434"/>
      <c r="CH129" s="434"/>
      <c r="CI129" s="434"/>
      <c r="CJ129" s="434"/>
      <c r="CK129" s="434"/>
      <c r="CL129" s="434"/>
      <c r="CM129" s="434"/>
      <c r="CN129" s="434"/>
      <c r="CO129" s="434"/>
      <c r="CP129" s="434"/>
      <c r="CQ129" s="434"/>
      <c r="CR129" s="434"/>
      <c r="CS129" s="434"/>
      <c r="CT129" s="434"/>
      <c r="CU129" s="434"/>
      <c r="CV129" s="434"/>
      <c r="CW129" s="434"/>
      <c r="CX129" s="434"/>
      <c r="CY129" s="434"/>
      <c r="CZ129" s="434"/>
      <c r="DA129" s="434"/>
      <c r="DB129" s="434"/>
      <c r="DC129" s="434"/>
      <c r="DD129" s="434"/>
      <c r="DE129" s="434"/>
      <c r="DF129" s="434"/>
      <c r="DG129" s="434"/>
      <c r="DH129" s="434"/>
      <c r="DI129" s="434"/>
      <c r="DJ129" s="434"/>
      <c r="DK129" s="434"/>
      <c r="DL129" s="434"/>
      <c r="DM129" s="434"/>
      <c r="DN129" s="434"/>
      <c r="DO129" s="434"/>
      <c r="DP129" s="434"/>
      <c r="DQ129" s="434"/>
      <c r="DR129" s="434"/>
      <c r="DS129" s="434"/>
      <c r="DT129" s="434"/>
      <c r="DU129" s="434"/>
      <c r="DV129" s="434"/>
      <c r="DW129" s="434"/>
      <c r="DX129" s="434"/>
      <c r="DY129" s="434"/>
      <c r="DZ129" s="434"/>
      <c r="EA129" s="434"/>
      <c r="EB129" s="434"/>
      <c r="EC129" s="434"/>
      <c r="ED129" s="434"/>
      <c r="EE129" s="434"/>
      <c r="EF129" s="434"/>
      <c r="EG129" s="434"/>
      <c r="EH129" s="434"/>
      <c r="EI129" s="434"/>
      <c r="EJ129" s="434"/>
      <c r="EK129" s="434"/>
      <c r="EL129" s="434"/>
      <c r="EM129" s="434"/>
      <c r="EN129" s="434"/>
      <c r="EO129" s="434"/>
      <c r="EP129" s="434"/>
      <c r="EQ129" s="434"/>
      <c r="ER129" s="434"/>
      <c r="ES129" s="434"/>
      <c r="ET129" s="434"/>
      <c r="EU129" s="434"/>
      <c r="EV129" s="434"/>
      <c r="EW129" s="434"/>
      <c r="EX129" s="434"/>
      <c r="EY129" s="434"/>
      <c r="EZ129" s="434"/>
      <c r="FA129" s="434"/>
      <c r="FB129" s="434"/>
      <c r="FC129" s="434"/>
      <c r="FD129" s="434"/>
      <c r="FE129" s="434"/>
      <c r="FF129" s="434"/>
      <c r="FG129" s="434"/>
      <c r="FH129" s="434"/>
      <c r="FI129" s="434"/>
      <c r="FJ129" s="434"/>
      <c r="FK129" s="434"/>
      <c r="FL129" s="434"/>
      <c r="FM129" s="434"/>
      <c r="FN129" s="434"/>
      <c r="FO129" s="434"/>
      <c r="FP129" s="434"/>
      <c r="FQ129" s="434"/>
      <c r="FR129" s="434"/>
      <c r="FS129" s="434"/>
      <c r="FT129" s="434"/>
      <c r="FU129" s="434"/>
      <c r="FV129" s="434"/>
      <c r="FW129" s="434"/>
      <c r="FX129" s="434"/>
      <c r="FY129" s="434"/>
      <c r="FZ129" s="434"/>
      <c r="GA129" s="434"/>
      <c r="GB129" s="434"/>
      <c r="GC129" s="434"/>
      <c r="GD129" s="434"/>
      <c r="GE129" s="434"/>
      <c r="GF129" s="434"/>
      <c r="GG129" s="434"/>
      <c r="GH129" s="434"/>
      <c r="GI129" s="434"/>
      <c r="GJ129" s="434"/>
      <c r="GK129" s="434"/>
      <c r="GL129" s="434"/>
      <c r="GM129" s="434"/>
      <c r="GN129" s="434"/>
    </row>
    <row r="130" spans="1:196" ht="15" customHeight="1">
      <c r="A130" s="206"/>
      <c r="B130" s="43"/>
      <c r="C130" s="43"/>
      <c r="D130" s="1054"/>
      <c r="E130" s="244"/>
      <c r="F130" s="43"/>
      <c r="G130" s="43"/>
      <c r="H130" s="43"/>
      <c r="I130" s="43"/>
      <c r="J130" s="43"/>
      <c r="K130" s="43"/>
      <c r="L130" s="43"/>
      <c r="M130" s="43"/>
      <c r="N130" s="43"/>
      <c r="O130" s="43"/>
      <c r="P130" s="43"/>
      <c r="Q130" s="43"/>
      <c r="R130" s="43"/>
      <c r="S130" s="43"/>
      <c r="T130" s="43"/>
      <c r="U130" s="43"/>
      <c r="V130" s="43"/>
      <c r="W130" s="43"/>
      <c r="X130" s="955"/>
      <c r="Y130" s="43"/>
      <c r="Z130" s="43"/>
      <c r="AA130" s="46"/>
      <c r="AB130" s="1386"/>
      <c r="AC130" s="1387"/>
      <c r="AD130" s="1387"/>
      <c r="AE130" s="434"/>
      <c r="AF130" s="434"/>
      <c r="AG130" s="434"/>
      <c r="AH130" s="434"/>
      <c r="AI130" s="434"/>
      <c r="AJ130" s="434"/>
      <c r="AK130" s="434"/>
      <c r="AL130" s="434"/>
      <c r="AM130" s="434"/>
      <c r="AN130" s="434"/>
      <c r="AO130" s="434"/>
      <c r="AP130" s="434"/>
      <c r="AQ130" s="434"/>
      <c r="AR130" s="434"/>
      <c r="AS130" s="434"/>
      <c r="AT130" s="434"/>
      <c r="AU130" s="434"/>
      <c r="AV130" s="434"/>
      <c r="AW130" s="434"/>
      <c r="AX130" s="434"/>
      <c r="AY130" s="434"/>
      <c r="AZ130" s="434"/>
      <c r="BA130" s="434"/>
      <c r="BB130" s="434"/>
      <c r="BC130" s="434"/>
      <c r="BD130" s="434"/>
      <c r="BE130" s="434"/>
      <c r="BF130" s="434"/>
      <c r="BG130" s="434"/>
      <c r="BH130" s="434"/>
      <c r="BI130" s="434"/>
      <c r="BJ130" s="434"/>
      <c r="BK130" s="434"/>
      <c r="BL130" s="434"/>
      <c r="BM130" s="434"/>
      <c r="BN130" s="434"/>
      <c r="BO130" s="434"/>
      <c r="BP130" s="434"/>
      <c r="BQ130" s="434"/>
      <c r="BR130" s="434"/>
      <c r="BS130" s="434"/>
      <c r="BT130" s="434"/>
      <c r="BU130" s="434"/>
      <c r="BV130" s="434"/>
      <c r="BW130" s="434"/>
      <c r="BX130" s="434"/>
      <c r="BY130" s="434"/>
      <c r="BZ130" s="434"/>
      <c r="CA130" s="434"/>
      <c r="CB130" s="434"/>
      <c r="CC130" s="434"/>
      <c r="CD130" s="434"/>
      <c r="CE130" s="434"/>
      <c r="CF130" s="434"/>
      <c r="CG130" s="434"/>
      <c r="CH130" s="434"/>
      <c r="CI130" s="434"/>
      <c r="CJ130" s="434"/>
      <c r="CK130" s="434"/>
      <c r="CL130" s="434"/>
      <c r="CM130" s="434"/>
      <c r="CN130" s="434"/>
      <c r="CO130" s="434"/>
      <c r="CP130" s="434"/>
      <c r="CQ130" s="434"/>
      <c r="CR130" s="434"/>
      <c r="CS130" s="434"/>
      <c r="CT130" s="434"/>
      <c r="CU130" s="434"/>
      <c r="CV130" s="434"/>
      <c r="CW130" s="434"/>
      <c r="CX130" s="434"/>
      <c r="CY130" s="434"/>
      <c r="CZ130" s="434"/>
      <c r="DA130" s="434"/>
      <c r="DB130" s="434"/>
      <c r="DC130" s="434"/>
      <c r="DD130" s="434"/>
      <c r="DE130" s="434"/>
      <c r="DF130" s="434"/>
      <c r="DG130" s="434"/>
      <c r="DH130" s="434"/>
      <c r="DI130" s="434"/>
      <c r="DJ130" s="434"/>
      <c r="DK130" s="434"/>
      <c r="DL130" s="434"/>
      <c r="DM130" s="434"/>
      <c r="DN130" s="434"/>
      <c r="DO130" s="434"/>
      <c r="DP130" s="434"/>
      <c r="DQ130" s="434"/>
      <c r="DR130" s="434"/>
      <c r="DS130" s="434"/>
      <c r="DT130" s="434"/>
      <c r="DU130" s="434"/>
      <c r="DV130" s="434"/>
      <c r="DW130" s="434"/>
      <c r="DX130" s="434"/>
      <c r="DY130" s="434"/>
      <c r="DZ130" s="434"/>
      <c r="EA130" s="434"/>
      <c r="EB130" s="434"/>
      <c r="EC130" s="434"/>
      <c r="ED130" s="434"/>
      <c r="EE130" s="434"/>
      <c r="EF130" s="434"/>
      <c r="EG130" s="434"/>
      <c r="EH130" s="434"/>
      <c r="EI130" s="434"/>
      <c r="EJ130" s="434"/>
      <c r="EK130" s="434"/>
      <c r="EL130" s="434"/>
      <c r="EM130" s="434"/>
      <c r="EN130" s="434"/>
      <c r="EO130" s="434"/>
      <c r="EP130" s="434"/>
      <c r="EQ130" s="434"/>
      <c r="ER130" s="434"/>
      <c r="ES130" s="434"/>
      <c r="ET130" s="434"/>
      <c r="EU130" s="434"/>
      <c r="EV130" s="434"/>
      <c r="EW130" s="434"/>
      <c r="EX130" s="434"/>
      <c r="EY130" s="434"/>
      <c r="EZ130" s="434"/>
      <c r="FA130" s="434"/>
      <c r="FB130" s="434"/>
      <c r="FC130" s="434"/>
      <c r="FD130" s="434"/>
      <c r="FE130" s="434"/>
      <c r="FF130" s="434"/>
      <c r="FG130" s="434"/>
      <c r="FH130" s="434"/>
      <c r="FI130" s="434"/>
      <c r="FJ130" s="434"/>
      <c r="FK130" s="434"/>
      <c r="FL130" s="434"/>
      <c r="FM130" s="434"/>
      <c r="FN130" s="434"/>
      <c r="FO130" s="434"/>
      <c r="FP130" s="434"/>
      <c r="FQ130" s="434"/>
      <c r="FR130" s="434"/>
      <c r="FS130" s="434"/>
      <c r="FT130" s="434"/>
      <c r="FU130" s="434"/>
      <c r="FV130" s="434"/>
      <c r="FW130" s="434"/>
      <c r="FX130" s="434"/>
      <c r="FY130" s="434"/>
      <c r="FZ130" s="434"/>
      <c r="GA130" s="434"/>
      <c r="GB130" s="434"/>
      <c r="GC130" s="434"/>
      <c r="GD130" s="434"/>
      <c r="GE130" s="434"/>
      <c r="GF130" s="434"/>
      <c r="GG130" s="434"/>
      <c r="GH130" s="434"/>
      <c r="GI130" s="434"/>
      <c r="GJ130" s="434"/>
      <c r="GK130" s="434"/>
      <c r="GL130" s="434"/>
      <c r="GM130" s="434"/>
      <c r="GN130" s="434"/>
    </row>
    <row r="131" spans="1:196" ht="15" customHeight="1">
      <c r="A131" s="206"/>
      <c r="B131" s="43"/>
      <c r="C131" s="43"/>
      <c r="D131" s="1054"/>
      <c r="E131" s="244"/>
      <c r="F131" s="43"/>
      <c r="G131" s="43"/>
      <c r="H131" s="43"/>
      <c r="I131" s="43"/>
      <c r="J131" s="43"/>
      <c r="K131" s="43"/>
      <c r="L131" s="43"/>
      <c r="M131" s="43"/>
      <c r="N131" s="43"/>
      <c r="O131" s="43"/>
      <c r="P131" s="43"/>
      <c r="Q131" s="43"/>
      <c r="R131" s="43"/>
      <c r="S131" s="43"/>
      <c r="T131" s="43"/>
      <c r="U131" s="43"/>
      <c r="V131" s="43"/>
      <c r="W131" s="43"/>
      <c r="X131" s="955"/>
      <c r="Y131" s="43"/>
      <c r="Z131" s="43"/>
      <c r="AA131" s="46"/>
      <c r="AB131" s="1386"/>
      <c r="AC131" s="1387"/>
      <c r="AD131" s="1387"/>
      <c r="AE131" s="434"/>
      <c r="AF131" s="434"/>
      <c r="AG131" s="434"/>
      <c r="AH131" s="434"/>
      <c r="AI131" s="434"/>
      <c r="AJ131" s="434"/>
      <c r="AK131" s="434"/>
      <c r="AL131" s="434"/>
      <c r="AM131" s="434"/>
      <c r="AN131" s="434"/>
      <c r="AO131" s="434"/>
      <c r="AP131" s="434"/>
      <c r="AQ131" s="434"/>
      <c r="AR131" s="434"/>
      <c r="AS131" s="434"/>
      <c r="AT131" s="434"/>
      <c r="AU131" s="434"/>
      <c r="AV131" s="434"/>
      <c r="AW131" s="434"/>
      <c r="AX131" s="434"/>
      <c r="AY131" s="434"/>
      <c r="AZ131" s="434"/>
      <c r="BA131" s="434"/>
      <c r="BB131" s="434"/>
      <c r="BC131" s="434"/>
      <c r="BD131" s="434"/>
      <c r="BE131" s="434"/>
      <c r="BF131" s="434"/>
      <c r="BG131" s="434"/>
      <c r="BH131" s="434"/>
      <c r="BI131" s="434"/>
      <c r="BJ131" s="434"/>
      <c r="BK131" s="434"/>
      <c r="BL131" s="434"/>
      <c r="BM131" s="434"/>
      <c r="BN131" s="434"/>
      <c r="BO131" s="434"/>
      <c r="BP131" s="434"/>
      <c r="BQ131" s="434"/>
      <c r="BR131" s="434"/>
      <c r="BS131" s="434"/>
      <c r="BT131" s="434"/>
      <c r="BU131" s="434"/>
      <c r="BV131" s="434"/>
      <c r="BW131" s="434"/>
      <c r="BX131" s="434"/>
      <c r="BY131" s="434"/>
      <c r="BZ131" s="434"/>
      <c r="CA131" s="434"/>
      <c r="CB131" s="434"/>
      <c r="CC131" s="434"/>
      <c r="CD131" s="434"/>
      <c r="CE131" s="434"/>
      <c r="CF131" s="434"/>
      <c r="CG131" s="434"/>
      <c r="CH131" s="434"/>
      <c r="CI131" s="434"/>
      <c r="CJ131" s="434"/>
      <c r="CK131" s="434"/>
      <c r="CL131" s="434"/>
      <c r="CM131" s="434"/>
      <c r="CN131" s="434"/>
      <c r="CO131" s="434"/>
      <c r="CP131" s="434"/>
      <c r="CQ131" s="434"/>
      <c r="CR131" s="434"/>
      <c r="CS131" s="434"/>
      <c r="CT131" s="434"/>
      <c r="CU131" s="434"/>
      <c r="CV131" s="434"/>
      <c r="CW131" s="434"/>
      <c r="CX131" s="434"/>
      <c r="CY131" s="434"/>
      <c r="CZ131" s="434"/>
      <c r="DA131" s="434"/>
      <c r="DB131" s="434"/>
      <c r="DC131" s="434"/>
      <c r="DD131" s="434"/>
      <c r="DE131" s="434"/>
      <c r="DF131" s="434"/>
      <c r="DG131" s="434"/>
      <c r="DH131" s="434"/>
      <c r="DI131" s="434"/>
      <c r="DJ131" s="434"/>
      <c r="DK131" s="434"/>
      <c r="DL131" s="434"/>
      <c r="DM131" s="434"/>
      <c r="DN131" s="434"/>
      <c r="DO131" s="434"/>
      <c r="DP131" s="434"/>
      <c r="DQ131" s="434"/>
      <c r="DR131" s="434"/>
      <c r="DS131" s="434"/>
      <c r="DT131" s="434"/>
      <c r="DU131" s="434"/>
      <c r="DV131" s="434"/>
      <c r="DW131" s="434"/>
      <c r="DX131" s="434"/>
      <c r="DY131" s="434"/>
      <c r="DZ131" s="434"/>
      <c r="EA131" s="434"/>
      <c r="EB131" s="434"/>
      <c r="EC131" s="434"/>
      <c r="ED131" s="434"/>
      <c r="EE131" s="434"/>
      <c r="EF131" s="434"/>
      <c r="EG131" s="434"/>
      <c r="EH131" s="434"/>
      <c r="EI131" s="434"/>
      <c r="EJ131" s="434"/>
      <c r="EK131" s="434"/>
      <c r="EL131" s="434"/>
      <c r="EM131" s="434"/>
      <c r="EN131" s="434"/>
      <c r="EO131" s="434"/>
      <c r="EP131" s="434"/>
      <c r="EQ131" s="434"/>
      <c r="ER131" s="434"/>
      <c r="ES131" s="434"/>
      <c r="ET131" s="434"/>
      <c r="EU131" s="434"/>
      <c r="EV131" s="434"/>
      <c r="EW131" s="434"/>
      <c r="EX131" s="434"/>
      <c r="EY131" s="434"/>
      <c r="EZ131" s="434"/>
      <c r="FA131" s="434"/>
      <c r="FB131" s="434"/>
      <c r="FC131" s="434"/>
      <c r="FD131" s="434"/>
      <c r="FE131" s="434"/>
      <c r="FF131" s="434"/>
      <c r="FG131" s="434"/>
      <c r="FH131" s="434"/>
      <c r="FI131" s="434"/>
      <c r="FJ131" s="434"/>
      <c r="FK131" s="434"/>
      <c r="FL131" s="434"/>
      <c r="FM131" s="434"/>
      <c r="FN131" s="434"/>
      <c r="FO131" s="434"/>
      <c r="FP131" s="434"/>
      <c r="FQ131" s="434"/>
      <c r="FR131" s="434"/>
      <c r="FS131" s="434"/>
      <c r="FT131" s="434"/>
      <c r="FU131" s="434"/>
      <c r="FV131" s="434"/>
      <c r="FW131" s="434"/>
      <c r="FX131" s="434"/>
      <c r="FY131" s="434"/>
      <c r="FZ131" s="434"/>
      <c r="GA131" s="434"/>
      <c r="GB131" s="434"/>
      <c r="GC131" s="434"/>
      <c r="GD131" s="434"/>
      <c r="GE131" s="434"/>
      <c r="GF131" s="434"/>
      <c r="GG131" s="434"/>
      <c r="GH131" s="434"/>
      <c r="GI131" s="434"/>
      <c r="GJ131" s="434"/>
      <c r="GK131" s="434"/>
      <c r="GL131" s="434"/>
      <c r="GM131" s="434"/>
      <c r="GN131" s="434"/>
    </row>
    <row r="132" spans="1:196" ht="15" customHeight="1">
      <c r="A132" s="206"/>
      <c r="B132" s="43"/>
      <c r="C132" s="43"/>
      <c r="D132" s="1054"/>
      <c r="E132" s="244"/>
      <c r="F132" s="43"/>
      <c r="G132" s="43"/>
      <c r="H132" s="43"/>
      <c r="I132" s="43"/>
      <c r="J132" s="43"/>
      <c r="K132" s="43"/>
      <c r="L132" s="43"/>
      <c r="M132" s="43"/>
      <c r="N132" s="43"/>
      <c r="O132" s="43"/>
      <c r="P132" s="43"/>
      <c r="Q132" s="43"/>
      <c r="R132" s="43"/>
      <c r="S132" s="43"/>
      <c r="T132" s="43"/>
      <c r="U132" s="43"/>
      <c r="V132" s="43"/>
      <c r="W132" s="43"/>
      <c r="X132" s="955"/>
      <c r="Y132" s="43"/>
      <c r="Z132" s="43"/>
      <c r="AA132" s="46"/>
      <c r="AB132" s="1386"/>
      <c r="AC132" s="1387"/>
      <c r="AD132" s="1387"/>
      <c r="AE132" s="434"/>
      <c r="AF132" s="434"/>
      <c r="AG132" s="434"/>
      <c r="AH132" s="434"/>
      <c r="AI132" s="434"/>
      <c r="AJ132" s="434"/>
      <c r="AK132" s="434"/>
      <c r="AL132" s="434"/>
      <c r="AM132" s="434"/>
      <c r="AN132" s="434"/>
      <c r="AO132" s="434"/>
      <c r="AP132" s="434"/>
      <c r="AQ132" s="434"/>
      <c r="AR132" s="434"/>
      <c r="AS132" s="434"/>
      <c r="AT132" s="434"/>
      <c r="AU132" s="434"/>
      <c r="AV132" s="434"/>
      <c r="AW132" s="434"/>
      <c r="AX132" s="434"/>
      <c r="AY132" s="434"/>
      <c r="AZ132" s="434"/>
      <c r="BA132" s="434"/>
      <c r="BB132" s="434"/>
      <c r="BC132" s="434"/>
      <c r="BD132" s="434"/>
      <c r="BE132" s="434"/>
      <c r="BF132" s="434"/>
      <c r="BG132" s="434"/>
      <c r="BH132" s="434"/>
      <c r="BI132" s="434"/>
      <c r="BJ132" s="434"/>
      <c r="BK132" s="434"/>
      <c r="BL132" s="434"/>
      <c r="BM132" s="434"/>
      <c r="BN132" s="434"/>
      <c r="BO132" s="434"/>
      <c r="BP132" s="434"/>
      <c r="BQ132" s="434"/>
      <c r="BR132" s="434"/>
      <c r="BS132" s="434"/>
      <c r="BT132" s="434"/>
      <c r="BU132" s="434"/>
      <c r="BV132" s="434"/>
      <c r="BW132" s="434"/>
      <c r="BX132" s="434"/>
      <c r="BY132" s="434"/>
      <c r="BZ132" s="434"/>
      <c r="CA132" s="434"/>
      <c r="CB132" s="434"/>
      <c r="CC132" s="434"/>
      <c r="CD132" s="434"/>
      <c r="CE132" s="434"/>
      <c r="CF132" s="434"/>
      <c r="CG132" s="434"/>
      <c r="CH132" s="434"/>
      <c r="CI132" s="434"/>
      <c r="CJ132" s="434"/>
      <c r="CK132" s="434"/>
      <c r="CL132" s="434"/>
      <c r="CM132" s="434"/>
      <c r="CN132" s="434"/>
      <c r="CO132" s="434"/>
      <c r="CP132" s="434"/>
      <c r="CQ132" s="434"/>
      <c r="CR132" s="434"/>
      <c r="CS132" s="434"/>
      <c r="CT132" s="434"/>
      <c r="CU132" s="434"/>
      <c r="CV132" s="434"/>
      <c r="CW132" s="434"/>
      <c r="CX132" s="434"/>
      <c r="CY132" s="434"/>
      <c r="CZ132" s="434"/>
      <c r="DA132" s="434"/>
      <c r="DB132" s="434"/>
      <c r="DC132" s="434"/>
      <c r="DD132" s="434"/>
      <c r="DE132" s="434"/>
      <c r="DF132" s="434"/>
      <c r="DG132" s="434"/>
      <c r="DH132" s="434"/>
      <c r="DI132" s="434"/>
      <c r="DJ132" s="434"/>
      <c r="DK132" s="434"/>
      <c r="DL132" s="434"/>
      <c r="DM132" s="434"/>
      <c r="DN132" s="434"/>
      <c r="DO132" s="434"/>
      <c r="DP132" s="434"/>
      <c r="DQ132" s="434"/>
      <c r="DR132" s="434"/>
      <c r="DS132" s="434"/>
      <c r="DT132" s="434"/>
      <c r="DU132" s="434"/>
      <c r="DV132" s="434"/>
      <c r="DW132" s="434"/>
      <c r="DX132" s="434"/>
      <c r="DY132" s="434"/>
      <c r="DZ132" s="434"/>
      <c r="EA132" s="434"/>
      <c r="EB132" s="434"/>
      <c r="EC132" s="434"/>
      <c r="ED132" s="434"/>
      <c r="EE132" s="434"/>
      <c r="EF132" s="434"/>
      <c r="EG132" s="434"/>
      <c r="EH132" s="434"/>
      <c r="EI132" s="434"/>
      <c r="EJ132" s="434"/>
      <c r="EK132" s="434"/>
      <c r="EL132" s="434"/>
      <c r="EM132" s="434"/>
      <c r="EN132" s="434"/>
      <c r="EO132" s="434"/>
      <c r="EP132" s="434"/>
      <c r="EQ132" s="434"/>
      <c r="ER132" s="434"/>
      <c r="ES132" s="434"/>
      <c r="ET132" s="434"/>
      <c r="EU132" s="434"/>
      <c r="EV132" s="434"/>
      <c r="EW132" s="434"/>
      <c r="EX132" s="434"/>
      <c r="EY132" s="434"/>
      <c r="EZ132" s="434"/>
      <c r="FA132" s="434"/>
      <c r="FB132" s="434"/>
      <c r="FC132" s="434"/>
      <c r="FD132" s="434"/>
      <c r="FE132" s="434"/>
      <c r="FF132" s="434"/>
      <c r="FG132" s="434"/>
      <c r="FH132" s="434"/>
      <c r="FI132" s="434"/>
      <c r="FJ132" s="434"/>
      <c r="FK132" s="434"/>
      <c r="FL132" s="434"/>
      <c r="FM132" s="434"/>
      <c r="FN132" s="434"/>
      <c r="FO132" s="434"/>
      <c r="FP132" s="434"/>
      <c r="FQ132" s="434"/>
      <c r="FR132" s="434"/>
      <c r="FS132" s="434"/>
      <c r="FT132" s="434"/>
      <c r="FU132" s="434"/>
      <c r="FV132" s="434"/>
      <c r="FW132" s="434"/>
      <c r="FX132" s="434"/>
      <c r="FY132" s="434"/>
      <c r="FZ132" s="434"/>
      <c r="GA132" s="434"/>
      <c r="GB132" s="434"/>
      <c r="GC132" s="434"/>
      <c r="GD132" s="434"/>
      <c r="GE132" s="434"/>
      <c r="GF132" s="434"/>
      <c r="GG132" s="434"/>
      <c r="GH132" s="434"/>
      <c r="GI132" s="434"/>
      <c r="GJ132" s="434"/>
      <c r="GK132" s="434"/>
      <c r="GL132" s="434"/>
      <c r="GM132" s="434"/>
      <c r="GN132" s="434"/>
    </row>
    <row r="133" spans="1:196" ht="15" customHeight="1">
      <c r="A133" s="206"/>
      <c r="B133" s="43"/>
      <c r="C133" s="43"/>
      <c r="D133" s="1054"/>
      <c r="E133" s="244"/>
      <c r="F133" s="43"/>
      <c r="G133" s="43"/>
      <c r="H133" s="43"/>
      <c r="I133" s="43"/>
      <c r="J133" s="43"/>
      <c r="K133" s="43"/>
      <c r="L133" s="43"/>
      <c r="M133" s="43"/>
      <c r="N133" s="43"/>
      <c r="O133" s="43"/>
      <c r="P133" s="43"/>
      <c r="Q133" s="43"/>
      <c r="R133" s="43"/>
      <c r="S133" s="43"/>
      <c r="T133" s="43"/>
      <c r="U133" s="43"/>
      <c r="V133" s="43"/>
      <c r="W133" s="43"/>
      <c r="X133" s="955"/>
      <c r="Y133" s="43"/>
      <c r="Z133" s="43"/>
      <c r="AA133" s="46"/>
      <c r="AB133" s="1386"/>
      <c r="AC133" s="1387"/>
      <c r="AD133" s="1387"/>
      <c r="AE133" s="434"/>
      <c r="AF133" s="434"/>
      <c r="AG133" s="434"/>
      <c r="AH133" s="434"/>
      <c r="AI133" s="434"/>
      <c r="AJ133" s="434"/>
      <c r="AK133" s="434"/>
      <c r="AL133" s="434"/>
      <c r="AM133" s="434"/>
      <c r="AN133" s="434"/>
      <c r="AO133" s="434"/>
      <c r="AP133" s="434"/>
      <c r="AQ133" s="434"/>
      <c r="AR133" s="434"/>
      <c r="AS133" s="434"/>
      <c r="AT133" s="434"/>
      <c r="AU133" s="434"/>
      <c r="AV133" s="434"/>
      <c r="AW133" s="434"/>
      <c r="AX133" s="434"/>
      <c r="AY133" s="434"/>
      <c r="AZ133" s="434"/>
      <c r="BA133" s="434"/>
      <c r="BB133" s="434"/>
      <c r="BC133" s="434"/>
      <c r="BD133" s="434"/>
      <c r="BE133" s="434"/>
      <c r="BF133" s="434"/>
      <c r="BG133" s="434"/>
      <c r="BH133" s="434"/>
      <c r="BI133" s="434"/>
      <c r="BJ133" s="434"/>
      <c r="BK133" s="434"/>
      <c r="BL133" s="434"/>
      <c r="BM133" s="434"/>
      <c r="BN133" s="434"/>
      <c r="BO133" s="434"/>
      <c r="BP133" s="434"/>
      <c r="BQ133" s="434"/>
      <c r="BR133" s="434"/>
      <c r="BS133" s="434"/>
      <c r="BT133" s="434"/>
      <c r="BU133" s="434"/>
      <c r="BV133" s="434"/>
      <c r="BW133" s="434"/>
      <c r="BX133" s="434"/>
      <c r="BY133" s="434"/>
      <c r="BZ133" s="434"/>
      <c r="CA133" s="434"/>
      <c r="CB133" s="434"/>
      <c r="CC133" s="434"/>
      <c r="CD133" s="434"/>
      <c r="CE133" s="434"/>
      <c r="CF133" s="434"/>
      <c r="CG133" s="434"/>
      <c r="CH133" s="434"/>
      <c r="CI133" s="434"/>
      <c r="CJ133" s="434"/>
      <c r="CK133" s="434"/>
      <c r="CL133" s="434"/>
      <c r="CM133" s="434"/>
      <c r="CN133" s="434"/>
      <c r="CO133" s="434"/>
      <c r="CP133" s="434"/>
      <c r="CQ133" s="434"/>
      <c r="CR133" s="434"/>
      <c r="CS133" s="434"/>
      <c r="CT133" s="434"/>
      <c r="CU133" s="434"/>
      <c r="CV133" s="434"/>
      <c r="CW133" s="434"/>
      <c r="CX133" s="434"/>
      <c r="CY133" s="434"/>
      <c r="CZ133" s="434"/>
      <c r="DA133" s="434"/>
      <c r="DB133" s="434"/>
      <c r="DC133" s="434"/>
      <c r="DD133" s="434"/>
      <c r="DE133" s="434"/>
      <c r="DF133" s="434"/>
      <c r="DG133" s="434"/>
      <c r="DH133" s="434"/>
      <c r="DI133" s="434"/>
      <c r="DJ133" s="434"/>
      <c r="DK133" s="434"/>
      <c r="DL133" s="434"/>
      <c r="DM133" s="434"/>
      <c r="DN133" s="434"/>
      <c r="DO133" s="434"/>
      <c r="DP133" s="434"/>
      <c r="DQ133" s="434"/>
      <c r="DR133" s="434"/>
      <c r="DS133" s="434"/>
      <c r="DT133" s="434"/>
      <c r="DU133" s="434"/>
      <c r="DV133" s="434"/>
      <c r="DW133" s="434"/>
      <c r="DX133" s="434"/>
      <c r="DY133" s="434"/>
      <c r="DZ133" s="434"/>
      <c r="EA133" s="434"/>
      <c r="EB133" s="434"/>
      <c r="EC133" s="434"/>
      <c r="ED133" s="434"/>
      <c r="EE133" s="434"/>
      <c r="EF133" s="434"/>
      <c r="EG133" s="434"/>
      <c r="EH133" s="434"/>
      <c r="EI133" s="434"/>
      <c r="EJ133" s="434"/>
      <c r="EK133" s="434"/>
      <c r="EL133" s="434"/>
      <c r="EM133" s="434"/>
      <c r="EN133" s="434"/>
      <c r="EO133" s="434"/>
      <c r="EP133" s="434"/>
      <c r="EQ133" s="434"/>
      <c r="ER133" s="434"/>
      <c r="ES133" s="434"/>
      <c r="ET133" s="434"/>
      <c r="EU133" s="434"/>
      <c r="EV133" s="434"/>
      <c r="EW133" s="434"/>
      <c r="EX133" s="434"/>
      <c r="EY133" s="434"/>
      <c r="EZ133" s="434"/>
      <c r="FA133" s="434"/>
      <c r="FB133" s="434"/>
      <c r="FC133" s="434"/>
      <c r="FD133" s="434"/>
      <c r="FE133" s="434"/>
      <c r="FF133" s="434"/>
      <c r="FG133" s="434"/>
      <c r="FH133" s="434"/>
      <c r="FI133" s="434"/>
      <c r="FJ133" s="434"/>
      <c r="FK133" s="434"/>
      <c r="FL133" s="434"/>
      <c r="FM133" s="434"/>
      <c r="FN133" s="434"/>
      <c r="FO133" s="434"/>
      <c r="FP133" s="434"/>
      <c r="FQ133" s="434"/>
      <c r="FR133" s="434"/>
      <c r="FS133" s="434"/>
      <c r="FT133" s="434"/>
      <c r="FU133" s="434"/>
      <c r="FV133" s="434"/>
      <c r="FW133" s="434"/>
      <c r="FX133" s="434"/>
      <c r="FY133" s="434"/>
      <c r="FZ133" s="434"/>
      <c r="GA133" s="434"/>
      <c r="GB133" s="434"/>
      <c r="GC133" s="434"/>
      <c r="GD133" s="434"/>
      <c r="GE133" s="434"/>
      <c r="GF133" s="434"/>
      <c r="GG133" s="434"/>
      <c r="GH133" s="434"/>
      <c r="GI133" s="434"/>
      <c r="GJ133" s="434"/>
      <c r="GK133" s="434"/>
      <c r="GL133" s="434"/>
      <c r="GM133" s="434"/>
      <c r="GN133" s="434"/>
    </row>
    <row r="134" spans="1:196" ht="15" customHeight="1">
      <c r="A134" s="206"/>
      <c r="B134" s="43"/>
      <c r="C134" s="43"/>
      <c r="D134" s="1054"/>
      <c r="E134" s="244"/>
      <c r="F134" s="43"/>
      <c r="G134" s="43"/>
      <c r="H134" s="43"/>
      <c r="I134" s="43"/>
      <c r="J134" s="43"/>
      <c r="K134" s="43"/>
      <c r="L134" s="43"/>
      <c r="M134" s="43"/>
      <c r="N134" s="43"/>
      <c r="O134" s="43"/>
      <c r="P134" s="43"/>
      <c r="Q134" s="43"/>
      <c r="R134" s="43"/>
      <c r="S134" s="43"/>
      <c r="T134" s="43"/>
      <c r="U134" s="43"/>
      <c r="V134" s="43"/>
      <c r="W134" s="43"/>
      <c r="X134" s="955"/>
      <c r="Y134" s="43"/>
      <c r="Z134" s="43"/>
      <c r="AA134" s="46"/>
      <c r="AB134" s="1386"/>
      <c r="AC134" s="1387"/>
      <c r="AD134" s="1387"/>
      <c r="AE134" s="434"/>
      <c r="AF134" s="434"/>
      <c r="AG134" s="434"/>
      <c r="AH134" s="434"/>
      <c r="AI134" s="434"/>
      <c r="AJ134" s="434"/>
      <c r="AK134" s="434"/>
      <c r="AL134" s="434"/>
      <c r="AM134" s="434"/>
      <c r="AN134" s="434"/>
      <c r="AO134" s="434"/>
      <c r="AP134" s="434"/>
      <c r="AQ134" s="434"/>
      <c r="AR134" s="434"/>
      <c r="AS134" s="434"/>
      <c r="AT134" s="434"/>
      <c r="AU134" s="434"/>
      <c r="AV134" s="434"/>
      <c r="AW134" s="434"/>
      <c r="AX134" s="434"/>
      <c r="AY134" s="434"/>
      <c r="AZ134" s="434"/>
      <c r="BA134" s="434"/>
      <c r="BB134" s="434"/>
      <c r="BC134" s="434"/>
      <c r="BD134" s="434"/>
      <c r="BE134" s="434"/>
      <c r="BF134" s="434"/>
      <c r="BG134" s="434"/>
      <c r="BH134" s="434"/>
      <c r="BI134" s="434"/>
      <c r="BJ134" s="434"/>
      <c r="BK134" s="434"/>
      <c r="BL134" s="434"/>
      <c r="BM134" s="434"/>
      <c r="BN134" s="434"/>
      <c r="BO134" s="434"/>
      <c r="BP134" s="434"/>
      <c r="BQ134" s="434"/>
      <c r="BR134" s="434"/>
      <c r="BS134" s="434"/>
      <c r="BT134" s="434"/>
      <c r="BU134" s="434"/>
      <c r="BV134" s="434"/>
      <c r="BW134" s="434"/>
      <c r="BX134" s="434"/>
      <c r="BY134" s="434"/>
      <c r="BZ134" s="434"/>
      <c r="CA134" s="434"/>
      <c r="CB134" s="434"/>
      <c r="CC134" s="434"/>
      <c r="CD134" s="434"/>
      <c r="CE134" s="434"/>
      <c r="CF134" s="434"/>
      <c r="CG134" s="434"/>
      <c r="CH134" s="434"/>
      <c r="CI134" s="434"/>
      <c r="CJ134" s="434"/>
      <c r="CK134" s="434"/>
      <c r="CL134" s="434"/>
      <c r="CM134" s="434"/>
      <c r="CN134" s="434"/>
      <c r="CO134" s="434"/>
      <c r="CP134" s="434"/>
      <c r="CQ134" s="434"/>
      <c r="CR134" s="434"/>
      <c r="CS134" s="434"/>
      <c r="CT134" s="434"/>
      <c r="CU134" s="434"/>
      <c r="CV134" s="434"/>
      <c r="CW134" s="434"/>
      <c r="CX134" s="434"/>
      <c r="CY134" s="434"/>
      <c r="CZ134" s="434"/>
      <c r="DA134" s="434"/>
      <c r="DB134" s="434"/>
      <c r="DC134" s="434"/>
      <c r="DD134" s="434"/>
      <c r="DE134" s="434"/>
      <c r="DF134" s="434"/>
      <c r="DG134" s="434"/>
      <c r="DH134" s="434"/>
      <c r="DI134" s="434"/>
      <c r="DJ134" s="434"/>
      <c r="DK134" s="434"/>
      <c r="DL134" s="434"/>
      <c r="DM134" s="434"/>
      <c r="DN134" s="434"/>
      <c r="DO134" s="434"/>
      <c r="DP134" s="434"/>
      <c r="DQ134" s="434"/>
      <c r="DR134" s="434"/>
      <c r="DS134" s="434"/>
      <c r="DT134" s="434"/>
      <c r="DU134" s="434"/>
      <c r="DV134" s="434"/>
      <c r="DW134" s="434"/>
      <c r="DX134" s="434"/>
      <c r="DY134" s="434"/>
      <c r="DZ134" s="434"/>
      <c r="EA134" s="434"/>
      <c r="EB134" s="434"/>
      <c r="EC134" s="434"/>
      <c r="ED134" s="434"/>
      <c r="EE134" s="434"/>
      <c r="EF134" s="434"/>
      <c r="EG134" s="434"/>
      <c r="EH134" s="434"/>
      <c r="EI134" s="434"/>
      <c r="EJ134" s="434"/>
      <c r="EK134" s="434"/>
      <c r="EL134" s="434"/>
      <c r="EM134" s="434"/>
      <c r="EN134" s="434"/>
      <c r="EO134" s="434"/>
      <c r="EP134" s="434"/>
      <c r="EQ134" s="434"/>
      <c r="ER134" s="434"/>
      <c r="ES134" s="434"/>
      <c r="ET134" s="434"/>
      <c r="EU134" s="434"/>
      <c r="EV134" s="434"/>
      <c r="EW134" s="434"/>
      <c r="EX134" s="434"/>
      <c r="EY134" s="434"/>
      <c r="EZ134" s="434"/>
      <c r="FA134" s="434"/>
      <c r="FB134" s="434"/>
      <c r="FC134" s="434"/>
      <c r="FD134" s="434"/>
      <c r="FE134" s="434"/>
      <c r="FF134" s="434"/>
      <c r="FG134" s="434"/>
      <c r="FH134" s="434"/>
      <c r="FI134" s="434"/>
      <c r="FJ134" s="434"/>
      <c r="FK134" s="434"/>
      <c r="FL134" s="434"/>
      <c r="FM134" s="434"/>
      <c r="FN134" s="434"/>
      <c r="FO134" s="434"/>
      <c r="FP134" s="434"/>
      <c r="FQ134" s="434"/>
      <c r="FR134" s="434"/>
      <c r="FS134" s="434"/>
      <c r="FT134" s="434"/>
      <c r="FU134" s="434"/>
      <c r="FV134" s="434"/>
      <c r="FW134" s="434"/>
      <c r="FX134" s="434"/>
      <c r="FY134" s="434"/>
      <c r="FZ134" s="434"/>
      <c r="GA134" s="434"/>
      <c r="GB134" s="434"/>
      <c r="GC134" s="434"/>
      <c r="GD134" s="434"/>
      <c r="GE134" s="434"/>
      <c r="GF134" s="434"/>
      <c r="GG134" s="434"/>
      <c r="GH134" s="434"/>
      <c r="GI134" s="434"/>
      <c r="GJ134" s="434"/>
      <c r="GK134" s="434"/>
      <c r="GL134" s="434"/>
      <c r="GM134" s="434"/>
      <c r="GN134" s="434"/>
    </row>
    <row r="135" spans="1:196" ht="15" customHeight="1">
      <c r="A135" s="206"/>
      <c r="B135" s="43"/>
      <c r="C135" s="43"/>
      <c r="D135" s="1054"/>
      <c r="E135" s="244"/>
      <c r="F135" s="43"/>
      <c r="G135" s="43"/>
      <c r="H135" s="43"/>
      <c r="I135" s="43"/>
      <c r="J135" s="43"/>
      <c r="K135" s="43"/>
      <c r="L135" s="43"/>
      <c r="M135" s="43"/>
      <c r="N135" s="43"/>
      <c r="O135" s="43"/>
      <c r="P135" s="43"/>
      <c r="Q135" s="43"/>
      <c r="R135" s="43"/>
      <c r="S135" s="43"/>
      <c r="T135" s="43"/>
      <c r="U135" s="43"/>
      <c r="V135" s="43"/>
      <c r="W135" s="43"/>
      <c r="X135" s="955"/>
      <c r="Y135" s="43"/>
      <c r="Z135" s="43"/>
      <c r="AA135" s="46"/>
      <c r="AB135" s="1386"/>
      <c r="AC135" s="1387"/>
      <c r="AD135" s="1387"/>
      <c r="AE135" s="434"/>
      <c r="AF135" s="434"/>
      <c r="AG135" s="434"/>
      <c r="AH135" s="434"/>
      <c r="AI135" s="434"/>
      <c r="AJ135" s="434"/>
      <c r="AK135" s="434"/>
      <c r="AL135" s="434"/>
      <c r="AM135" s="434"/>
      <c r="AN135" s="434"/>
      <c r="AO135" s="434"/>
      <c r="AP135" s="434"/>
      <c r="AQ135" s="434"/>
      <c r="AR135" s="434"/>
      <c r="AS135" s="434"/>
      <c r="AT135" s="434"/>
      <c r="AU135" s="434"/>
      <c r="AV135" s="434"/>
      <c r="AW135" s="434"/>
      <c r="AX135" s="434"/>
      <c r="AY135" s="434"/>
      <c r="AZ135" s="434"/>
      <c r="BA135" s="434"/>
      <c r="BB135" s="434"/>
      <c r="BC135" s="434"/>
      <c r="BD135" s="434"/>
      <c r="BE135" s="434"/>
      <c r="BF135" s="434"/>
      <c r="BG135" s="434"/>
      <c r="BH135" s="434"/>
      <c r="BI135" s="434"/>
      <c r="BJ135" s="434"/>
      <c r="BK135" s="434"/>
      <c r="BL135" s="434"/>
      <c r="BM135" s="434"/>
      <c r="BN135" s="434"/>
      <c r="BO135" s="434"/>
      <c r="BP135" s="434"/>
      <c r="BQ135" s="434"/>
      <c r="BR135" s="434"/>
      <c r="BS135" s="434"/>
      <c r="BT135" s="434"/>
      <c r="BU135" s="434"/>
      <c r="BV135" s="434"/>
      <c r="BW135" s="434"/>
      <c r="BX135" s="434"/>
      <c r="BY135" s="434"/>
      <c r="BZ135" s="434"/>
      <c r="CA135" s="434"/>
      <c r="CB135" s="434"/>
      <c r="CC135" s="434"/>
      <c r="CD135" s="434"/>
      <c r="CE135" s="434"/>
      <c r="CF135" s="434"/>
      <c r="CG135" s="434"/>
      <c r="CH135" s="434"/>
      <c r="CI135" s="434"/>
      <c r="CJ135" s="434"/>
      <c r="CK135" s="434"/>
      <c r="CL135" s="434"/>
      <c r="CM135" s="434"/>
      <c r="CN135" s="434"/>
      <c r="CO135" s="434"/>
      <c r="CP135" s="434"/>
      <c r="CQ135" s="434"/>
      <c r="CR135" s="434"/>
      <c r="CS135" s="434"/>
      <c r="CT135" s="434"/>
      <c r="CU135" s="434"/>
      <c r="CV135" s="434"/>
      <c r="CW135" s="434"/>
      <c r="CX135" s="434"/>
      <c r="CY135" s="434"/>
      <c r="CZ135" s="434"/>
      <c r="DA135" s="434"/>
      <c r="DB135" s="434"/>
      <c r="DC135" s="434"/>
      <c r="DD135" s="434"/>
      <c r="DE135" s="434"/>
      <c r="DF135" s="434"/>
      <c r="DG135" s="434"/>
      <c r="DH135" s="434"/>
      <c r="DI135" s="434"/>
      <c r="DJ135" s="434"/>
      <c r="DK135" s="434"/>
      <c r="DL135" s="434"/>
      <c r="DM135" s="434"/>
      <c r="DN135" s="434"/>
      <c r="DO135" s="434"/>
      <c r="DP135" s="434"/>
      <c r="DQ135" s="434"/>
      <c r="DR135" s="434"/>
      <c r="DS135" s="434"/>
      <c r="DT135" s="434"/>
      <c r="DU135" s="434"/>
      <c r="DV135" s="434"/>
      <c r="DW135" s="434"/>
      <c r="DX135" s="434"/>
      <c r="DY135" s="434"/>
      <c r="DZ135" s="434"/>
      <c r="EA135" s="434"/>
      <c r="EB135" s="434"/>
      <c r="EC135" s="434"/>
      <c r="ED135" s="434"/>
      <c r="EE135" s="434"/>
      <c r="EF135" s="434"/>
      <c r="EG135" s="434"/>
      <c r="EH135" s="434"/>
      <c r="EI135" s="434"/>
      <c r="EJ135" s="434"/>
      <c r="EK135" s="434"/>
      <c r="EL135" s="434"/>
      <c r="EM135" s="434"/>
      <c r="EN135" s="434"/>
      <c r="EO135" s="434"/>
      <c r="EP135" s="434"/>
      <c r="EQ135" s="434"/>
      <c r="ER135" s="434"/>
      <c r="ES135" s="434"/>
      <c r="ET135" s="434"/>
      <c r="EU135" s="434"/>
      <c r="EV135" s="434"/>
      <c r="EW135" s="434"/>
      <c r="EX135" s="434"/>
      <c r="EY135" s="434"/>
      <c r="EZ135" s="434"/>
      <c r="FA135" s="434"/>
      <c r="FB135" s="434"/>
      <c r="FC135" s="434"/>
      <c r="FD135" s="434"/>
      <c r="FE135" s="434"/>
      <c r="FF135" s="434"/>
      <c r="FG135" s="434"/>
      <c r="FH135" s="434"/>
      <c r="FI135" s="434"/>
      <c r="FJ135" s="434"/>
      <c r="FK135" s="434"/>
      <c r="FL135" s="434"/>
      <c r="FM135" s="434"/>
      <c r="FN135" s="434"/>
      <c r="FO135" s="434"/>
      <c r="FP135" s="434"/>
      <c r="FQ135" s="434"/>
      <c r="FR135" s="434"/>
      <c r="FS135" s="434"/>
      <c r="FT135" s="434"/>
      <c r="FU135" s="434"/>
      <c r="FV135" s="434"/>
      <c r="FW135" s="434"/>
      <c r="FX135" s="434"/>
      <c r="FY135" s="434"/>
      <c r="FZ135" s="434"/>
      <c r="GA135" s="434"/>
      <c r="GB135" s="434"/>
      <c r="GC135" s="434"/>
      <c r="GD135" s="434"/>
      <c r="GE135" s="434"/>
      <c r="GF135" s="434"/>
      <c r="GG135" s="434"/>
      <c r="GH135" s="434"/>
      <c r="GI135" s="434"/>
      <c r="GJ135" s="434"/>
      <c r="GK135" s="434"/>
      <c r="GL135" s="434"/>
      <c r="GM135" s="434"/>
      <c r="GN135" s="434"/>
    </row>
    <row r="136" spans="1:196" ht="15" customHeight="1">
      <c r="A136" s="1099"/>
      <c r="B136" s="434"/>
      <c r="C136" s="434"/>
      <c r="D136" s="1100"/>
      <c r="E136" s="1386"/>
      <c r="F136" s="434"/>
      <c r="G136" s="434"/>
      <c r="H136" s="434"/>
      <c r="I136" s="434"/>
      <c r="J136" s="434"/>
      <c r="K136" s="434"/>
      <c r="L136" s="434"/>
      <c r="M136" s="434"/>
      <c r="N136" s="434"/>
      <c r="O136" s="434"/>
      <c r="P136" s="434"/>
      <c r="Q136" s="434"/>
      <c r="R136" s="434"/>
      <c r="S136" s="434"/>
      <c r="T136" s="434"/>
      <c r="U136" s="434"/>
      <c r="V136" s="434"/>
      <c r="W136" s="434"/>
      <c r="X136" s="1389"/>
      <c r="Y136" s="434"/>
      <c r="Z136" s="434"/>
      <c r="AA136" s="1390"/>
      <c r="AB136" s="1386"/>
      <c r="AC136" s="1387"/>
      <c r="AD136" s="1387"/>
      <c r="AE136" s="434"/>
      <c r="AF136" s="434"/>
      <c r="AG136" s="434"/>
      <c r="AH136" s="434"/>
      <c r="AI136" s="434"/>
      <c r="AJ136" s="434"/>
      <c r="AK136" s="434"/>
      <c r="AL136" s="434"/>
      <c r="AM136" s="434"/>
      <c r="AN136" s="434"/>
      <c r="AO136" s="434"/>
      <c r="AP136" s="434"/>
      <c r="AQ136" s="434"/>
      <c r="AR136" s="434"/>
      <c r="AS136" s="434"/>
      <c r="AT136" s="434"/>
      <c r="AU136" s="434"/>
      <c r="AV136" s="434"/>
      <c r="AW136" s="434"/>
      <c r="AX136" s="434"/>
      <c r="AY136" s="434"/>
      <c r="AZ136" s="434"/>
      <c r="BA136" s="434"/>
      <c r="BB136" s="434"/>
      <c r="BC136" s="434"/>
      <c r="BD136" s="434"/>
      <c r="BE136" s="434"/>
      <c r="BF136" s="434"/>
      <c r="BG136" s="434"/>
      <c r="BH136" s="434"/>
      <c r="BI136" s="434"/>
      <c r="BJ136" s="434"/>
      <c r="BK136" s="434"/>
      <c r="BL136" s="434"/>
      <c r="BM136" s="434"/>
      <c r="BN136" s="434"/>
      <c r="BO136" s="434"/>
      <c r="BP136" s="434"/>
      <c r="BQ136" s="434"/>
      <c r="BR136" s="434"/>
      <c r="BS136" s="434"/>
      <c r="BT136" s="434"/>
      <c r="BU136" s="434"/>
      <c r="BV136" s="434"/>
      <c r="BW136" s="434"/>
      <c r="BX136" s="434"/>
      <c r="BY136" s="434"/>
      <c r="BZ136" s="434"/>
      <c r="CA136" s="434"/>
      <c r="CB136" s="434"/>
      <c r="CC136" s="434"/>
      <c r="CD136" s="434"/>
      <c r="CE136" s="434"/>
      <c r="CF136" s="434"/>
      <c r="CG136" s="434"/>
      <c r="CH136" s="434"/>
      <c r="CI136" s="434"/>
      <c r="CJ136" s="434"/>
      <c r="CK136" s="434"/>
      <c r="CL136" s="434"/>
      <c r="CM136" s="434"/>
      <c r="CN136" s="434"/>
      <c r="CO136" s="434"/>
      <c r="CP136" s="434"/>
      <c r="CQ136" s="434"/>
      <c r="CR136" s="434"/>
      <c r="CS136" s="434"/>
      <c r="CT136" s="434"/>
      <c r="CU136" s="434"/>
      <c r="CV136" s="434"/>
      <c r="CW136" s="434"/>
      <c r="CX136" s="434"/>
      <c r="CY136" s="434"/>
      <c r="CZ136" s="434"/>
      <c r="DA136" s="434"/>
      <c r="DB136" s="434"/>
      <c r="DC136" s="434"/>
      <c r="DD136" s="434"/>
      <c r="DE136" s="434"/>
      <c r="DF136" s="434"/>
      <c r="DG136" s="434"/>
      <c r="DH136" s="434"/>
      <c r="DI136" s="434"/>
      <c r="DJ136" s="434"/>
      <c r="DK136" s="434"/>
      <c r="DL136" s="434"/>
      <c r="DM136" s="434"/>
      <c r="DN136" s="434"/>
      <c r="DO136" s="434"/>
      <c r="DP136" s="434"/>
      <c r="DQ136" s="434"/>
      <c r="DR136" s="434"/>
      <c r="DS136" s="434"/>
      <c r="DT136" s="434"/>
      <c r="DU136" s="434"/>
      <c r="DV136" s="434"/>
      <c r="DW136" s="434"/>
      <c r="DX136" s="434"/>
      <c r="DY136" s="434"/>
      <c r="DZ136" s="434"/>
      <c r="EA136" s="434"/>
      <c r="EB136" s="434"/>
      <c r="EC136" s="434"/>
      <c r="ED136" s="434"/>
      <c r="EE136" s="434"/>
      <c r="EF136" s="434"/>
      <c r="EG136" s="434"/>
      <c r="EH136" s="434"/>
      <c r="EI136" s="434"/>
      <c r="EJ136" s="434"/>
      <c r="EK136" s="434"/>
      <c r="EL136" s="434"/>
      <c r="EM136" s="434"/>
      <c r="EN136" s="434"/>
      <c r="EO136" s="434"/>
      <c r="EP136" s="434"/>
      <c r="EQ136" s="434"/>
      <c r="ER136" s="434"/>
      <c r="ES136" s="434"/>
      <c r="ET136" s="434"/>
      <c r="EU136" s="434"/>
      <c r="EV136" s="434"/>
      <c r="EW136" s="434"/>
      <c r="EX136" s="434"/>
      <c r="EY136" s="434"/>
      <c r="EZ136" s="434"/>
      <c r="FA136" s="434"/>
      <c r="FB136" s="434"/>
      <c r="FC136" s="434"/>
      <c r="FD136" s="434"/>
      <c r="FE136" s="434"/>
      <c r="FF136" s="434"/>
      <c r="FG136" s="434"/>
      <c r="FH136" s="434"/>
      <c r="FI136" s="434"/>
      <c r="FJ136" s="434"/>
      <c r="FK136" s="434"/>
      <c r="FL136" s="434"/>
      <c r="FM136" s="434"/>
      <c r="FN136" s="434"/>
      <c r="FO136" s="434"/>
      <c r="FP136" s="434"/>
      <c r="FQ136" s="434"/>
      <c r="FR136" s="434"/>
      <c r="FS136" s="434"/>
      <c r="FT136" s="434"/>
      <c r="FU136" s="434"/>
      <c r="FV136" s="434"/>
      <c r="FW136" s="434"/>
      <c r="FX136" s="434"/>
      <c r="FY136" s="434"/>
      <c r="FZ136" s="434"/>
      <c r="GA136" s="434"/>
      <c r="GB136" s="434"/>
      <c r="GC136" s="434"/>
      <c r="GD136" s="434"/>
      <c r="GE136" s="434"/>
      <c r="GF136" s="434"/>
      <c r="GG136" s="434"/>
      <c r="GH136" s="434"/>
      <c r="GI136" s="434"/>
      <c r="GJ136" s="434"/>
      <c r="GK136" s="434"/>
      <c r="GL136" s="434"/>
      <c r="GM136" s="434"/>
      <c r="GN136" s="4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C3EFB-2599-49BB-BDA2-BFD0C40CF6FD}">
  <sheetPr>
    <outlinePr summaryBelow="0" summaryRight="0"/>
  </sheetPr>
  <dimension ref="A1:AA74"/>
  <sheetViews>
    <sheetView workbookViewId="0">
      <selection activeCell="D2" sqref="D2:I2"/>
    </sheetView>
  </sheetViews>
  <sheetFormatPr defaultColWidth="14.42578125" defaultRowHeight="15" customHeight="1"/>
  <cols>
    <col min="1" max="1" width="11.140625" style="5" customWidth="1"/>
    <col min="2" max="2" width="6.28515625" style="5" customWidth="1"/>
    <col min="3" max="3" width="11" style="5" customWidth="1"/>
    <col min="4" max="4" width="32.7109375" style="5" customWidth="1"/>
    <col min="5" max="5" width="6.42578125" style="5" customWidth="1"/>
    <col min="6" max="6" width="21.42578125" style="5" customWidth="1"/>
    <col min="7" max="7" width="12.5703125" style="5" customWidth="1"/>
    <col min="8" max="8" width="13.42578125" style="5" customWidth="1"/>
    <col min="9" max="9" width="19.5703125" style="5" customWidth="1"/>
    <col min="10" max="10" width="12.7109375" style="5" customWidth="1"/>
    <col min="11" max="11" width="41.140625" style="5" customWidth="1"/>
    <col min="12" max="12" width="12" style="5" customWidth="1"/>
    <col min="13" max="13" width="33.42578125" style="5" customWidth="1"/>
    <col min="14" max="14" width="14.42578125" style="5"/>
    <col min="15" max="15" width="14.5703125" style="5" customWidth="1"/>
    <col min="16" max="16" width="24.5703125" style="5" customWidth="1"/>
    <col min="17" max="17" width="12" style="5" customWidth="1"/>
    <col min="18" max="18" width="19.140625" style="5" customWidth="1"/>
    <col min="19" max="19" width="22.140625" style="5" customWidth="1"/>
    <col min="20" max="20" width="25.140625" style="5" customWidth="1"/>
    <col min="21" max="21" width="8.85546875" style="5" customWidth="1"/>
    <col min="22" max="22" width="12" style="5" customWidth="1"/>
    <col min="23" max="23" width="13.85546875" style="5" customWidth="1"/>
    <col min="24" max="16384" width="14.42578125" style="5"/>
  </cols>
  <sheetData>
    <row r="1" spans="1:27" customFormat="1">
      <c r="A1" s="1"/>
      <c r="B1" s="1"/>
      <c r="C1" s="1"/>
      <c r="D1" s="2"/>
      <c r="E1" s="1"/>
      <c r="F1" s="1"/>
      <c r="G1" s="1"/>
      <c r="H1" s="3"/>
      <c r="I1" s="1"/>
      <c r="J1" s="1"/>
      <c r="K1" s="2"/>
      <c r="L1" s="1"/>
      <c r="M1" s="2"/>
      <c r="N1" s="2"/>
      <c r="O1" s="2"/>
      <c r="P1" s="1"/>
      <c r="Q1" s="1"/>
      <c r="R1" s="1"/>
      <c r="S1" s="2"/>
      <c r="T1" s="2"/>
      <c r="U1" s="1"/>
      <c r="V1" s="1"/>
      <c r="W1" s="1"/>
      <c r="X1" s="2"/>
      <c r="Y1" s="2"/>
      <c r="Z1" s="2"/>
      <c r="AA1" s="2"/>
    </row>
    <row r="2" spans="1:27" customFormat="1" ht="26.25">
      <c r="A2" s="1"/>
      <c r="B2" s="1"/>
      <c r="C2" s="1"/>
      <c r="D2" s="1483" t="s">
        <v>6211</v>
      </c>
      <c r="E2" s="1483"/>
      <c r="F2" s="1483"/>
      <c r="G2" s="1483"/>
      <c r="H2" s="1483"/>
      <c r="I2" s="1483"/>
      <c r="J2" s="1"/>
      <c r="K2" s="2"/>
      <c r="L2" s="1"/>
      <c r="M2" s="2"/>
      <c r="N2" s="2"/>
      <c r="O2" s="2"/>
      <c r="P2" s="1"/>
      <c r="Q2" s="1"/>
      <c r="R2" s="1"/>
      <c r="S2" s="2"/>
      <c r="T2" s="2"/>
      <c r="U2" s="1"/>
      <c r="V2" s="1"/>
      <c r="W2" s="1"/>
      <c r="X2" s="2"/>
      <c r="Y2" s="2"/>
      <c r="Z2" s="2"/>
      <c r="AA2" s="2"/>
    </row>
    <row r="3" spans="1:27" customFormat="1">
      <c r="A3" s="1"/>
      <c r="B3" s="1"/>
      <c r="C3" s="1"/>
      <c r="D3" s="2"/>
      <c r="E3" s="1"/>
      <c r="F3" s="1"/>
      <c r="G3" s="1"/>
      <c r="H3" s="3"/>
      <c r="I3" s="1"/>
      <c r="J3" s="1"/>
      <c r="K3" s="2"/>
      <c r="L3" s="1"/>
      <c r="M3" s="2"/>
      <c r="N3" s="2"/>
      <c r="O3" s="2"/>
      <c r="P3" s="1"/>
      <c r="Q3" s="1"/>
      <c r="R3" s="1"/>
      <c r="S3" s="2"/>
      <c r="T3" s="2"/>
      <c r="U3" s="1"/>
      <c r="V3" s="1"/>
      <c r="W3" s="1"/>
      <c r="X3" s="2"/>
      <c r="Y3" s="2"/>
      <c r="Z3" s="2"/>
      <c r="AA3" s="2"/>
    </row>
    <row r="4" spans="1:27" customFormat="1" ht="15" customHeight="1">
      <c r="A4" s="6" t="s">
        <v>186</v>
      </c>
      <c r="B4" s="6" t="s">
        <v>187</v>
      </c>
      <c r="C4" s="6" t="s">
        <v>189</v>
      </c>
      <c r="D4" s="7" t="s">
        <v>190</v>
      </c>
      <c r="E4" s="6" t="s">
        <v>191</v>
      </c>
      <c r="F4" s="7" t="s">
        <v>192</v>
      </c>
      <c r="G4" s="6" t="s">
        <v>193</v>
      </c>
      <c r="H4" s="6" t="s">
        <v>3099</v>
      </c>
      <c r="I4" s="6" t="s">
        <v>195</v>
      </c>
      <c r="J4" s="8" t="s">
        <v>196</v>
      </c>
      <c r="K4" s="7" t="s">
        <v>197</v>
      </c>
      <c r="L4" s="9"/>
      <c r="M4" s="7" t="s">
        <v>199</v>
      </c>
      <c r="N4" s="4" t="s">
        <v>6212</v>
      </c>
      <c r="O4" s="4" t="s">
        <v>203</v>
      </c>
      <c r="P4" s="4" t="s">
        <v>204</v>
      </c>
      <c r="Q4" s="10" t="s">
        <v>205</v>
      </c>
      <c r="R4" s="10" t="s">
        <v>199</v>
      </c>
      <c r="S4" s="4" t="s">
        <v>5854</v>
      </c>
      <c r="T4" s="4" t="s">
        <v>208</v>
      </c>
      <c r="U4" s="11" t="s">
        <v>205</v>
      </c>
      <c r="V4" s="10" t="s">
        <v>199</v>
      </c>
      <c r="W4" s="10" t="s">
        <v>5857</v>
      </c>
      <c r="X4" s="4" t="s">
        <v>5858</v>
      </c>
      <c r="Y4" s="4" t="s">
        <v>5859</v>
      </c>
      <c r="Z4" s="4" t="s">
        <v>5860</v>
      </c>
      <c r="AA4" s="4" t="s">
        <v>5861</v>
      </c>
    </row>
    <row r="5" spans="1:27" ht="1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ht="1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ht="1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ht="1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ht="15" customHeight="1">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ht="1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1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1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ht="1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1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sheetData>
  <mergeCells count="1">
    <mergeCell ref="D2:I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1A834-9535-475E-9575-0B4B6EAE9356}">
  <sheetPr>
    <outlinePr summaryBelow="0" summaryRight="0"/>
  </sheetPr>
  <dimension ref="A1:AA74"/>
  <sheetViews>
    <sheetView workbookViewId="0">
      <selection activeCell="D2" sqref="D2:I2"/>
    </sheetView>
  </sheetViews>
  <sheetFormatPr defaultColWidth="14.42578125" defaultRowHeight="15" customHeight="1"/>
  <cols>
    <col min="1" max="1" width="11.140625" style="5" customWidth="1"/>
    <col min="2" max="2" width="6.28515625" style="5" customWidth="1"/>
    <col min="3" max="3" width="11" style="5" customWidth="1"/>
    <col min="4" max="4" width="32.7109375" style="5" customWidth="1"/>
    <col min="5" max="5" width="6.42578125" style="5" customWidth="1"/>
    <col min="6" max="6" width="21.42578125" style="5" customWidth="1"/>
    <col min="7" max="7" width="12.5703125" style="5" customWidth="1"/>
    <col min="8" max="8" width="13.42578125" style="5" customWidth="1"/>
    <col min="9" max="9" width="19.5703125" style="5" customWidth="1"/>
    <col min="10" max="10" width="12.7109375" style="5" customWidth="1"/>
    <col min="11" max="11" width="41.140625" style="5" customWidth="1"/>
    <col min="12" max="12" width="12" style="5" customWidth="1"/>
    <col min="13" max="13" width="33.42578125" style="5" customWidth="1"/>
    <col min="14" max="14" width="14.42578125" style="5"/>
    <col min="15" max="15" width="14.5703125" style="5" customWidth="1"/>
    <col min="16" max="16" width="24.5703125" style="5" customWidth="1"/>
    <col min="17" max="17" width="12" style="5" customWidth="1"/>
    <col min="18" max="18" width="19.140625" style="5" customWidth="1"/>
    <col min="19" max="19" width="22.140625" style="5" customWidth="1"/>
    <col min="20" max="20" width="25.140625" style="5" customWidth="1"/>
    <col min="21" max="21" width="8.85546875" style="5" customWidth="1"/>
    <col min="22" max="22" width="12" style="5" customWidth="1"/>
    <col min="23" max="23" width="13.85546875" style="5" customWidth="1"/>
    <col min="24" max="16384" width="14.42578125" style="5"/>
  </cols>
  <sheetData>
    <row r="1" spans="1:27" customFormat="1">
      <c r="A1" s="1"/>
      <c r="B1" s="1"/>
      <c r="C1" s="1"/>
      <c r="D1" s="2"/>
      <c r="E1" s="1"/>
      <c r="F1" s="1"/>
      <c r="G1" s="1"/>
      <c r="H1" s="3"/>
      <c r="I1" s="1"/>
      <c r="J1" s="1"/>
      <c r="K1" s="2"/>
      <c r="L1" s="1"/>
      <c r="M1" s="2"/>
      <c r="N1" s="2"/>
      <c r="O1" s="2"/>
      <c r="P1" s="1"/>
      <c r="Q1" s="1"/>
      <c r="R1" s="1"/>
      <c r="S1" s="2"/>
      <c r="T1" s="2"/>
      <c r="U1" s="1"/>
      <c r="V1" s="1"/>
      <c r="W1" s="1"/>
      <c r="X1" s="2"/>
      <c r="Y1" s="2"/>
      <c r="Z1" s="2"/>
      <c r="AA1" s="2"/>
    </row>
    <row r="2" spans="1:27" customFormat="1" ht="26.25">
      <c r="A2" s="1"/>
      <c r="B2" s="1"/>
      <c r="C2" s="1"/>
      <c r="D2" s="1483" t="s">
        <v>6211</v>
      </c>
      <c r="E2" s="1483"/>
      <c r="F2" s="1483"/>
      <c r="G2" s="1483"/>
      <c r="H2" s="1483"/>
      <c r="I2" s="1483"/>
      <c r="J2" s="1"/>
      <c r="K2" s="2"/>
      <c r="L2" s="1"/>
      <c r="M2" s="2"/>
      <c r="N2" s="2"/>
      <c r="O2" s="2"/>
      <c r="P2" s="1"/>
      <c r="Q2" s="1"/>
      <c r="R2" s="1"/>
      <c r="S2" s="2"/>
      <c r="T2" s="2"/>
      <c r="U2" s="1"/>
      <c r="V2" s="1"/>
      <c r="W2" s="1"/>
      <c r="X2" s="2"/>
      <c r="Y2" s="2"/>
      <c r="Z2" s="2"/>
      <c r="AA2" s="2"/>
    </row>
    <row r="3" spans="1:27" customFormat="1">
      <c r="A3" s="1"/>
      <c r="B3" s="1"/>
      <c r="C3" s="1"/>
      <c r="D3" s="2"/>
      <c r="E3" s="1"/>
      <c r="F3" s="1"/>
      <c r="G3" s="1"/>
      <c r="H3" s="3"/>
      <c r="I3" s="1"/>
      <c r="J3" s="1"/>
      <c r="K3" s="2"/>
      <c r="L3" s="1"/>
      <c r="M3" s="2"/>
      <c r="N3" s="2"/>
      <c r="O3" s="2"/>
      <c r="P3" s="1"/>
      <c r="Q3" s="1"/>
      <c r="R3" s="1"/>
      <c r="S3" s="2"/>
      <c r="T3" s="2"/>
      <c r="U3" s="1"/>
      <c r="V3" s="1"/>
      <c r="W3" s="1"/>
      <c r="X3" s="2"/>
      <c r="Y3" s="2"/>
      <c r="Z3" s="2"/>
      <c r="AA3" s="2"/>
    </row>
    <row r="4" spans="1:27" customFormat="1" ht="15" customHeight="1">
      <c r="A4" s="6" t="s">
        <v>186</v>
      </c>
      <c r="B4" s="6" t="s">
        <v>187</v>
      </c>
      <c r="C4" s="6" t="s">
        <v>189</v>
      </c>
      <c r="D4" s="7" t="s">
        <v>190</v>
      </c>
      <c r="E4" s="6" t="s">
        <v>191</v>
      </c>
      <c r="F4" s="7" t="s">
        <v>192</v>
      </c>
      <c r="G4" s="6" t="s">
        <v>193</v>
      </c>
      <c r="H4" s="6" t="s">
        <v>3099</v>
      </c>
      <c r="I4" s="6" t="s">
        <v>195</v>
      </c>
      <c r="J4" s="8" t="s">
        <v>196</v>
      </c>
      <c r="K4" s="7" t="s">
        <v>197</v>
      </c>
      <c r="L4" s="9"/>
      <c r="M4" s="7" t="s">
        <v>199</v>
      </c>
      <c r="N4" s="4" t="s">
        <v>6212</v>
      </c>
      <c r="O4" s="4" t="s">
        <v>203</v>
      </c>
      <c r="P4" s="4" t="s">
        <v>204</v>
      </c>
      <c r="Q4" s="10" t="s">
        <v>205</v>
      </c>
      <c r="R4" s="10" t="s">
        <v>199</v>
      </c>
      <c r="S4" s="4" t="s">
        <v>5854</v>
      </c>
      <c r="T4" s="4" t="s">
        <v>208</v>
      </c>
      <c r="U4" s="11" t="s">
        <v>205</v>
      </c>
      <c r="V4" s="10" t="s">
        <v>199</v>
      </c>
      <c r="W4" s="10" t="s">
        <v>5857</v>
      </c>
      <c r="X4" s="4" t="s">
        <v>5858</v>
      </c>
      <c r="Y4" s="4" t="s">
        <v>5859</v>
      </c>
      <c r="Z4" s="4" t="s">
        <v>5860</v>
      </c>
      <c r="AA4" s="4" t="s">
        <v>5861</v>
      </c>
    </row>
    <row r="5" spans="1:27" ht="1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ht="1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ht="1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ht="1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ht="15" customHeight="1">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ht="1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1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1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ht="1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1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sheetData>
  <mergeCells count="1">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EF96-C872-4BE5-ADEC-3630BD3637E8}">
  <sheetPr>
    <outlinePr summaryBelow="0" summaryRight="0"/>
  </sheetPr>
  <dimension ref="A1:AA74"/>
  <sheetViews>
    <sheetView workbookViewId="0">
      <selection activeCell="H18" sqref="H18"/>
    </sheetView>
  </sheetViews>
  <sheetFormatPr defaultColWidth="14.42578125" defaultRowHeight="15" customHeight="1"/>
  <cols>
    <col min="1" max="1" width="11.140625" style="5" customWidth="1"/>
    <col min="2" max="2" width="6.28515625" style="5" customWidth="1"/>
    <col min="3" max="3" width="11" style="5" customWidth="1"/>
    <col min="4" max="4" width="32.7109375" style="5" customWidth="1"/>
    <col min="5" max="5" width="6.42578125" style="5" customWidth="1"/>
    <col min="6" max="6" width="21.42578125" style="5" customWidth="1"/>
    <col min="7" max="7" width="12.5703125" style="5" customWidth="1"/>
    <col min="8" max="8" width="13.42578125" style="5" customWidth="1"/>
    <col min="9" max="9" width="19.5703125" style="5" customWidth="1"/>
    <col min="10" max="10" width="12.7109375" style="5" customWidth="1"/>
    <col min="11" max="11" width="41.140625" style="5" customWidth="1"/>
    <col min="12" max="12" width="12" style="5" customWidth="1"/>
    <col min="13" max="13" width="33.42578125" style="5" customWidth="1"/>
    <col min="14" max="14" width="14.42578125" style="5"/>
    <col min="15" max="15" width="14.5703125" style="5" customWidth="1"/>
    <col min="16" max="16" width="24.5703125" style="5" customWidth="1"/>
    <col min="17" max="17" width="12" style="5" customWidth="1"/>
    <col min="18" max="18" width="19.140625" style="5" customWidth="1"/>
    <col min="19" max="19" width="22.140625" style="5" customWidth="1"/>
    <col min="20" max="20" width="25.140625" style="5" customWidth="1"/>
    <col min="21" max="21" width="8.85546875" style="5" customWidth="1"/>
    <col min="22" max="22" width="12" style="5" customWidth="1"/>
    <col min="23" max="23" width="13.85546875" style="5" customWidth="1"/>
    <col min="24" max="16384" width="14.42578125" style="5"/>
  </cols>
  <sheetData>
    <row r="1" spans="1:27" customFormat="1">
      <c r="A1" s="1"/>
      <c r="B1" s="1"/>
      <c r="C1" s="1"/>
      <c r="D1" s="2"/>
      <c r="E1" s="1"/>
      <c r="F1" s="1"/>
      <c r="G1" s="1"/>
      <c r="H1" s="3"/>
      <c r="I1" s="1"/>
      <c r="J1" s="1"/>
      <c r="K1" s="2"/>
      <c r="L1" s="1"/>
      <c r="M1" s="2"/>
      <c r="N1" s="2"/>
      <c r="O1" s="2"/>
      <c r="P1" s="1"/>
      <c r="Q1" s="1"/>
      <c r="R1" s="1"/>
      <c r="S1" s="2"/>
      <c r="T1" s="2"/>
      <c r="U1" s="1"/>
      <c r="V1" s="1"/>
      <c r="W1" s="1"/>
      <c r="X1" s="2"/>
      <c r="Y1" s="2"/>
      <c r="Z1" s="2"/>
      <c r="AA1" s="2"/>
    </row>
    <row r="2" spans="1:27" customFormat="1" ht="26.25">
      <c r="A2" s="1"/>
      <c r="B2" s="1"/>
      <c r="C2" s="1"/>
      <c r="D2" s="1483" t="s">
        <v>6211</v>
      </c>
      <c r="E2" s="1483"/>
      <c r="F2" s="1483"/>
      <c r="G2" s="1483"/>
      <c r="H2" s="1483"/>
      <c r="I2" s="1483"/>
      <c r="J2" s="1"/>
      <c r="K2" s="2"/>
      <c r="L2" s="1"/>
      <c r="M2" s="2"/>
      <c r="N2" s="2"/>
      <c r="O2" s="2"/>
      <c r="P2" s="1"/>
      <c r="Q2" s="1"/>
      <c r="R2" s="1"/>
      <c r="S2" s="2"/>
      <c r="T2" s="2"/>
      <c r="U2" s="1"/>
      <c r="V2" s="1"/>
      <c r="W2" s="1"/>
      <c r="X2" s="2"/>
      <c r="Y2" s="2"/>
      <c r="Z2" s="2"/>
      <c r="AA2" s="2"/>
    </row>
    <row r="3" spans="1:27" customFormat="1">
      <c r="A3" s="1"/>
      <c r="B3" s="1"/>
      <c r="C3" s="1"/>
      <c r="D3" s="2"/>
      <c r="E3" s="1"/>
      <c r="F3" s="1"/>
      <c r="G3" s="1"/>
      <c r="H3" s="3"/>
      <c r="I3" s="1"/>
      <c r="J3" s="1"/>
      <c r="K3" s="2"/>
      <c r="L3" s="1"/>
      <c r="M3" s="2"/>
      <c r="N3" s="2"/>
      <c r="O3" s="2"/>
      <c r="P3" s="1"/>
      <c r="Q3" s="1"/>
      <c r="R3" s="1"/>
      <c r="S3" s="2"/>
      <c r="T3" s="2"/>
      <c r="U3" s="1"/>
      <c r="V3" s="1"/>
      <c r="W3" s="1"/>
      <c r="X3" s="2"/>
      <c r="Y3" s="2"/>
      <c r="Z3" s="2"/>
      <c r="AA3" s="2"/>
    </row>
    <row r="4" spans="1:27" customFormat="1" ht="15" customHeight="1">
      <c r="A4" s="6" t="s">
        <v>186</v>
      </c>
      <c r="B4" s="6" t="s">
        <v>187</v>
      </c>
      <c r="C4" s="6" t="s">
        <v>189</v>
      </c>
      <c r="D4" s="7" t="s">
        <v>190</v>
      </c>
      <c r="E4" s="6" t="s">
        <v>191</v>
      </c>
      <c r="F4" s="7" t="s">
        <v>192</v>
      </c>
      <c r="G4" s="6" t="s">
        <v>193</v>
      </c>
      <c r="H4" s="6" t="s">
        <v>3099</v>
      </c>
      <c r="I4" s="6" t="s">
        <v>195</v>
      </c>
      <c r="J4" s="8" t="s">
        <v>196</v>
      </c>
      <c r="K4" s="7" t="s">
        <v>197</v>
      </c>
      <c r="L4" s="9"/>
      <c r="M4" s="7" t="s">
        <v>199</v>
      </c>
      <c r="N4" s="4" t="s">
        <v>6212</v>
      </c>
      <c r="O4" s="4" t="s">
        <v>203</v>
      </c>
      <c r="P4" s="4" t="s">
        <v>204</v>
      </c>
      <c r="Q4" s="10" t="s">
        <v>205</v>
      </c>
      <c r="R4" s="10" t="s">
        <v>199</v>
      </c>
      <c r="S4" s="4" t="s">
        <v>5854</v>
      </c>
      <c r="T4" s="4" t="s">
        <v>208</v>
      </c>
      <c r="U4" s="11" t="s">
        <v>205</v>
      </c>
      <c r="V4" s="10" t="s">
        <v>199</v>
      </c>
      <c r="W4" s="10" t="s">
        <v>5857</v>
      </c>
      <c r="X4" s="4" t="s">
        <v>5858</v>
      </c>
      <c r="Y4" s="4" t="s">
        <v>5859</v>
      </c>
      <c r="Z4" s="4" t="s">
        <v>5860</v>
      </c>
      <c r="AA4" s="4" t="s">
        <v>5861</v>
      </c>
    </row>
    <row r="5" spans="1:27" ht="1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ht="1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ht="1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ht="1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ht="15" customHeight="1">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ht="1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1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1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ht="1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1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sheetData>
  <mergeCells count="1">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CCBD-6C83-44D8-82AF-CA9AB247955D}">
  <sheetPr>
    <outlinePr summaryBelow="0" summaryRight="0"/>
  </sheetPr>
  <dimension ref="A1:AA74"/>
  <sheetViews>
    <sheetView workbookViewId="0">
      <selection activeCell="D2" sqref="D2:I2"/>
    </sheetView>
  </sheetViews>
  <sheetFormatPr defaultColWidth="14.42578125" defaultRowHeight="15" customHeight="1"/>
  <cols>
    <col min="1" max="1" width="11.140625" style="5" customWidth="1"/>
    <col min="2" max="2" width="6.28515625" style="5" customWidth="1"/>
    <col min="3" max="3" width="11" style="5" customWidth="1"/>
    <col min="4" max="4" width="32.7109375" style="5" customWidth="1"/>
    <col min="5" max="5" width="6.42578125" style="5" customWidth="1"/>
    <col min="6" max="6" width="21.42578125" style="5" customWidth="1"/>
    <col min="7" max="7" width="12.5703125" style="5" customWidth="1"/>
    <col min="8" max="8" width="13.42578125" style="5" customWidth="1"/>
    <col min="9" max="9" width="19.5703125" style="5" customWidth="1"/>
    <col min="10" max="10" width="12.7109375" style="5" customWidth="1"/>
    <col min="11" max="11" width="41.140625" style="5" customWidth="1"/>
    <col min="12" max="12" width="12" style="5" customWidth="1"/>
    <col min="13" max="13" width="33.42578125" style="5" customWidth="1"/>
    <col min="14" max="14" width="14.42578125" style="5"/>
    <col min="15" max="15" width="14.5703125" style="5" customWidth="1"/>
    <col min="16" max="16" width="24.5703125" style="5" customWidth="1"/>
    <col min="17" max="17" width="12" style="5" customWidth="1"/>
    <col min="18" max="18" width="19.140625" style="5" customWidth="1"/>
    <col min="19" max="19" width="22.140625" style="5" customWidth="1"/>
    <col min="20" max="20" width="25.140625" style="5" customWidth="1"/>
    <col min="21" max="21" width="8.85546875" style="5" customWidth="1"/>
    <col min="22" max="22" width="12" style="5" customWidth="1"/>
    <col min="23" max="23" width="13.85546875" style="5" customWidth="1"/>
    <col min="24" max="16384" width="14.42578125" style="5"/>
  </cols>
  <sheetData>
    <row r="1" spans="1:27" customFormat="1">
      <c r="A1" s="1"/>
      <c r="B1" s="1"/>
      <c r="C1" s="1"/>
      <c r="D1" s="2"/>
      <c r="E1" s="1"/>
      <c r="F1" s="1"/>
      <c r="G1" s="1"/>
      <c r="H1" s="3"/>
      <c r="I1" s="1"/>
      <c r="J1" s="1"/>
      <c r="K1" s="2"/>
      <c r="L1" s="1"/>
      <c r="M1" s="2"/>
      <c r="N1" s="2"/>
      <c r="O1" s="2"/>
      <c r="P1" s="1"/>
      <c r="Q1" s="1"/>
      <c r="R1" s="1"/>
      <c r="S1" s="2"/>
      <c r="T1" s="2"/>
      <c r="U1" s="1"/>
      <c r="V1" s="1"/>
      <c r="W1" s="1"/>
      <c r="X1" s="2"/>
      <c r="Y1" s="2"/>
      <c r="Z1" s="2"/>
      <c r="AA1" s="2"/>
    </row>
    <row r="2" spans="1:27" customFormat="1" ht="26.25">
      <c r="A2" s="1"/>
      <c r="B2" s="1"/>
      <c r="C2" s="1"/>
      <c r="D2" s="1483" t="s">
        <v>6211</v>
      </c>
      <c r="E2" s="1483"/>
      <c r="F2" s="1483"/>
      <c r="G2" s="1483"/>
      <c r="H2" s="1483"/>
      <c r="I2" s="1483"/>
      <c r="J2" s="1"/>
      <c r="K2" s="2"/>
      <c r="L2" s="1"/>
      <c r="M2" s="2"/>
      <c r="N2" s="2"/>
      <c r="O2" s="2"/>
      <c r="P2" s="1"/>
      <c r="Q2" s="1"/>
      <c r="R2" s="1"/>
      <c r="S2" s="2"/>
      <c r="T2" s="2"/>
      <c r="U2" s="1"/>
      <c r="V2" s="1"/>
      <c r="W2" s="1"/>
      <c r="X2" s="2"/>
      <c r="Y2" s="2"/>
      <c r="Z2" s="2"/>
      <c r="AA2" s="2"/>
    </row>
    <row r="3" spans="1:27" customFormat="1">
      <c r="A3" s="1"/>
      <c r="B3" s="1"/>
      <c r="C3" s="1"/>
      <c r="D3" s="2"/>
      <c r="E3" s="1"/>
      <c r="F3" s="1"/>
      <c r="G3" s="1"/>
      <c r="H3" s="3"/>
      <c r="I3" s="1"/>
      <c r="J3" s="1"/>
      <c r="K3" s="2"/>
      <c r="L3" s="1"/>
      <c r="M3" s="2"/>
      <c r="N3" s="2"/>
      <c r="O3" s="2"/>
      <c r="P3" s="1"/>
      <c r="Q3" s="1"/>
      <c r="R3" s="1"/>
      <c r="S3" s="2"/>
      <c r="T3" s="2"/>
      <c r="U3" s="1"/>
      <c r="V3" s="1"/>
      <c r="W3" s="1"/>
      <c r="X3" s="2"/>
      <c r="Y3" s="2"/>
      <c r="Z3" s="2"/>
      <c r="AA3" s="2"/>
    </row>
    <row r="4" spans="1:27" customFormat="1" ht="15" customHeight="1">
      <c r="A4" s="6" t="s">
        <v>186</v>
      </c>
      <c r="B4" s="6" t="s">
        <v>187</v>
      </c>
      <c r="C4" s="6" t="s">
        <v>189</v>
      </c>
      <c r="D4" s="7" t="s">
        <v>190</v>
      </c>
      <c r="E4" s="6" t="s">
        <v>191</v>
      </c>
      <c r="F4" s="7" t="s">
        <v>192</v>
      </c>
      <c r="G4" s="6" t="s">
        <v>193</v>
      </c>
      <c r="H4" s="6" t="s">
        <v>3099</v>
      </c>
      <c r="I4" s="6" t="s">
        <v>195</v>
      </c>
      <c r="J4" s="8" t="s">
        <v>196</v>
      </c>
      <c r="K4" s="7" t="s">
        <v>197</v>
      </c>
      <c r="L4" s="9"/>
      <c r="M4" s="7" t="s">
        <v>199</v>
      </c>
      <c r="N4" s="4" t="s">
        <v>6212</v>
      </c>
      <c r="O4" s="4" t="s">
        <v>203</v>
      </c>
      <c r="P4" s="4" t="s">
        <v>204</v>
      </c>
      <c r="Q4" s="10" t="s">
        <v>205</v>
      </c>
      <c r="R4" s="10" t="s">
        <v>199</v>
      </c>
      <c r="S4" s="4" t="s">
        <v>5854</v>
      </c>
      <c r="T4" s="4" t="s">
        <v>208</v>
      </c>
      <c r="U4" s="11" t="s">
        <v>205</v>
      </c>
      <c r="V4" s="10" t="s">
        <v>199</v>
      </c>
      <c r="W4" s="10" t="s">
        <v>5857</v>
      </c>
      <c r="X4" s="4" t="s">
        <v>5858</v>
      </c>
      <c r="Y4" s="4" t="s">
        <v>5859</v>
      </c>
      <c r="Z4" s="4" t="s">
        <v>5860</v>
      </c>
      <c r="AA4" s="4" t="s">
        <v>5861</v>
      </c>
    </row>
    <row r="5" spans="1:27" ht="1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ht="1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ht="1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ht="1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ht="15" customHeight="1">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ht="1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1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1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ht="1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1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sheetData>
  <mergeCells count="1">
    <mergeCell ref="D2:I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A52B-FB2B-4F3A-BD8C-57BCC138600B}">
  <sheetPr>
    <outlinePr summaryBelow="0" summaryRight="0"/>
  </sheetPr>
  <dimension ref="A1:AA74"/>
  <sheetViews>
    <sheetView workbookViewId="0">
      <selection activeCell="D2" sqref="D2:I2"/>
    </sheetView>
  </sheetViews>
  <sheetFormatPr defaultColWidth="14.42578125" defaultRowHeight="15" customHeight="1"/>
  <cols>
    <col min="1" max="1" width="11.140625" style="5" customWidth="1"/>
    <col min="2" max="2" width="6.28515625" style="5" customWidth="1"/>
    <col min="3" max="3" width="11" style="5" customWidth="1"/>
    <col min="4" max="4" width="32.7109375" style="5" customWidth="1"/>
    <col min="5" max="5" width="6.42578125" style="5" customWidth="1"/>
    <col min="6" max="6" width="21.42578125" style="5" customWidth="1"/>
    <col min="7" max="7" width="12.5703125" style="5" customWidth="1"/>
    <col min="8" max="8" width="13.42578125" style="5" customWidth="1"/>
    <col min="9" max="9" width="19.5703125" style="5" customWidth="1"/>
    <col min="10" max="10" width="12.7109375" style="5" customWidth="1"/>
    <col min="11" max="11" width="41.140625" style="5" customWidth="1"/>
    <col min="12" max="12" width="12" style="5" customWidth="1"/>
    <col min="13" max="13" width="33.42578125" style="5" customWidth="1"/>
    <col min="14" max="14" width="14.42578125" style="5"/>
    <col min="15" max="15" width="14.5703125" style="5" customWidth="1"/>
    <col min="16" max="16" width="24.5703125" style="5" customWidth="1"/>
    <col min="17" max="17" width="12" style="5" customWidth="1"/>
    <col min="18" max="18" width="19.140625" style="5" customWidth="1"/>
    <col min="19" max="19" width="22.140625" style="5" customWidth="1"/>
    <col min="20" max="20" width="25.140625" style="5" customWidth="1"/>
    <col min="21" max="21" width="8.85546875" style="5" customWidth="1"/>
    <col min="22" max="22" width="12" style="5" customWidth="1"/>
    <col min="23" max="23" width="13.85546875" style="5" customWidth="1"/>
    <col min="24" max="16384" width="14.42578125" style="5"/>
  </cols>
  <sheetData>
    <row r="1" spans="1:27" customFormat="1">
      <c r="A1" s="1"/>
      <c r="B1" s="1"/>
      <c r="C1" s="1"/>
      <c r="D1" s="2"/>
      <c r="E1" s="1"/>
      <c r="F1" s="1"/>
      <c r="G1" s="1"/>
      <c r="H1" s="3"/>
      <c r="I1" s="1"/>
      <c r="J1" s="1"/>
      <c r="K1" s="2"/>
      <c r="L1" s="1"/>
      <c r="M1" s="2"/>
      <c r="N1" s="2"/>
      <c r="O1" s="2"/>
      <c r="P1" s="1"/>
      <c r="Q1" s="1"/>
      <c r="R1" s="1"/>
      <c r="S1" s="2"/>
      <c r="T1" s="2"/>
      <c r="U1" s="1"/>
      <c r="V1" s="1"/>
      <c r="W1" s="1"/>
      <c r="X1" s="2"/>
      <c r="Y1" s="2"/>
      <c r="Z1" s="2"/>
      <c r="AA1" s="2"/>
    </row>
    <row r="2" spans="1:27" customFormat="1" ht="26.25">
      <c r="A2" s="1"/>
      <c r="B2" s="1"/>
      <c r="C2" s="1"/>
      <c r="D2" s="1483" t="s">
        <v>6211</v>
      </c>
      <c r="E2" s="1483"/>
      <c r="F2" s="1483"/>
      <c r="G2" s="1483"/>
      <c r="H2" s="1483"/>
      <c r="I2" s="1483"/>
      <c r="J2" s="1"/>
      <c r="K2" s="2"/>
      <c r="L2" s="1"/>
      <c r="M2" s="2"/>
      <c r="N2" s="2"/>
      <c r="O2" s="2"/>
      <c r="P2" s="1"/>
      <c r="Q2" s="1"/>
      <c r="R2" s="1"/>
      <c r="S2" s="2"/>
      <c r="T2" s="2"/>
      <c r="U2" s="1"/>
      <c r="V2" s="1"/>
      <c r="W2" s="1"/>
      <c r="X2" s="2"/>
      <c r="Y2" s="2"/>
      <c r="Z2" s="2"/>
      <c r="AA2" s="2"/>
    </row>
    <row r="3" spans="1:27" customFormat="1">
      <c r="A3" s="1"/>
      <c r="B3" s="1"/>
      <c r="C3" s="1"/>
      <c r="D3" s="2"/>
      <c r="E3" s="1"/>
      <c r="F3" s="1"/>
      <c r="G3" s="1"/>
      <c r="H3" s="3"/>
      <c r="I3" s="1"/>
      <c r="J3" s="1"/>
      <c r="K3" s="2"/>
      <c r="L3" s="1"/>
      <c r="M3" s="2"/>
      <c r="N3" s="2"/>
      <c r="O3" s="2"/>
      <c r="P3" s="1"/>
      <c r="Q3" s="1"/>
      <c r="R3" s="1"/>
      <c r="S3" s="2"/>
      <c r="T3" s="2"/>
      <c r="U3" s="1"/>
      <c r="V3" s="1"/>
      <c r="W3" s="1"/>
      <c r="X3" s="2"/>
      <c r="Y3" s="2"/>
      <c r="Z3" s="2"/>
      <c r="AA3" s="2"/>
    </row>
    <row r="4" spans="1:27" customFormat="1" ht="15" customHeight="1">
      <c r="A4" s="6" t="s">
        <v>186</v>
      </c>
      <c r="B4" s="6" t="s">
        <v>187</v>
      </c>
      <c r="C4" s="6" t="s">
        <v>189</v>
      </c>
      <c r="D4" s="7" t="s">
        <v>190</v>
      </c>
      <c r="E4" s="6" t="s">
        <v>191</v>
      </c>
      <c r="F4" s="7" t="s">
        <v>192</v>
      </c>
      <c r="G4" s="6" t="s">
        <v>193</v>
      </c>
      <c r="H4" s="6" t="s">
        <v>3099</v>
      </c>
      <c r="I4" s="6" t="s">
        <v>195</v>
      </c>
      <c r="J4" s="8" t="s">
        <v>196</v>
      </c>
      <c r="K4" s="7" t="s">
        <v>197</v>
      </c>
      <c r="L4" s="9"/>
      <c r="M4" s="7" t="s">
        <v>199</v>
      </c>
      <c r="N4" s="4" t="s">
        <v>6212</v>
      </c>
      <c r="O4" s="4" t="s">
        <v>203</v>
      </c>
      <c r="P4" s="4" t="s">
        <v>204</v>
      </c>
      <c r="Q4" s="10" t="s">
        <v>205</v>
      </c>
      <c r="R4" s="10" t="s">
        <v>199</v>
      </c>
      <c r="S4" s="4" t="s">
        <v>5854</v>
      </c>
      <c r="T4" s="4" t="s">
        <v>208</v>
      </c>
      <c r="U4" s="11" t="s">
        <v>205</v>
      </c>
      <c r="V4" s="10" t="s">
        <v>199</v>
      </c>
      <c r="W4" s="10" t="s">
        <v>5857</v>
      </c>
      <c r="X4" s="4" t="s">
        <v>5858</v>
      </c>
      <c r="Y4" s="4" t="s">
        <v>5859</v>
      </c>
      <c r="Z4" s="4" t="s">
        <v>5860</v>
      </c>
      <c r="AA4" s="4" t="s">
        <v>5861</v>
      </c>
    </row>
    <row r="5" spans="1:27" ht="1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ht="1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ht="1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ht="1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ht="15" customHeight="1">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ht="1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1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1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ht="1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1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sheetData>
  <mergeCells count="1">
    <mergeCell ref="D2:I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20EA-DFBD-4316-BF66-6B8A898ABCB7}">
  <sheetPr>
    <outlinePr summaryBelow="0" summaryRight="0"/>
  </sheetPr>
  <dimension ref="A1:AA74"/>
  <sheetViews>
    <sheetView workbookViewId="0">
      <selection activeCell="D2" sqref="D2:I2"/>
    </sheetView>
  </sheetViews>
  <sheetFormatPr defaultColWidth="14.42578125" defaultRowHeight="15" customHeight="1"/>
  <cols>
    <col min="1" max="1" width="11.140625" style="5" customWidth="1"/>
    <col min="2" max="2" width="6.28515625" style="5" customWidth="1"/>
    <col min="3" max="3" width="11" style="5" customWidth="1"/>
    <col min="4" max="4" width="32.7109375" style="5" customWidth="1"/>
    <col min="5" max="5" width="6.42578125" style="5" customWidth="1"/>
    <col min="6" max="6" width="21.42578125" style="5" customWidth="1"/>
    <col min="7" max="7" width="12.5703125" style="5" customWidth="1"/>
    <col min="8" max="8" width="13.42578125" style="5" customWidth="1"/>
    <col min="9" max="9" width="19.5703125" style="5" customWidth="1"/>
    <col min="10" max="10" width="12.7109375" style="5" customWidth="1"/>
    <col min="11" max="11" width="41.140625" style="5" customWidth="1"/>
    <col min="12" max="12" width="12" style="5" customWidth="1"/>
    <col min="13" max="13" width="33.42578125" style="5" customWidth="1"/>
    <col min="14" max="14" width="14.42578125" style="5"/>
    <col min="15" max="15" width="14.5703125" style="5" customWidth="1"/>
    <col min="16" max="16" width="24.5703125" style="5" customWidth="1"/>
    <col min="17" max="17" width="12" style="5" customWidth="1"/>
    <col min="18" max="18" width="19.140625" style="5" customWidth="1"/>
    <col min="19" max="19" width="22.140625" style="5" customWidth="1"/>
    <col min="20" max="20" width="25.140625" style="5" customWidth="1"/>
    <col min="21" max="21" width="8.85546875" style="5" customWidth="1"/>
    <col min="22" max="22" width="12" style="5" customWidth="1"/>
    <col min="23" max="23" width="13.85546875" style="5" customWidth="1"/>
    <col min="24" max="16384" width="14.42578125" style="5"/>
  </cols>
  <sheetData>
    <row r="1" spans="1:27" customFormat="1">
      <c r="A1" s="1"/>
      <c r="B1" s="1"/>
      <c r="C1" s="1"/>
      <c r="D1" s="2"/>
      <c r="E1" s="1"/>
      <c r="F1" s="1"/>
      <c r="G1" s="1"/>
      <c r="H1" s="3"/>
      <c r="I1" s="1"/>
      <c r="J1" s="1"/>
      <c r="K1" s="2"/>
      <c r="L1" s="1"/>
      <c r="M1" s="2"/>
      <c r="N1" s="2"/>
      <c r="O1" s="2"/>
      <c r="P1" s="1"/>
      <c r="Q1" s="1"/>
      <c r="R1" s="1"/>
      <c r="S1" s="2"/>
      <c r="T1" s="2"/>
      <c r="U1" s="1"/>
      <c r="V1" s="1"/>
      <c r="W1" s="1"/>
      <c r="X1" s="2"/>
      <c r="Y1" s="2"/>
      <c r="Z1" s="2"/>
      <c r="AA1" s="2"/>
    </row>
    <row r="2" spans="1:27" customFormat="1" ht="26.25">
      <c r="A2" s="1"/>
      <c r="B2" s="1"/>
      <c r="C2" s="1"/>
      <c r="D2" s="1483" t="s">
        <v>6211</v>
      </c>
      <c r="E2" s="1483"/>
      <c r="F2" s="1483"/>
      <c r="G2" s="1483"/>
      <c r="H2" s="1483"/>
      <c r="I2" s="1483"/>
      <c r="J2" s="1"/>
      <c r="K2" s="2"/>
      <c r="L2" s="1"/>
      <c r="M2" s="2"/>
      <c r="N2" s="2"/>
      <c r="O2" s="2"/>
      <c r="P2" s="1"/>
      <c r="Q2" s="1"/>
      <c r="R2" s="1"/>
      <c r="S2" s="2"/>
      <c r="T2" s="2"/>
      <c r="U2" s="1"/>
      <c r="V2" s="1"/>
      <c r="W2" s="1"/>
      <c r="X2" s="2"/>
      <c r="Y2" s="2"/>
      <c r="Z2" s="2"/>
      <c r="AA2" s="2"/>
    </row>
    <row r="3" spans="1:27" customFormat="1">
      <c r="A3" s="1"/>
      <c r="B3" s="1"/>
      <c r="C3" s="1"/>
      <c r="D3" s="2"/>
      <c r="E3" s="1"/>
      <c r="F3" s="1"/>
      <c r="G3" s="1"/>
      <c r="H3" s="3"/>
      <c r="I3" s="1"/>
      <c r="J3" s="1"/>
      <c r="K3" s="2"/>
      <c r="L3" s="1"/>
      <c r="M3" s="2"/>
      <c r="N3" s="2"/>
      <c r="O3" s="2"/>
      <c r="P3" s="1"/>
      <c r="Q3" s="1"/>
      <c r="R3" s="1"/>
      <c r="S3" s="2"/>
      <c r="T3" s="2"/>
      <c r="U3" s="1"/>
      <c r="V3" s="1"/>
      <c r="W3" s="1"/>
      <c r="X3" s="2"/>
      <c r="Y3" s="2"/>
      <c r="Z3" s="2"/>
      <c r="AA3" s="2"/>
    </row>
    <row r="4" spans="1:27" customFormat="1" ht="15" customHeight="1">
      <c r="A4" s="6" t="s">
        <v>186</v>
      </c>
      <c r="B4" s="6" t="s">
        <v>187</v>
      </c>
      <c r="C4" s="6" t="s">
        <v>189</v>
      </c>
      <c r="D4" s="7" t="s">
        <v>190</v>
      </c>
      <c r="E4" s="6" t="s">
        <v>191</v>
      </c>
      <c r="F4" s="7" t="s">
        <v>192</v>
      </c>
      <c r="G4" s="6" t="s">
        <v>193</v>
      </c>
      <c r="H4" s="6" t="s">
        <v>3099</v>
      </c>
      <c r="I4" s="6" t="s">
        <v>195</v>
      </c>
      <c r="J4" s="8" t="s">
        <v>196</v>
      </c>
      <c r="K4" s="7" t="s">
        <v>197</v>
      </c>
      <c r="L4" s="9"/>
      <c r="M4" s="7" t="s">
        <v>199</v>
      </c>
      <c r="N4" s="4" t="s">
        <v>6212</v>
      </c>
      <c r="O4" s="4" t="s">
        <v>203</v>
      </c>
      <c r="P4" s="4" t="s">
        <v>204</v>
      </c>
      <c r="Q4" s="10" t="s">
        <v>205</v>
      </c>
      <c r="R4" s="10" t="s">
        <v>199</v>
      </c>
      <c r="S4" s="4" t="s">
        <v>5854</v>
      </c>
      <c r="T4" s="4" t="s">
        <v>208</v>
      </c>
      <c r="U4" s="11" t="s">
        <v>205</v>
      </c>
      <c r="V4" s="10" t="s">
        <v>199</v>
      </c>
      <c r="W4" s="10" t="s">
        <v>5857</v>
      </c>
      <c r="X4" s="4" t="s">
        <v>5858</v>
      </c>
      <c r="Y4" s="4" t="s">
        <v>5859</v>
      </c>
      <c r="Z4" s="4" t="s">
        <v>5860</v>
      </c>
      <c r="AA4" s="4" t="s">
        <v>5861</v>
      </c>
    </row>
    <row r="5" spans="1:27" ht="1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ht="1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ht="1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ht="1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ht="15" customHeight="1">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ht="1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1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1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ht="1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1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sheetData>
  <mergeCells count="1">
    <mergeCell ref="D2:I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AE977-2FC6-45D3-9479-3516901ECF6E}">
  <sheetPr>
    <outlinePr summaryBelow="0" summaryRight="0"/>
  </sheetPr>
  <dimension ref="A1:AA74"/>
  <sheetViews>
    <sheetView workbookViewId="0">
      <selection activeCell="D2" sqref="D2:I2"/>
    </sheetView>
  </sheetViews>
  <sheetFormatPr defaultColWidth="14.42578125" defaultRowHeight="15" customHeight="1"/>
  <cols>
    <col min="1" max="1" width="11.140625" style="5" customWidth="1"/>
    <col min="2" max="2" width="6.28515625" style="5" customWidth="1"/>
    <col min="3" max="3" width="11" style="5" customWidth="1"/>
    <col min="4" max="4" width="32.7109375" style="5" customWidth="1"/>
    <col min="5" max="5" width="6.42578125" style="5" customWidth="1"/>
    <col min="6" max="6" width="21.42578125" style="5" customWidth="1"/>
    <col min="7" max="7" width="12.5703125" style="5" customWidth="1"/>
    <col min="8" max="8" width="13.42578125" style="5" customWidth="1"/>
    <col min="9" max="9" width="19.5703125" style="5" customWidth="1"/>
    <col min="10" max="10" width="12.7109375" style="5" customWidth="1"/>
    <col min="11" max="11" width="41.140625" style="5" customWidth="1"/>
    <col min="12" max="12" width="12" style="5" customWidth="1"/>
    <col min="13" max="13" width="33.42578125" style="5" customWidth="1"/>
    <col min="14" max="14" width="14.42578125" style="5"/>
    <col min="15" max="15" width="14.5703125" style="5" customWidth="1"/>
    <col min="16" max="16" width="24.5703125" style="5" customWidth="1"/>
    <col min="17" max="17" width="12" style="5" customWidth="1"/>
    <col min="18" max="18" width="19.140625" style="5" customWidth="1"/>
    <col min="19" max="19" width="22.140625" style="5" customWidth="1"/>
    <col min="20" max="20" width="25.140625" style="5" customWidth="1"/>
    <col min="21" max="21" width="8.85546875" style="5" customWidth="1"/>
    <col min="22" max="22" width="12" style="5" customWidth="1"/>
    <col min="23" max="23" width="13.85546875" style="5" customWidth="1"/>
    <col min="24" max="16384" width="14.42578125" style="5"/>
  </cols>
  <sheetData>
    <row r="1" spans="1:27" customFormat="1">
      <c r="A1" s="1"/>
      <c r="B1" s="1"/>
      <c r="C1" s="1"/>
      <c r="D1" s="2"/>
      <c r="E1" s="1"/>
      <c r="F1" s="1"/>
      <c r="G1" s="1"/>
      <c r="H1" s="3"/>
      <c r="I1" s="1"/>
      <c r="J1" s="1"/>
      <c r="K1" s="2"/>
      <c r="L1" s="1"/>
      <c r="M1" s="2"/>
      <c r="N1" s="2"/>
      <c r="O1" s="2"/>
      <c r="P1" s="1"/>
      <c r="Q1" s="1"/>
      <c r="R1" s="1"/>
      <c r="S1" s="2"/>
      <c r="T1" s="2"/>
      <c r="U1" s="1"/>
      <c r="V1" s="1"/>
      <c r="W1" s="1"/>
      <c r="X1" s="2"/>
      <c r="Y1" s="2"/>
      <c r="Z1" s="2"/>
      <c r="AA1" s="2"/>
    </row>
    <row r="2" spans="1:27" customFormat="1" ht="26.25">
      <c r="A2" s="1"/>
      <c r="B2" s="1"/>
      <c r="C2" s="1"/>
      <c r="D2" s="1483" t="s">
        <v>6211</v>
      </c>
      <c r="E2" s="1483"/>
      <c r="F2" s="1483"/>
      <c r="G2" s="1483"/>
      <c r="H2" s="1483"/>
      <c r="I2" s="1483"/>
      <c r="J2" s="1"/>
      <c r="K2" s="2"/>
      <c r="L2" s="1"/>
      <c r="M2" s="2"/>
      <c r="N2" s="2"/>
      <c r="O2" s="2"/>
      <c r="P2" s="1"/>
      <c r="Q2" s="1"/>
      <c r="R2" s="1"/>
      <c r="S2" s="2"/>
      <c r="T2" s="2"/>
      <c r="U2" s="1"/>
      <c r="V2" s="1"/>
      <c r="W2" s="1"/>
      <c r="X2" s="2"/>
      <c r="Y2" s="2"/>
      <c r="Z2" s="2"/>
      <c r="AA2" s="2"/>
    </row>
    <row r="3" spans="1:27" customFormat="1">
      <c r="A3" s="1"/>
      <c r="B3" s="1"/>
      <c r="C3" s="1"/>
      <c r="D3" s="2"/>
      <c r="E3" s="1"/>
      <c r="F3" s="1"/>
      <c r="G3" s="1"/>
      <c r="H3" s="3"/>
      <c r="I3" s="1"/>
      <c r="J3" s="1"/>
      <c r="K3" s="2"/>
      <c r="L3" s="1"/>
      <c r="M3" s="2"/>
      <c r="N3" s="2"/>
      <c r="O3" s="2"/>
      <c r="P3" s="1"/>
      <c r="Q3" s="1"/>
      <c r="R3" s="1"/>
      <c r="S3" s="2"/>
      <c r="T3" s="2"/>
      <c r="U3" s="1"/>
      <c r="V3" s="1"/>
      <c r="W3" s="1"/>
      <c r="X3" s="2"/>
      <c r="Y3" s="2"/>
      <c r="Z3" s="2"/>
      <c r="AA3" s="2"/>
    </row>
    <row r="4" spans="1:27" customFormat="1" ht="15" customHeight="1">
      <c r="A4" s="6" t="s">
        <v>186</v>
      </c>
      <c r="B4" s="6" t="s">
        <v>187</v>
      </c>
      <c r="C4" s="6" t="s">
        <v>189</v>
      </c>
      <c r="D4" s="7" t="s">
        <v>190</v>
      </c>
      <c r="E4" s="6" t="s">
        <v>191</v>
      </c>
      <c r="F4" s="7" t="s">
        <v>192</v>
      </c>
      <c r="G4" s="6" t="s">
        <v>193</v>
      </c>
      <c r="H4" s="6" t="s">
        <v>3099</v>
      </c>
      <c r="I4" s="6" t="s">
        <v>195</v>
      </c>
      <c r="J4" s="8" t="s">
        <v>196</v>
      </c>
      <c r="K4" s="7" t="s">
        <v>197</v>
      </c>
      <c r="L4" s="9"/>
      <c r="M4" s="7" t="s">
        <v>199</v>
      </c>
      <c r="N4" s="4" t="s">
        <v>6212</v>
      </c>
      <c r="O4" s="4" t="s">
        <v>203</v>
      </c>
      <c r="P4" s="4" t="s">
        <v>204</v>
      </c>
      <c r="Q4" s="10" t="s">
        <v>205</v>
      </c>
      <c r="R4" s="10" t="s">
        <v>199</v>
      </c>
      <c r="S4" s="4" t="s">
        <v>5854</v>
      </c>
      <c r="T4" s="4" t="s">
        <v>208</v>
      </c>
      <c r="U4" s="11" t="s">
        <v>205</v>
      </c>
      <c r="V4" s="10" t="s">
        <v>199</v>
      </c>
      <c r="W4" s="10" t="s">
        <v>5857</v>
      </c>
      <c r="X4" s="4" t="s">
        <v>5858</v>
      </c>
      <c r="Y4" s="4" t="s">
        <v>5859</v>
      </c>
      <c r="Z4" s="4" t="s">
        <v>5860</v>
      </c>
      <c r="AA4" s="4" t="s">
        <v>5861</v>
      </c>
    </row>
    <row r="5" spans="1:27" ht="1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ht="1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ht="1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ht="15"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ht="15" customHeight="1">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ht="1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1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1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ht="1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1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sheetData>
  <mergeCells count="1">
    <mergeCell ref="D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Brendhixita Asencios Berrospi</dc:creator>
  <cp:keywords/>
  <dc:description/>
  <cp:lastModifiedBy/>
  <cp:revision/>
  <dcterms:created xsi:type="dcterms:W3CDTF">2025-08-20T14:52:55Z</dcterms:created>
  <dcterms:modified xsi:type="dcterms:W3CDTF">2026-05-12T19:33:46Z</dcterms:modified>
  <cp:category/>
  <cp:contentStatus/>
</cp:coreProperties>
</file>